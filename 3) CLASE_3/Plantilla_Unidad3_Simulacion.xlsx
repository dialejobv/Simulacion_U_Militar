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Distribuciones" sheetId="2" state="visible" r:id="rId2"/>
    <sheet xmlns:r="http://schemas.openxmlformats.org/officeDocument/2006/relationships" name="Generación" sheetId="3" state="visible" r:id="rId3"/>
    <sheet xmlns:r="http://schemas.openxmlformats.org/officeDocument/2006/relationships" name="Aceptación-rechazo" sheetId="4" state="visible" r:id="rId4"/>
    <sheet xmlns:r="http://schemas.openxmlformats.org/officeDocument/2006/relationships" name="Bondad de ajuste" sheetId="5" state="visible" r:id="rId5"/>
    <sheet xmlns:r="http://schemas.openxmlformats.org/officeDocument/2006/relationships" name="Colas M-M-1" sheetId="6" state="visible" r:id="rId6"/>
    <sheet xmlns:r="http://schemas.openxmlformats.org/officeDocument/2006/relationships" name="Inventario" sheetId="7" state="visible" r:id="rId7"/>
    <sheet xmlns:r="http://schemas.openxmlformats.org/officeDocument/2006/relationships" name="Producció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0.0"/>
    <numFmt numFmtId="167" formatCode="0.0%"/>
    <numFmt numFmtId="168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1A1433"/>
      <sz val="16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2D2357"/>
      </patternFill>
    </fill>
    <fill>
      <patternFill patternType="solid">
        <fgColor rgb="00FFF2CC"/>
      </patternFill>
    </fill>
    <fill>
      <patternFill patternType="solid">
        <fgColor rgb="00F2F0F9"/>
      </patternFill>
    </fill>
    <fill>
      <patternFill patternType="solid">
        <fgColor rgb="00D5F2EC"/>
      </patternFill>
    </fill>
  </fills>
  <borders count="7">
    <border>
      <left/>
      <right/>
      <top/>
      <bottom/>
      <diagonal/>
    </border>
    <border>
      <left style="thin">
        <color rgb="00D9D5EA"/>
      </left>
      <right style="thin">
        <color rgb="00D9D5EA"/>
      </right>
      <top style="thin">
        <color rgb="00D9D5EA"/>
      </top>
      <bottom style="thin">
        <color rgb="00D9D5EA"/>
      </bottom>
    </border>
    <border>
      <left/>
      <right/>
      <top style="thin">
        <color rgb="00D9D5EA"/>
      </top>
      <bottom/>
      <diagonal/>
    </border>
    <border>
      <left/>
      <right style="thin">
        <color rgb="00D9D5EA"/>
      </right>
      <top style="thin">
        <color rgb="00D9D5EA"/>
      </top>
      <bottom/>
      <diagonal/>
    </border>
    <border>
      <left/>
      <right/>
      <top style="thin">
        <color rgb="00D9D5EA"/>
      </top>
      <bottom style="thin">
        <color rgb="00D9D5EA"/>
      </bottom>
      <diagonal/>
    </border>
    <border>
      <left/>
      <right style="thin">
        <color rgb="00D9D5EA"/>
      </right>
      <top style="thin">
        <color rgb="00D9D5EA"/>
      </top>
      <bottom style="thin">
        <color rgb="00D9D5EA"/>
      </bottom>
      <diagonal/>
    </border>
    <border/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6" fillId="3" borderId="1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0" fontId="7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8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Funciones de probabilidad discretas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'Distribuciones'!B4</f>
            </strRef>
          </tx>
          <spPr>
            <a:solidFill xmlns:a="http://schemas.openxmlformats.org/drawingml/2006/main">
              <a:srgbClr val="6C4AB6"/>
            </a:solidFill>
            <a:ln xmlns:a="http://schemas.openxmlformats.org/drawingml/2006/main">
              <a:solidFill>
                <a:srgbClr val="6C4AB6"/>
              </a:solidFill>
              <a:prstDash val="solid"/>
            </a:ln>
          </spPr>
          <cat>
            <numRef>
              <f>'Distribuciones'!$A$5:$A$15</f>
            </numRef>
          </cat>
          <val>
            <numRef>
              <f>'Distribuciones'!$B$5:$B$15</f>
            </numRef>
          </val>
        </ser>
        <ser>
          <idx val="1"/>
          <order val="1"/>
          <tx>
            <strRef>
              <f>'Distribuciones'!C4</f>
            </strRef>
          </tx>
          <spPr>
            <a:solidFill xmlns:a="http://schemas.openxmlformats.org/drawingml/2006/main">
              <a:srgbClr val="00A896"/>
            </a:solidFill>
            <a:ln xmlns:a="http://schemas.openxmlformats.org/drawingml/2006/main">
              <a:solidFill>
                <a:srgbClr val="00A896"/>
              </a:solidFill>
              <a:prstDash val="solid"/>
            </a:ln>
          </spPr>
          <cat>
            <numRef>
              <f>'Distribuciones'!$A$5:$A$15</f>
            </numRef>
          </cat>
          <val>
            <numRef>
              <f>'Distribuciones'!$C$5:$C$15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p(x)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Funciones de densidad continuas</a:t>
            </a:r>
          </a:p>
        </rich>
      </tx>
    </title>
    <plotArea>
      <scatterChart>
        <scatterStyle val="line"/>
        <ser>
          <idx val="0"/>
          <order val="0"/>
          <tx>
            <strRef>
              <f>'Distribuciones'!B19</f>
            </strRef>
          </tx>
          <spPr>
            <a:ln xmlns:a="http://schemas.openxmlformats.org/drawingml/2006/main" w="22000">
              <a:solidFill>
                <a:srgbClr val="6C4A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'Distribuciones'!$A$20:$A$60</f>
            </numRef>
          </xVal>
          <yVal>
            <numRef>
              <f>'Distribuciones'!$B$20:$B$60</f>
            </numRef>
          </yVal>
          <smooth val="0"/>
        </ser>
        <ser>
          <idx val="1"/>
          <order val="1"/>
          <tx>
            <strRef>
              <f>'Distribuciones'!C19</f>
            </strRef>
          </tx>
          <spPr>
            <a:ln xmlns:a="http://schemas.openxmlformats.org/drawingml/2006/main" w="22000">
              <a:solidFill>
                <a:srgbClr val="00A8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'Distribuciones'!$A$20:$A$60</f>
            </numRef>
          </xVal>
          <yVal>
            <numRef>
              <f>'Distribuciones'!$C$20:$C$60</f>
            </numRef>
          </yVal>
          <smooth val="0"/>
        </ser>
        <ser>
          <idx val="2"/>
          <order val="2"/>
          <tx>
            <strRef>
              <f>'Distribuciones'!D19</f>
            </strRef>
          </tx>
          <spPr>
            <a:ln xmlns:a="http://schemas.openxmlformats.org/drawingml/2006/main" w="22000">
              <a:solidFill>
                <a:srgbClr val="E457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'Distribuciones'!$A$20:$A$60</f>
            </numRef>
          </xVal>
          <yVal>
            <numRef>
              <f>'Distribuciones'!$D$20:$D$60</f>
            </numRef>
          </yVal>
          <smooth val="0"/>
        </ser>
        <ser>
          <idx val="3"/>
          <order val="3"/>
          <tx>
            <strRef>
              <f>'Distribuciones'!E19</f>
            </strRef>
          </tx>
          <spPr>
            <a:ln xmlns:a="http://schemas.openxmlformats.org/drawingml/2006/main" w="22000">
              <a:solidFill>
                <a:srgbClr val="F2A9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'Distribuciones'!$A$20:$A$60</f>
            </numRef>
          </xVal>
          <yVal>
            <numRef>
              <f>'Distribuciones'!$E$20:$E$60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f(x)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Exponencial: observada frente a esperada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'Generación'!L35</f>
            </strRef>
          </tx>
          <spPr>
            <a:solidFill xmlns:a="http://schemas.openxmlformats.org/drawingml/2006/main">
              <a:srgbClr val="6C4AB6"/>
            </a:solidFill>
            <a:ln xmlns:a="http://schemas.openxmlformats.org/drawingml/2006/main">
              <a:solidFill>
                <a:srgbClr val="6C4AB6"/>
              </a:solidFill>
              <a:prstDash val="solid"/>
            </a:ln>
          </spPr>
          <cat>
            <numRef>
              <f>'Generación'!$J$36:$J$45</f>
            </numRef>
          </cat>
          <val>
            <numRef>
              <f>'Generación'!$L$36:$L$45</f>
            </numRef>
          </val>
        </ser>
        <gapWidth val="20"/>
        <axId val="10"/>
        <axId val="100"/>
      </barChart>
      <lineChart>
        <grouping val="standard"/>
        <ser>
          <idx val="1"/>
          <order val="1"/>
          <tx>
            <strRef>
              <f>'Generación'!M35</f>
            </strRef>
          </tx>
          <spPr>
            <a:ln xmlns:a="http://schemas.openxmlformats.org/drawingml/2006/main" w="22000">
              <a:solidFill>
                <a:srgbClr val="F2A9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'Generación'!$M$36:$M$45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Desde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Erlang k = 3 por convolución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'Generación'!L48</f>
            </strRef>
          </tx>
          <spPr>
            <a:solidFill xmlns:a="http://schemas.openxmlformats.org/drawingml/2006/main">
              <a:srgbClr val="00A896"/>
            </a:solidFill>
            <a:ln xmlns:a="http://schemas.openxmlformats.org/drawingml/2006/main">
              <a:solidFill>
                <a:srgbClr val="00A896"/>
              </a:solidFill>
              <a:prstDash val="solid"/>
            </a:ln>
          </spPr>
          <cat>
            <numRef>
              <f>'Generación'!$J$49:$J$63</f>
            </numRef>
          </cat>
          <val>
            <numRef>
              <f>'Generación'!$L$49:$L$63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Desde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Puntos aceptados y rechazados</a:t>
            </a:r>
          </a:p>
        </rich>
      </tx>
    </title>
    <plotArea>
      <scatterChart>
        <scatterStyle val="marker"/>
        <ser>
          <idx val="0"/>
          <order val="0"/>
          <tx>
            <v>Aceptados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A896"/>
              </a:solidFill>
              <a:ln xmlns:a="http://schemas.openxmlformats.org/drawingml/2006/main">
                <a:solidFill>
                  <a:srgbClr val="00A896"/>
                </a:solidFill>
                <a:prstDash val="solid"/>
              </a:ln>
            </spPr>
          </marker>
          <xVal>
            <numRef>
              <f>'Aceptación-rechazo'!$G$5:$G$304</f>
            </numRef>
          </xVal>
          <yVal>
            <numRef>
              <f>'Aceptación-rechazo'!$D$5:$D$304</f>
            </numRef>
          </yVal>
        </ser>
        <ser>
          <idx val="1"/>
          <order val="1"/>
          <tx>
            <v>Rechazados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4572E"/>
              </a:solidFill>
              <a:ln xmlns:a="http://schemas.openxmlformats.org/drawingml/2006/main">
                <a:solidFill>
                  <a:srgbClr val="E4572E"/>
                </a:solidFill>
                <a:prstDash val="solid"/>
              </a:ln>
            </spPr>
          </marker>
          <xVal>
            <numRef>
              <f>'Aceptación-rechazo'!$H$5:$H$304</f>
            </numRef>
          </xVal>
          <yVal>
            <numRef>
              <f>'Aceptación-rechazo'!$D$5:$D$304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.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= M·r₂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Chi-cuadrada: observada frente a esperada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'Bondad de ajuste'!G9</f>
            </strRef>
          </tx>
          <spPr>
            <a:solidFill xmlns:a="http://schemas.openxmlformats.org/drawingml/2006/main">
              <a:srgbClr val="6C4AB6"/>
            </a:solidFill>
            <a:ln xmlns:a="http://schemas.openxmlformats.org/drawingml/2006/main">
              <a:solidFill>
                <a:srgbClr val="6C4AB6"/>
              </a:solidFill>
              <a:prstDash val="solid"/>
            </a:ln>
          </spPr>
          <cat>
            <numRef>
              <f>'Bondad de ajuste'!$D$10:$D$15</f>
            </numRef>
          </cat>
          <val>
            <numRef>
              <f>'Bondad de ajuste'!$G$10:$G$15</f>
            </numRef>
          </val>
        </ser>
        <ser>
          <idx val="1"/>
          <order val="1"/>
          <tx>
            <strRef>
              <f>'Bondad de ajuste'!I9</f>
            </strRef>
          </tx>
          <spPr>
            <a:solidFill xmlns:a="http://schemas.openxmlformats.org/drawingml/2006/main">
              <a:srgbClr val="F2A900"/>
            </a:solidFill>
            <a:ln xmlns:a="http://schemas.openxmlformats.org/drawingml/2006/main">
              <a:solidFill>
                <a:srgbClr val="F2A900"/>
              </a:solidFill>
              <a:prstDash val="solid"/>
            </a:ln>
          </spPr>
          <cat>
            <numRef>
              <f>'Bondad de ajuste'!$D$10:$D$15</f>
            </numRef>
          </cat>
          <val>
            <numRef>
              <f>'Bondad de ajuste'!$I$10:$I$15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Llegadas por intervalo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K-S: acumulada empírica frente a F0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'Bondad de ajuste'!T10</f>
            </strRef>
          </tx>
          <spPr>
            <a:ln xmlns:a="http://schemas.openxmlformats.org/drawingml/2006/main" w="22000">
              <a:solidFill>
                <a:srgbClr val="6C4AB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6C4AB6"/>
              </a:solidFill>
              <a:ln xmlns:a="http://schemas.openxmlformats.org/drawingml/2006/main">
                <a:prstDash val="solid"/>
              </a:ln>
            </spPr>
          </marker>
          <xVal>
            <numRef>
              <f>'Bondad de ajuste'!$S$11:$S$30</f>
            </numRef>
          </xVal>
          <yVal>
            <numRef>
              <f>'Bondad de ajuste'!$T$11:$T$30</f>
            </numRef>
          </yVal>
          <smooth val="0"/>
        </ser>
        <ser>
          <idx val="1"/>
          <order val="1"/>
          <tx>
            <strRef>
              <f>'Bondad de ajuste'!U10</f>
            </strRef>
          </tx>
          <spPr>
            <a:ln xmlns:a="http://schemas.openxmlformats.org/drawingml/2006/main" w="22000">
              <a:solidFill>
                <a:srgbClr val="E4572E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4572E"/>
              </a:solidFill>
              <a:ln xmlns:a="http://schemas.openxmlformats.org/drawingml/2006/main">
                <a:prstDash val="solid"/>
              </a:ln>
            </spPr>
          </marker>
          <xVal>
            <numRef>
              <f>'Bondad de ajuste'!$S$11:$S$30</f>
            </numRef>
          </xVal>
          <yVal>
            <numRef>
              <f>'Bondad de ajuste'!$U$11:$U$30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Probabilidad acumulada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Espera en cola de cada cliente (min)</a:t>
            </a:r>
          </a:p>
        </rich>
      </tx>
    </title>
    <plotArea>
      <lineChart>
        <grouping val="standard"/>
        <ser>
          <idx val="0"/>
          <order val="0"/>
          <tx>
            <strRef>
              <f>'Colas M-M-1'!I4</f>
            </strRef>
          </tx>
          <spPr>
            <a:ln xmlns:a="http://schemas.openxmlformats.org/drawingml/2006/main" w="22000">
              <a:solidFill>
                <a:srgbClr val="E457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'Colas M-M-1'!$A$5:$A$204</f>
            </numRef>
          </cat>
          <val>
            <numRef>
              <f>'Colas M-M-1'!$I$5:$I$204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Cliente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Tiempos promedio: teoría frente a simulación</a:t>
            </a:r>
          </a:p>
        </rich>
      </tx>
    </title>
    <plotArea>
      <barChart>
        <barDir val="col"/>
        <grouping val="clustered"/>
        <ser>
          <idx val="0"/>
          <order val="0"/>
          <tx>
            <v>Teoría</v>
          </tx>
          <spPr>
            <a:solidFill xmlns:a="http://schemas.openxmlformats.org/drawingml/2006/main">
              <a:srgbClr val="6C4AB6"/>
            </a:solidFill>
            <a:ln xmlns:a="http://schemas.openxmlformats.org/drawingml/2006/main">
              <a:solidFill>
                <a:srgbClr val="6C4AB6"/>
              </a:solidFill>
              <a:prstDash val="solid"/>
            </a:ln>
          </spPr>
          <cat>
            <numRef>
              <f>'Colas M-M-1'!$K$10:$K$11</f>
            </numRef>
          </cat>
          <val>
            <numRef>
              <f>'Colas M-M-1'!$L$10:$L$11</f>
            </numRef>
          </val>
        </ser>
        <ser>
          <idx val="1"/>
          <order val="1"/>
          <tx>
            <v>Simulación</v>
          </tx>
          <spPr>
            <a:solidFill xmlns:a="http://schemas.openxmlformats.org/drawingml/2006/main">
              <a:srgbClr val="00A896"/>
            </a:solidFill>
            <a:ln xmlns:a="http://schemas.openxmlformats.org/drawingml/2006/main">
              <a:solidFill>
                <a:srgbClr val="00A896"/>
              </a:solidFill>
              <a:prstDash val="solid"/>
            </a:ln>
          </spPr>
          <cat>
            <numRef>
              <f>'Colas M-M-1'!$K$10:$K$11</f>
            </numRef>
          </cat>
          <val>
            <numRef>
              <f>'Colas M-M-1'!$M$10:$M$11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Inventario al final del día y punto de reorden R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'Inventario'!H4</f>
            </strRef>
          </tx>
          <spPr>
            <a:ln xmlns:a="http://schemas.openxmlformats.org/drawingml/2006/main" w="22000">
              <a:solidFill>
                <a:srgbClr val="6C4A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'Inventario'!$A$5:$A$34</f>
            </numRef>
          </cat>
          <val>
            <numRef>
              <f>'Inventario'!$H$5:$H$34</f>
            </numRef>
          </val>
          <smooth val="0"/>
        </ser>
        <ser>
          <idx val="1"/>
          <order val="1"/>
          <tx>
            <strRef>
              <f>'Inventario'!M4</f>
            </strRef>
          </tx>
          <spPr>
            <a:ln xmlns:a="http://schemas.openxmlformats.org/drawingml/2006/main" w="22000">
              <a:solidFill>
                <a:srgbClr val="E457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'Inventario'!$A$5:$A$34</f>
            </numRef>
          </cat>
          <val>
            <numRef>
              <f>'Inventario'!$M$5:$M$34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del tiempo total (1 000 pedidos)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'Producción'!H21</f>
            </strRef>
          </tx>
          <spPr>
            <a:solidFill xmlns:a="http://schemas.openxmlformats.org/drawingml/2006/main">
              <a:srgbClr val="3A86C8"/>
            </a:solidFill>
            <a:ln xmlns:a="http://schemas.openxmlformats.org/drawingml/2006/main">
              <a:solidFill>
                <a:srgbClr val="3A86C8"/>
              </a:solidFill>
              <a:prstDash val="solid"/>
            </a:ln>
          </spPr>
          <cat>
            <numRef>
              <f>'Producción'!$G$22:$G$43</f>
            </numRef>
          </cat>
          <val>
            <numRef>
              <f>'Producción'!$H$22:$H$43</f>
            </numRef>
          </val>
        </ser>
        <gapWidth val="15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Desde (h)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Pedidos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Plantilla</author>
  </authors>
  <commentList>
    <comment ref="C21" authorId="0" shapeId="0">
      <text>
        <t>Así se ven las celdas que puedes modificar.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J8" authorId="0" shapeId="0">
      <text>
        <t>Esta hoja usa exactamente 3 números aleatorios por valor Erlang (convolución). Si cambias k, ajusta la fórmula de la columna F.</t>
      </text>
    </comment>
    <comment ref="K45" authorId="0" shapeId="0">
      <text>
        <t>Última clase abierta: 18 o más.</t>
      </text>
    </comment>
    <comment ref="K48" authorId="0" shapeId="0">
      <text>
        <t>Triangular en clases de 0.5 h (la clase J es el doble del límite inferior); Erlang en clases de 1 min.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G4" authorId="0" shapeId="0">
      <text>
        <t>Vale −1 cuando el punto no pertenece a la serie; el eje del gráfico empieza en 0, así que esos puntos no se ven.</t>
      </text>
    </comment>
    <comment ref="K5" authorId="0" shapeId="0">
      <text>
        <t>Número de filas de la tabla (300).</t>
      </text>
    </comment>
  </commentList>
</comments>
</file>

<file path=xl/comments/comment4.xml><?xml version="1.0" encoding="utf-8"?>
<comments xmlns="http://schemas.openxmlformats.org/spreadsheetml/2006/main">
  <authors>
    <author>Plantilla</author>
  </authors>
  <commentList>
    <comment ref="M7" authorId="0" shapeId="0">
      <text>
        <t>Tabla de Kolmogorov para n = 20 y α = 0.05 (valor exacto 0.2941). Para n &gt; 35 se aproxima con 1.36/√n.</t>
      </text>
    </comment>
    <comment ref="M8" authorId="0" shapeId="0">
      <text>
        <t>Valor crítico de Anderson-Darling con la distribución totalmente especificada (α = 0.05).</t>
      </text>
    </comment>
    <comment ref="E18" authorId="0" shapeId="0">
      <text>
        <t>k − 1 − p: 6 clases, 1 parámetro estimado (λ).</t>
      </text>
    </comment>
  </commentList>
</comments>
</file>

<file path=xl/comments/comment5.xml><?xml version="1.0" encoding="utf-8"?>
<comments xmlns="http://schemas.openxmlformats.org/spreadsheetml/2006/main">
  <authors>
    <author>Plantilla</author>
  </authors>
  <commentList>
    <comment ref="L13" authorId="0" shapeId="0">
      <text>
        <t>En una cola M/M/1 la probabilidad de esperar es ρ.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16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33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36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90" customWidth="1" min="3" max="3"/>
  </cols>
  <sheetData>
    <row r="2">
      <c r="B2" s="1" t="inlineStr">
        <is>
          <t>Plantilla de simulación · Unidad III</t>
        </is>
      </c>
    </row>
    <row r="3">
      <c r="B3" s="2" t="inlineStr">
        <is>
          <t>Variables aleatorias, pruebas de bondad, generación de variables y modelos de colas, inventario y producción</t>
        </is>
      </c>
    </row>
    <row r="5">
      <c r="B5" s="3" t="inlineStr">
        <is>
          <t>Hoja</t>
        </is>
      </c>
      <c r="C5" s="3" t="inlineStr">
        <is>
          <t>Contenido</t>
        </is>
      </c>
    </row>
    <row r="6">
      <c r="B6" s="4" t="inlineStr">
        <is>
          <t>Distribuciones</t>
        </is>
      </c>
      <c r="C6" s="5" t="inlineStr">
        <is>
          <t>Funciones de probabilidad y densidad teóricas (Poisson, binomial, exponencial, normal, gamma, Weibull) con gráficos.</t>
        </is>
      </c>
    </row>
    <row r="7">
      <c r="B7" s="4" t="inlineStr">
        <is>
          <t>Generación</t>
        </is>
      </c>
      <c r="C7" s="5" t="inlineStr">
        <is>
          <t>Transformada inversa (exponencial, triangular, discreta), convolución (Erlang), normal y composición. 500 valores con histograma.</t>
        </is>
      </c>
    </row>
    <row r="8">
      <c r="B8" s="4" t="inlineStr">
        <is>
          <t>Aceptación-rechazo</t>
        </is>
      </c>
      <c r="C8" s="5" t="inlineStr">
        <is>
          <t>Puntos aceptados y rechazados para f(x) = 6x(1 − x) y eficiencia observada.</t>
        </is>
      </c>
    </row>
    <row r="9">
      <c r="B9" s="4" t="inlineStr">
        <is>
          <t>Bondad de ajuste</t>
        </is>
      </c>
      <c r="C9" s="5" t="inlineStr">
        <is>
          <t>Chi-cuadrada (Poisson), Kolmogorov-Smirnov y Anderson-Darling (exponencial) con los datos de la presentación.</t>
        </is>
      </c>
    </row>
    <row r="10">
      <c r="B10" s="4" t="inlineStr">
        <is>
          <t>Colas M-M-1</t>
        </is>
      </c>
      <c r="C10" s="5" t="inlineStr">
        <is>
          <t>Simulación de 200 clientes de un cajero y comparación con las fórmulas teóricas.</t>
        </is>
      </c>
    </row>
    <row r="11">
      <c r="B11" s="4" t="inlineStr">
        <is>
          <t>Inventario</t>
        </is>
      </c>
      <c r="C11" s="5" t="inlineStr">
        <is>
          <t>Política (Q, R) durante 30 días con demanda y tiempo de entrega aleatorios, costos y gráfico.</t>
        </is>
      </c>
    </row>
    <row r="12">
      <c r="B12" s="4" t="inlineStr">
        <is>
          <t>Producción</t>
        </is>
      </c>
      <c r="C12" s="5" t="inlineStr">
        <is>
          <t>Tiempo de un pedido que pasa por 3 etapas triangulares: 1 000 réplicas, histograma y probabilidades.</t>
        </is>
      </c>
    </row>
    <row r="14">
      <c r="B14" s="6" t="inlineStr">
        <is>
          <t>Cómo usarla</t>
        </is>
      </c>
    </row>
    <row r="15">
      <c r="B15" s="7" t="inlineStr">
        <is>
          <t>1.</t>
        </is>
      </c>
      <c r="C15" s="8" t="inlineStr">
        <is>
          <t>Las celdas con fondo amarillo y texto azul son parámetros: cámbialos y todo se recalcula.</t>
        </is>
      </c>
    </row>
    <row r="16">
      <c r="B16" s="7" t="inlineStr">
        <is>
          <t>2.</t>
        </is>
      </c>
      <c r="C16" s="8" t="inlineStr">
        <is>
          <t>Pulsa F9 para generar nuevos números aleatorios: tablas y gráficos se actualizan.</t>
        </is>
      </c>
    </row>
    <row r="17">
      <c r="B17" s="7" t="inlineStr">
        <is>
          <t>3.</t>
        </is>
      </c>
      <c r="C17" s="8" t="inlineStr">
        <is>
          <t>Las fórmulas usan ALEATORIO() (RAND), LN, BUSCARV (VLOOKUP), DISTR.NORM.INV (NORMINV), POISSON, PRUEBA.CHI.INV (CHIINV) y CONTAR.SI.CONJUNTO (COUNTIFS).</t>
        </is>
      </c>
    </row>
    <row r="18">
      <c r="B18" s="7" t="inlineStr">
        <is>
          <t>4.</t>
        </is>
      </c>
      <c r="C18" s="8" t="inlineStr">
        <is>
          <t>Para congelar una corrida: copia el rango y pégalo como valores en otra hoja.</t>
        </is>
      </c>
    </row>
    <row r="19">
      <c r="B19" s="7" t="inlineStr">
        <is>
          <t>5.</t>
        </is>
      </c>
      <c r="C19" s="8" t="inlineStr">
        <is>
          <t>Los datos de la hoja Bondad de ajuste son los de la presentación; puedes reemplazarlos por tus propios datos.</t>
        </is>
      </c>
    </row>
    <row r="21">
      <c r="B21" s="6" t="inlineStr">
        <is>
          <t>Ejemplo de parámetro</t>
        </is>
      </c>
      <c r="C21" s="9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26" customWidth="1" min="8" max="8"/>
    <col width="12" customWidth="1" min="9" max="9"/>
  </cols>
  <sheetData>
    <row r="1">
      <c r="A1" s="1" t="inlineStr">
        <is>
          <t>Distribuciones de probabilidad</t>
        </is>
      </c>
    </row>
    <row r="2">
      <c r="A2" s="2" t="inlineStr">
        <is>
          <t>Modifica los parámetros (amarillo) y observa cómo cambian las curvas.</t>
        </is>
      </c>
    </row>
    <row r="4">
      <c r="A4" s="10" t="inlineStr">
        <is>
          <t>x</t>
        </is>
      </c>
      <c r="B4" s="10" t="inlineStr">
        <is>
          <t>Poisson</t>
        </is>
      </c>
      <c r="C4" s="10" t="inlineStr">
        <is>
          <t>Binomial</t>
        </is>
      </c>
      <c r="H4" s="11" t="inlineStr">
        <is>
          <t>Poisson λ</t>
        </is>
      </c>
      <c r="I4" s="12" t="n">
        <v>3</v>
      </c>
    </row>
    <row r="5">
      <c r="A5" s="13" t="n">
        <v>0</v>
      </c>
      <c r="B5" s="14">
        <f>POISSON(A5,$I$4,FALSE)</f>
        <v/>
      </c>
      <c r="C5" s="14">
        <f>IF(A5&lt;=$I$5,BINOMDIST(A5,$I$5,$I$6,FALSE),0)</f>
        <v/>
      </c>
      <c r="H5" s="11" t="inlineStr">
        <is>
          <t>Binomial n</t>
        </is>
      </c>
      <c r="I5" s="12" t="n">
        <v>10</v>
      </c>
    </row>
    <row r="6">
      <c r="A6" s="13" t="n">
        <v>1</v>
      </c>
      <c r="B6" s="14">
        <f>POISSON(A6,$I$4,FALSE)</f>
        <v/>
      </c>
      <c r="C6" s="14">
        <f>IF(A6&lt;=$I$5,BINOMDIST(A6,$I$5,$I$6,FALSE),0)</f>
        <v/>
      </c>
      <c r="H6" s="11" t="inlineStr">
        <is>
          <t>Binomial p</t>
        </is>
      </c>
      <c r="I6" s="12" t="n">
        <v>0.3</v>
      </c>
    </row>
    <row r="7">
      <c r="A7" s="13" t="n">
        <v>2</v>
      </c>
      <c r="B7" s="14">
        <f>POISSON(A7,$I$4,FALSE)</f>
        <v/>
      </c>
      <c r="C7" s="14">
        <f>IF(A7&lt;=$I$5,BINOMDIST(A7,$I$5,$I$6,FALSE),0)</f>
        <v/>
      </c>
    </row>
    <row r="8">
      <c r="A8" s="13" t="n">
        <v>3</v>
      </c>
      <c r="B8" s="14">
        <f>POISSON(A8,$I$4,FALSE)</f>
        <v/>
      </c>
      <c r="C8" s="14">
        <f>IF(A8&lt;=$I$5,BINOMDIST(A8,$I$5,$I$6,FALSE),0)</f>
        <v/>
      </c>
      <c r="H8" s="11" t="inlineStr">
        <is>
          <t>Exponencial: media</t>
        </is>
      </c>
      <c r="I8" s="12" t="n">
        <v>2</v>
      </c>
    </row>
    <row r="9">
      <c r="A9" s="13" t="n">
        <v>4</v>
      </c>
      <c r="B9" s="14">
        <f>POISSON(A9,$I$4,FALSE)</f>
        <v/>
      </c>
      <c r="C9" s="14">
        <f>IF(A9&lt;=$I$5,BINOMDIST(A9,$I$5,$I$6,FALSE),0)</f>
        <v/>
      </c>
      <c r="H9" s="11" t="inlineStr">
        <is>
          <t>Normal: μ</t>
        </is>
      </c>
      <c r="I9" s="12" t="n">
        <v>5</v>
      </c>
    </row>
    <row r="10">
      <c r="A10" s="13" t="n">
        <v>5</v>
      </c>
      <c r="B10" s="14">
        <f>POISSON(A10,$I$4,FALSE)</f>
        <v/>
      </c>
      <c r="C10" s="14">
        <f>IF(A10&lt;=$I$5,BINOMDIST(A10,$I$5,$I$6,FALSE),0)</f>
        <v/>
      </c>
      <c r="H10" s="11" t="inlineStr">
        <is>
          <t>Normal: σ</t>
        </is>
      </c>
      <c r="I10" s="12" t="n">
        <v>1.2</v>
      </c>
    </row>
    <row r="11">
      <c r="A11" s="13" t="n">
        <v>6</v>
      </c>
      <c r="B11" s="14">
        <f>POISSON(A11,$I$4,FALSE)</f>
        <v/>
      </c>
      <c r="C11" s="14">
        <f>IF(A11&lt;=$I$5,BINOMDIST(A11,$I$5,$I$6,FALSE),0)</f>
        <v/>
      </c>
      <c r="H11" s="11" t="inlineStr">
        <is>
          <t>Gamma: forma k</t>
        </is>
      </c>
      <c r="I11" s="12" t="n">
        <v>3</v>
      </c>
    </row>
    <row r="12">
      <c r="A12" s="13" t="n">
        <v>7</v>
      </c>
      <c r="B12" s="14">
        <f>POISSON(A12,$I$4,FALSE)</f>
        <v/>
      </c>
      <c r="C12" s="14">
        <f>IF(A12&lt;=$I$5,BINOMDIST(A12,$I$5,$I$6,FALSE),0)</f>
        <v/>
      </c>
      <c r="H12" s="11" t="inlineStr">
        <is>
          <t>Gamma: escala θ</t>
        </is>
      </c>
      <c r="I12" s="12" t="n">
        <v>1</v>
      </c>
    </row>
    <row r="13">
      <c r="A13" s="13" t="n">
        <v>8</v>
      </c>
      <c r="B13" s="14">
        <f>POISSON(A13,$I$4,FALSE)</f>
        <v/>
      </c>
      <c r="C13" s="14">
        <f>IF(A13&lt;=$I$5,BINOMDIST(A13,$I$5,$I$6,FALSE),0)</f>
        <v/>
      </c>
      <c r="H13" s="11" t="inlineStr">
        <is>
          <t>Weibull: forma k</t>
        </is>
      </c>
      <c r="I13" s="12" t="n">
        <v>2</v>
      </c>
    </row>
    <row r="14">
      <c r="A14" s="13" t="n">
        <v>9</v>
      </c>
      <c r="B14" s="14">
        <f>POISSON(A14,$I$4,FALSE)</f>
        <v/>
      </c>
      <c r="C14" s="14">
        <f>IF(A14&lt;=$I$5,BINOMDIST(A14,$I$5,$I$6,FALSE),0)</f>
        <v/>
      </c>
      <c r="H14" s="11" t="inlineStr">
        <is>
          <t>Weibull: escala λ</t>
        </is>
      </c>
      <c r="I14" s="12" t="n">
        <v>5</v>
      </c>
    </row>
    <row r="15">
      <c r="A15" s="13" t="n">
        <v>10</v>
      </c>
      <c r="B15" s="14">
        <f>POISSON(A15,$I$4,FALSE)</f>
        <v/>
      </c>
      <c r="C15" s="14">
        <f>IF(A15&lt;=$I$5,BINOMDIST(A15,$I$5,$I$6,FALSE),0)</f>
        <v/>
      </c>
    </row>
    <row r="16">
      <c r="A16" s="15" t="inlineStr">
        <is>
          <t>Suma</t>
        </is>
      </c>
      <c r="B16" s="16">
        <f>SUM(B5:B15)</f>
        <v/>
      </c>
      <c r="C16" s="16">
        <f>SUM(C5:C15)</f>
        <v/>
      </c>
    </row>
    <row r="19">
      <c r="A19" s="10" t="inlineStr">
        <is>
          <t>x</t>
        </is>
      </c>
      <c r="B19" s="10" t="inlineStr">
        <is>
          <t>Exponencial</t>
        </is>
      </c>
      <c r="C19" s="10" t="inlineStr">
        <is>
          <t>Normal</t>
        </is>
      </c>
      <c r="D19" s="10" t="inlineStr">
        <is>
          <t>Gamma</t>
        </is>
      </c>
      <c r="E19" s="10" t="inlineStr">
        <is>
          <t>Weibull</t>
        </is>
      </c>
    </row>
    <row r="20">
      <c r="A20" s="17" t="n">
        <v>0</v>
      </c>
      <c r="B20" s="14">
        <f>EXP(-A20/$I$8)/$I$8</f>
        <v/>
      </c>
      <c r="C20" s="14">
        <f>NORMDIST(A20,$I$9,$I$10,FALSE)</f>
        <v/>
      </c>
      <c r="D20" s="14">
        <f>IF(A20=0,0,GAMMADIST(A20,$I$11,$I$12,FALSE))</f>
        <v/>
      </c>
      <c r="E20" s="14">
        <f>WEIBULL(A20,$I$13,$I$14,FALSE)</f>
        <v/>
      </c>
    </row>
    <row r="21">
      <c r="A21" s="17" t="n">
        <v>0.25</v>
      </c>
      <c r="B21" s="14">
        <f>EXP(-A21/$I$8)/$I$8</f>
        <v/>
      </c>
      <c r="C21" s="14">
        <f>NORMDIST(A21,$I$9,$I$10,FALSE)</f>
        <v/>
      </c>
      <c r="D21" s="14">
        <f>IF(A21=0,0,GAMMADIST(A21,$I$11,$I$12,FALSE))</f>
        <v/>
      </c>
      <c r="E21" s="14">
        <f>WEIBULL(A21,$I$13,$I$14,FALSE)</f>
        <v/>
      </c>
    </row>
    <row r="22">
      <c r="A22" s="17" t="n">
        <v>0.5</v>
      </c>
      <c r="B22" s="14">
        <f>EXP(-A22/$I$8)/$I$8</f>
        <v/>
      </c>
      <c r="C22" s="14">
        <f>NORMDIST(A22,$I$9,$I$10,FALSE)</f>
        <v/>
      </c>
      <c r="D22" s="14">
        <f>IF(A22=0,0,GAMMADIST(A22,$I$11,$I$12,FALSE))</f>
        <v/>
      </c>
      <c r="E22" s="14">
        <f>WEIBULL(A22,$I$13,$I$14,FALSE)</f>
        <v/>
      </c>
    </row>
    <row r="23">
      <c r="A23" s="17" t="n">
        <v>0.75</v>
      </c>
      <c r="B23" s="14">
        <f>EXP(-A23/$I$8)/$I$8</f>
        <v/>
      </c>
      <c r="C23" s="14">
        <f>NORMDIST(A23,$I$9,$I$10,FALSE)</f>
        <v/>
      </c>
      <c r="D23" s="14">
        <f>IF(A23=0,0,GAMMADIST(A23,$I$11,$I$12,FALSE))</f>
        <v/>
      </c>
      <c r="E23" s="14">
        <f>WEIBULL(A23,$I$13,$I$14,FALSE)</f>
        <v/>
      </c>
    </row>
    <row r="24">
      <c r="A24" s="17" t="n">
        <v>1</v>
      </c>
      <c r="B24" s="14">
        <f>EXP(-A24/$I$8)/$I$8</f>
        <v/>
      </c>
      <c r="C24" s="14">
        <f>NORMDIST(A24,$I$9,$I$10,FALSE)</f>
        <v/>
      </c>
      <c r="D24" s="14">
        <f>IF(A24=0,0,GAMMADIST(A24,$I$11,$I$12,FALSE))</f>
        <v/>
      </c>
      <c r="E24" s="14">
        <f>WEIBULL(A24,$I$13,$I$14,FALSE)</f>
        <v/>
      </c>
    </row>
    <row r="25">
      <c r="A25" s="17" t="n">
        <v>1.25</v>
      </c>
      <c r="B25" s="14">
        <f>EXP(-A25/$I$8)/$I$8</f>
        <v/>
      </c>
      <c r="C25" s="14">
        <f>NORMDIST(A25,$I$9,$I$10,FALSE)</f>
        <v/>
      </c>
      <c r="D25" s="14">
        <f>IF(A25=0,0,GAMMADIST(A25,$I$11,$I$12,FALSE))</f>
        <v/>
      </c>
      <c r="E25" s="14">
        <f>WEIBULL(A25,$I$13,$I$14,FALSE)</f>
        <v/>
      </c>
    </row>
    <row r="26">
      <c r="A26" s="17" t="n">
        <v>1.5</v>
      </c>
      <c r="B26" s="14">
        <f>EXP(-A26/$I$8)/$I$8</f>
        <v/>
      </c>
      <c r="C26" s="14">
        <f>NORMDIST(A26,$I$9,$I$10,FALSE)</f>
        <v/>
      </c>
      <c r="D26" s="14">
        <f>IF(A26=0,0,GAMMADIST(A26,$I$11,$I$12,FALSE))</f>
        <v/>
      </c>
      <c r="E26" s="14">
        <f>WEIBULL(A26,$I$13,$I$14,FALSE)</f>
        <v/>
      </c>
    </row>
    <row r="27">
      <c r="A27" s="17" t="n">
        <v>1.75</v>
      </c>
      <c r="B27" s="14">
        <f>EXP(-A27/$I$8)/$I$8</f>
        <v/>
      </c>
      <c r="C27" s="14">
        <f>NORMDIST(A27,$I$9,$I$10,FALSE)</f>
        <v/>
      </c>
      <c r="D27" s="14">
        <f>IF(A27=0,0,GAMMADIST(A27,$I$11,$I$12,FALSE))</f>
        <v/>
      </c>
      <c r="E27" s="14">
        <f>WEIBULL(A27,$I$13,$I$14,FALSE)</f>
        <v/>
      </c>
    </row>
    <row r="28">
      <c r="A28" s="17" t="n">
        <v>2</v>
      </c>
      <c r="B28" s="14">
        <f>EXP(-A28/$I$8)/$I$8</f>
        <v/>
      </c>
      <c r="C28" s="14">
        <f>NORMDIST(A28,$I$9,$I$10,FALSE)</f>
        <v/>
      </c>
      <c r="D28" s="14">
        <f>IF(A28=0,0,GAMMADIST(A28,$I$11,$I$12,FALSE))</f>
        <v/>
      </c>
      <c r="E28" s="14">
        <f>WEIBULL(A28,$I$13,$I$14,FALSE)</f>
        <v/>
      </c>
    </row>
    <row r="29">
      <c r="A29" s="17" t="n">
        <v>2.25</v>
      </c>
      <c r="B29" s="14">
        <f>EXP(-A29/$I$8)/$I$8</f>
        <v/>
      </c>
      <c r="C29" s="14">
        <f>NORMDIST(A29,$I$9,$I$10,FALSE)</f>
        <v/>
      </c>
      <c r="D29" s="14">
        <f>IF(A29=0,0,GAMMADIST(A29,$I$11,$I$12,FALSE))</f>
        <v/>
      </c>
      <c r="E29" s="14">
        <f>WEIBULL(A29,$I$13,$I$14,FALSE)</f>
        <v/>
      </c>
    </row>
    <row r="30">
      <c r="A30" s="17" t="n">
        <v>2.5</v>
      </c>
      <c r="B30" s="14">
        <f>EXP(-A30/$I$8)/$I$8</f>
        <v/>
      </c>
      <c r="C30" s="14">
        <f>NORMDIST(A30,$I$9,$I$10,FALSE)</f>
        <v/>
      </c>
      <c r="D30" s="14">
        <f>IF(A30=0,0,GAMMADIST(A30,$I$11,$I$12,FALSE))</f>
        <v/>
      </c>
      <c r="E30" s="14">
        <f>WEIBULL(A30,$I$13,$I$14,FALSE)</f>
        <v/>
      </c>
    </row>
    <row r="31">
      <c r="A31" s="17" t="n">
        <v>2.75</v>
      </c>
      <c r="B31" s="14">
        <f>EXP(-A31/$I$8)/$I$8</f>
        <v/>
      </c>
      <c r="C31" s="14">
        <f>NORMDIST(A31,$I$9,$I$10,FALSE)</f>
        <v/>
      </c>
      <c r="D31" s="14">
        <f>IF(A31=0,0,GAMMADIST(A31,$I$11,$I$12,FALSE))</f>
        <v/>
      </c>
      <c r="E31" s="14">
        <f>WEIBULL(A31,$I$13,$I$14,FALSE)</f>
        <v/>
      </c>
    </row>
    <row r="32">
      <c r="A32" s="17" t="n">
        <v>3</v>
      </c>
      <c r="B32" s="14">
        <f>EXP(-A32/$I$8)/$I$8</f>
        <v/>
      </c>
      <c r="C32" s="14">
        <f>NORMDIST(A32,$I$9,$I$10,FALSE)</f>
        <v/>
      </c>
      <c r="D32" s="14">
        <f>IF(A32=0,0,GAMMADIST(A32,$I$11,$I$12,FALSE))</f>
        <v/>
      </c>
      <c r="E32" s="14">
        <f>WEIBULL(A32,$I$13,$I$14,FALSE)</f>
        <v/>
      </c>
    </row>
    <row r="33">
      <c r="A33" s="17" t="n">
        <v>3.25</v>
      </c>
      <c r="B33" s="14">
        <f>EXP(-A33/$I$8)/$I$8</f>
        <v/>
      </c>
      <c r="C33" s="14">
        <f>NORMDIST(A33,$I$9,$I$10,FALSE)</f>
        <v/>
      </c>
      <c r="D33" s="14">
        <f>IF(A33=0,0,GAMMADIST(A33,$I$11,$I$12,FALSE))</f>
        <v/>
      </c>
      <c r="E33" s="14">
        <f>WEIBULL(A33,$I$13,$I$14,FALSE)</f>
        <v/>
      </c>
    </row>
    <row r="34">
      <c r="A34" s="17" t="n">
        <v>3.5</v>
      </c>
      <c r="B34" s="14">
        <f>EXP(-A34/$I$8)/$I$8</f>
        <v/>
      </c>
      <c r="C34" s="14">
        <f>NORMDIST(A34,$I$9,$I$10,FALSE)</f>
        <v/>
      </c>
      <c r="D34" s="14">
        <f>IF(A34=0,0,GAMMADIST(A34,$I$11,$I$12,FALSE))</f>
        <v/>
      </c>
      <c r="E34" s="14">
        <f>WEIBULL(A34,$I$13,$I$14,FALSE)</f>
        <v/>
      </c>
    </row>
    <row r="35">
      <c r="A35" s="17" t="n">
        <v>3.75</v>
      </c>
      <c r="B35" s="14">
        <f>EXP(-A35/$I$8)/$I$8</f>
        <v/>
      </c>
      <c r="C35" s="14">
        <f>NORMDIST(A35,$I$9,$I$10,FALSE)</f>
        <v/>
      </c>
      <c r="D35" s="14">
        <f>IF(A35=0,0,GAMMADIST(A35,$I$11,$I$12,FALSE))</f>
        <v/>
      </c>
      <c r="E35" s="14">
        <f>WEIBULL(A35,$I$13,$I$14,FALSE)</f>
        <v/>
      </c>
    </row>
    <row r="36">
      <c r="A36" s="17" t="n">
        <v>4</v>
      </c>
      <c r="B36" s="14">
        <f>EXP(-A36/$I$8)/$I$8</f>
        <v/>
      </c>
      <c r="C36" s="14">
        <f>NORMDIST(A36,$I$9,$I$10,FALSE)</f>
        <v/>
      </c>
      <c r="D36" s="14">
        <f>IF(A36=0,0,GAMMADIST(A36,$I$11,$I$12,FALSE))</f>
        <v/>
      </c>
      <c r="E36" s="14">
        <f>WEIBULL(A36,$I$13,$I$14,FALSE)</f>
        <v/>
      </c>
    </row>
    <row r="37">
      <c r="A37" s="17" t="n">
        <v>4.25</v>
      </c>
      <c r="B37" s="14">
        <f>EXP(-A37/$I$8)/$I$8</f>
        <v/>
      </c>
      <c r="C37" s="14">
        <f>NORMDIST(A37,$I$9,$I$10,FALSE)</f>
        <v/>
      </c>
      <c r="D37" s="14">
        <f>IF(A37=0,0,GAMMADIST(A37,$I$11,$I$12,FALSE))</f>
        <v/>
      </c>
      <c r="E37" s="14">
        <f>WEIBULL(A37,$I$13,$I$14,FALSE)</f>
        <v/>
      </c>
    </row>
    <row r="38">
      <c r="A38" s="17" t="n">
        <v>4.5</v>
      </c>
      <c r="B38" s="14">
        <f>EXP(-A38/$I$8)/$I$8</f>
        <v/>
      </c>
      <c r="C38" s="14">
        <f>NORMDIST(A38,$I$9,$I$10,FALSE)</f>
        <v/>
      </c>
      <c r="D38" s="14">
        <f>IF(A38=0,0,GAMMADIST(A38,$I$11,$I$12,FALSE))</f>
        <v/>
      </c>
      <c r="E38" s="14">
        <f>WEIBULL(A38,$I$13,$I$14,FALSE)</f>
        <v/>
      </c>
    </row>
    <row r="39">
      <c r="A39" s="17" t="n">
        <v>4.75</v>
      </c>
      <c r="B39" s="14">
        <f>EXP(-A39/$I$8)/$I$8</f>
        <v/>
      </c>
      <c r="C39" s="14">
        <f>NORMDIST(A39,$I$9,$I$10,FALSE)</f>
        <v/>
      </c>
      <c r="D39" s="14">
        <f>IF(A39=0,0,GAMMADIST(A39,$I$11,$I$12,FALSE))</f>
        <v/>
      </c>
      <c r="E39" s="14">
        <f>WEIBULL(A39,$I$13,$I$14,FALSE)</f>
        <v/>
      </c>
    </row>
    <row r="40">
      <c r="A40" s="17" t="n">
        <v>5</v>
      </c>
      <c r="B40" s="14">
        <f>EXP(-A40/$I$8)/$I$8</f>
        <v/>
      </c>
      <c r="C40" s="14">
        <f>NORMDIST(A40,$I$9,$I$10,FALSE)</f>
        <v/>
      </c>
      <c r="D40" s="14">
        <f>IF(A40=0,0,GAMMADIST(A40,$I$11,$I$12,FALSE))</f>
        <v/>
      </c>
      <c r="E40" s="14">
        <f>WEIBULL(A40,$I$13,$I$14,FALSE)</f>
        <v/>
      </c>
    </row>
    <row r="41">
      <c r="A41" s="17" t="n">
        <v>5.25</v>
      </c>
      <c r="B41" s="14">
        <f>EXP(-A41/$I$8)/$I$8</f>
        <v/>
      </c>
      <c r="C41" s="14">
        <f>NORMDIST(A41,$I$9,$I$10,FALSE)</f>
        <v/>
      </c>
      <c r="D41" s="14">
        <f>IF(A41=0,0,GAMMADIST(A41,$I$11,$I$12,FALSE))</f>
        <v/>
      </c>
      <c r="E41" s="14">
        <f>WEIBULL(A41,$I$13,$I$14,FALSE)</f>
        <v/>
      </c>
    </row>
    <row r="42">
      <c r="A42" s="17" t="n">
        <v>5.5</v>
      </c>
      <c r="B42" s="14">
        <f>EXP(-A42/$I$8)/$I$8</f>
        <v/>
      </c>
      <c r="C42" s="14">
        <f>NORMDIST(A42,$I$9,$I$10,FALSE)</f>
        <v/>
      </c>
      <c r="D42" s="14">
        <f>IF(A42=0,0,GAMMADIST(A42,$I$11,$I$12,FALSE))</f>
        <v/>
      </c>
      <c r="E42" s="14">
        <f>WEIBULL(A42,$I$13,$I$14,FALSE)</f>
        <v/>
      </c>
    </row>
    <row r="43">
      <c r="A43" s="17" t="n">
        <v>5.75</v>
      </c>
      <c r="B43" s="14">
        <f>EXP(-A43/$I$8)/$I$8</f>
        <v/>
      </c>
      <c r="C43" s="14">
        <f>NORMDIST(A43,$I$9,$I$10,FALSE)</f>
        <v/>
      </c>
      <c r="D43" s="14">
        <f>IF(A43=0,0,GAMMADIST(A43,$I$11,$I$12,FALSE))</f>
        <v/>
      </c>
      <c r="E43" s="14">
        <f>WEIBULL(A43,$I$13,$I$14,FALSE)</f>
        <v/>
      </c>
    </row>
    <row r="44">
      <c r="A44" s="17" t="n">
        <v>6</v>
      </c>
      <c r="B44" s="14">
        <f>EXP(-A44/$I$8)/$I$8</f>
        <v/>
      </c>
      <c r="C44" s="14">
        <f>NORMDIST(A44,$I$9,$I$10,FALSE)</f>
        <v/>
      </c>
      <c r="D44" s="14">
        <f>IF(A44=0,0,GAMMADIST(A44,$I$11,$I$12,FALSE))</f>
        <v/>
      </c>
      <c r="E44" s="14">
        <f>WEIBULL(A44,$I$13,$I$14,FALSE)</f>
        <v/>
      </c>
    </row>
    <row r="45">
      <c r="A45" s="17" t="n">
        <v>6.25</v>
      </c>
      <c r="B45" s="14">
        <f>EXP(-A45/$I$8)/$I$8</f>
        <v/>
      </c>
      <c r="C45" s="14">
        <f>NORMDIST(A45,$I$9,$I$10,FALSE)</f>
        <v/>
      </c>
      <c r="D45" s="14">
        <f>IF(A45=0,0,GAMMADIST(A45,$I$11,$I$12,FALSE))</f>
        <v/>
      </c>
      <c r="E45" s="14">
        <f>WEIBULL(A45,$I$13,$I$14,FALSE)</f>
        <v/>
      </c>
    </row>
    <row r="46">
      <c r="A46" s="17" t="n">
        <v>6.5</v>
      </c>
      <c r="B46" s="14">
        <f>EXP(-A46/$I$8)/$I$8</f>
        <v/>
      </c>
      <c r="C46" s="14">
        <f>NORMDIST(A46,$I$9,$I$10,FALSE)</f>
        <v/>
      </c>
      <c r="D46" s="14">
        <f>IF(A46=0,0,GAMMADIST(A46,$I$11,$I$12,FALSE))</f>
        <v/>
      </c>
      <c r="E46" s="14">
        <f>WEIBULL(A46,$I$13,$I$14,FALSE)</f>
        <v/>
      </c>
    </row>
    <row r="47">
      <c r="A47" s="17" t="n">
        <v>6.75</v>
      </c>
      <c r="B47" s="14">
        <f>EXP(-A47/$I$8)/$I$8</f>
        <v/>
      </c>
      <c r="C47" s="14">
        <f>NORMDIST(A47,$I$9,$I$10,FALSE)</f>
        <v/>
      </c>
      <c r="D47" s="14">
        <f>IF(A47=0,0,GAMMADIST(A47,$I$11,$I$12,FALSE))</f>
        <v/>
      </c>
      <c r="E47" s="14">
        <f>WEIBULL(A47,$I$13,$I$14,FALSE)</f>
        <v/>
      </c>
    </row>
    <row r="48">
      <c r="A48" s="17" t="n">
        <v>7</v>
      </c>
      <c r="B48" s="14">
        <f>EXP(-A48/$I$8)/$I$8</f>
        <v/>
      </c>
      <c r="C48" s="14">
        <f>NORMDIST(A48,$I$9,$I$10,FALSE)</f>
        <v/>
      </c>
      <c r="D48" s="14">
        <f>IF(A48=0,0,GAMMADIST(A48,$I$11,$I$12,FALSE))</f>
        <v/>
      </c>
      <c r="E48" s="14">
        <f>WEIBULL(A48,$I$13,$I$14,FALSE)</f>
        <v/>
      </c>
    </row>
    <row r="49">
      <c r="A49" s="17" t="n">
        <v>7.25</v>
      </c>
      <c r="B49" s="14">
        <f>EXP(-A49/$I$8)/$I$8</f>
        <v/>
      </c>
      <c r="C49" s="14">
        <f>NORMDIST(A49,$I$9,$I$10,FALSE)</f>
        <v/>
      </c>
      <c r="D49" s="14">
        <f>IF(A49=0,0,GAMMADIST(A49,$I$11,$I$12,FALSE))</f>
        <v/>
      </c>
      <c r="E49" s="14">
        <f>WEIBULL(A49,$I$13,$I$14,FALSE)</f>
        <v/>
      </c>
    </row>
    <row r="50">
      <c r="A50" s="17" t="n">
        <v>7.5</v>
      </c>
      <c r="B50" s="14">
        <f>EXP(-A50/$I$8)/$I$8</f>
        <v/>
      </c>
      <c r="C50" s="14">
        <f>NORMDIST(A50,$I$9,$I$10,FALSE)</f>
        <v/>
      </c>
      <c r="D50" s="14">
        <f>IF(A50=0,0,GAMMADIST(A50,$I$11,$I$12,FALSE))</f>
        <v/>
      </c>
      <c r="E50" s="14">
        <f>WEIBULL(A50,$I$13,$I$14,FALSE)</f>
        <v/>
      </c>
    </row>
    <row r="51">
      <c r="A51" s="17" t="n">
        <v>7.75</v>
      </c>
      <c r="B51" s="14">
        <f>EXP(-A51/$I$8)/$I$8</f>
        <v/>
      </c>
      <c r="C51" s="14">
        <f>NORMDIST(A51,$I$9,$I$10,FALSE)</f>
        <v/>
      </c>
      <c r="D51" s="14">
        <f>IF(A51=0,0,GAMMADIST(A51,$I$11,$I$12,FALSE))</f>
        <v/>
      </c>
      <c r="E51" s="14">
        <f>WEIBULL(A51,$I$13,$I$14,FALSE)</f>
        <v/>
      </c>
    </row>
    <row r="52">
      <c r="A52" s="17" t="n">
        <v>8</v>
      </c>
      <c r="B52" s="14">
        <f>EXP(-A52/$I$8)/$I$8</f>
        <v/>
      </c>
      <c r="C52" s="14">
        <f>NORMDIST(A52,$I$9,$I$10,FALSE)</f>
        <v/>
      </c>
      <c r="D52" s="14">
        <f>IF(A52=0,0,GAMMADIST(A52,$I$11,$I$12,FALSE))</f>
        <v/>
      </c>
      <c r="E52" s="14">
        <f>WEIBULL(A52,$I$13,$I$14,FALSE)</f>
        <v/>
      </c>
    </row>
    <row r="53">
      <c r="A53" s="17" t="n">
        <v>8.25</v>
      </c>
      <c r="B53" s="14">
        <f>EXP(-A53/$I$8)/$I$8</f>
        <v/>
      </c>
      <c r="C53" s="14">
        <f>NORMDIST(A53,$I$9,$I$10,FALSE)</f>
        <v/>
      </c>
      <c r="D53" s="14">
        <f>IF(A53=0,0,GAMMADIST(A53,$I$11,$I$12,FALSE))</f>
        <v/>
      </c>
      <c r="E53" s="14">
        <f>WEIBULL(A53,$I$13,$I$14,FALSE)</f>
        <v/>
      </c>
    </row>
    <row r="54">
      <c r="A54" s="17" t="n">
        <v>8.5</v>
      </c>
      <c r="B54" s="14">
        <f>EXP(-A54/$I$8)/$I$8</f>
        <v/>
      </c>
      <c r="C54" s="14">
        <f>NORMDIST(A54,$I$9,$I$10,FALSE)</f>
        <v/>
      </c>
      <c r="D54" s="14">
        <f>IF(A54=0,0,GAMMADIST(A54,$I$11,$I$12,FALSE))</f>
        <v/>
      </c>
      <c r="E54" s="14">
        <f>WEIBULL(A54,$I$13,$I$14,FALSE)</f>
        <v/>
      </c>
    </row>
    <row r="55">
      <c r="A55" s="17" t="n">
        <v>8.75</v>
      </c>
      <c r="B55" s="14">
        <f>EXP(-A55/$I$8)/$I$8</f>
        <v/>
      </c>
      <c r="C55" s="14">
        <f>NORMDIST(A55,$I$9,$I$10,FALSE)</f>
        <v/>
      </c>
      <c r="D55" s="14">
        <f>IF(A55=0,0,GAMMADIST(A55,$I$11,$I$12,FALSE))</f>
        <v/>
      </c>
      <c r="E55" s="14">
        <f>WEIBULL(A55,$I$13,$I$14,FALSE)</f>
        <v/>
      </c>
    </row>
    <row r="56">
      <c r="A56" s="17" t="n">
        <v>9</v>
      </c>
      <c r="B56" s="14">
        <f>EXP(-A56/$I$8)/$I$8</f>
        <v/>
      </c>
      <c r="C56" s="14">
        <f>NORMDIST(A56,$I$9,$I$10,FALSE)</f>
        <v/>
      </c>
      <c r="D56" s="14">
        <f>IF(A56=0,0,GAMMADIST(A56,$I$11,$I$12,FALSE))</f>
        <v/>
      </c>
      <c r="E56" s="14">
        <f>WEIBULL(A56,$I$13,$I$14,FALSE)</f>
        <v/>
      </c>
    </row>
    <row r="57">
      <c r="A57" s="17" t="n">
        <v>9.25</v>
      </c>
      <c r="B57" s="14">
        <f>EXP(-A57/$I$8)/$I$8</f>
        <v/>
      </c>
      <c r="C57" s="14">
        <f>NORMDIST(A57,$I$9,$I$10,FALSE)</f>
        <v/>
      </c>
      <c r="D57" s="14">
        <f>IF(A57=0,0,GAMMADIST(A57,$I$11,$I$12,FALSE))</f>
        <v/>
      </c>
      <c r="E57" s="14">
        <f>WEIBULL(A57,$I$13,$I$14,FALSE)</f>
        <v/>
      </c>
    </row>
    <row r="58">
      <c r="A58" s="17" t="n">
        <v>9.5</v>
      </c>
      <c r="B58" s="14">
        <f>EXP(-A58/$I$8)/$I$8</f>
        <v/>
      </c>
      <c r="C58" s="14">
        <f>NORMDIST(A58,$I$9,$I$10,FALSE)</f>
        <v/>
      </c>
      <c r="D58" s="14">
        <f>IF(A58=0,0,GAMMADIST(A58,$I$11,$I$12,FALSE))</f>
        <v/>
      </c>
      <c r="E58" s="14">
        <f>WEIBULL(A58,$I$13,$I$14,FALSE)</f>
        <v/>
      </c>
    </row>
    <row r="59">
      <c r="A59" s="17" t="n">
        <v>9.75</v>
      </c>
      <c r="B59" s="14">
        <f>EXP(-A59/$I$8)/$I$8</f>
        <v/>
      </c>
      <c r="C59" s="14">
        <f>NORMDIST(A59,$I$9,$I$10,FALSE)</f>
        <v/>
      </c>
      <c r="D59" s="14">
        <f>IF(A59=0,0,GAMMADIST(A59,$I$11,$I$12,FALSE))</f>
        <v/>
      </c>
      <c r="E59" s="14">
        <f>WEIBULL(A59,$I$13,$I$14,FALSE)</f>
        <v/>
      </c>
    </row>
    <row r="60">
      <c r="A60" s="17" t="n">
        <v>10</v>
      </c>
      <c r="B60" s="14">
        <f>EXP(-A60/$I$8)/$I$8</f>
        <v/>
      </c>
      <c r="C60" s="14">
        <f>NORMDIST(A60,$I$9,$I$10,FALSE)</f>
        <v/>
      </c>
      <c r="D60" s="14">
        <f>IF(A60=0,0,GAMMADIST(A60,$I$11,$I$12,FALSE))</f>
        <v/>
      </c>
      <c r="E60" s="14">
        <f>WEIBULL(A60,$I$13,$I$14,FALSE)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28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Generación de variables aleatorias</t>
        </is>
      </c>
    </row>
    <row r="2">
      <c r="A2" s="2" t="inlineStr">
        <is>
          <t>Cada fila usa números ALEATORIO() nuevos. Pulsa F9 para otra corrida.</t>
        </is>
      </c>
    </row>
    <row r="4">
      <c r="A4" s="10" t="inlineStr">
        <is>
          <t>i</t>
        </is>
      </c>
      <c r="B4" s="10" t="inlineStr">
        <is>
          <t>r</t>
        </is>
      </c>
      <c r="C4" s="10" t="inlineStr">
        <is>
          <t>Exponencial</t>
        </is>
      </c>
      <c r="D4" s="10" t="inlineStr">
        <is>
          <t>Triangular</t>
        </is>
      </c>
      <c r="E4" s="10" t="inlineStr">
        <is>
          <t>Discreta</t>
        </is>
      </c>
      <c r="F4" s="10" t="inlineStr">
        <is>
          <t>Erlang (conv.)</t>
        </is>
      </c>
      <c r="G4" s="10" t="inlineStr">
        <is>
          <t>Normal</t>
        </is>
      </c>
      <c r="H4" s="10" t="inlineStr">
        <is>
          <t>Composición</t>
        </is>
      </c>
      <c r="J4" s="11" t="inlineStr">
        <is>
          <t>Exponencial: media θ</t>
        </is>
      </c>
      <c r="K4" s="12" t="n">
        <v>4</v>
      </c>
    </row>
    <row r="5">
      <c r="A5" s="13" t="n">
        <v>1</v>
      </c>
      <c r="B5" s="14">
        <f>RAND()</f>
        <v/>
      </c>
      <c r="C5" s="16">
        <f>-$K$4*LN(1-B5)</f>
        <v/>
      </c>
      <c r="D5" s="16">
        <f>IF(B5&lt;$K$15,$K$5+SQRT(B5*($K$7-$K$5)*($K$6-$K$5)),$K$7-SQRT((1-B5)*($K$7-$K$5)*($K$7-$K$6)))</f>
        <v/>
      </c>
      <c r="E5" s="13">
        <f>INDEX($J$18:$J$22,MATCH(B5,$L$18:$L$22,1))</f>
        <v/>
      </c>
      <c r="F5" s="16">
        <f>-($K$9/$K$8)*LN(RAND()*RAND()*RAND())</f>
        <v/>
      </c>
      <c r="G5" s="16">
        <f>NORMINV(RAND(),$K$10,$K$11)</f>
        <v/>
      </c>
      <c r="H5" s="16">
        <f>IF(RAND()&lt;$K$12,-$K$13*LN(1-RAND()),-$K$14*LN(1-RAND()))</f>
        <v/>
      </c>
      <c r="J5" s="11" t="inlineStr">
        <is>
          <t>Triangular: a (mínimo)</t>
        </is>
      </c>
      <c r="K5" s="12" t="n">
        <v>2</v>
      </c>
    </row>
    <row r="6">
      <c r="A6" s="13" t="n">
        <v>2</v>
      </c>
      <c r="B6" s="14">
        <f>RAND()</f>
        <v/>
      </c>
      <c r="C6" s="16">
        <f>-$K$4*LN(1-B6)</f>
        <v/>
      </c>
      <c r="D6" s="16">
        <f>IF(B6&lt;$K$15,$K$5+SQRT(B6*($K$7-$K$5)*($K$6-$K$5)),$K$7-SQRT((1-B6)*($K$7-$K$5)*($K$7-$K$6)))</f>
        <v/>
      </c>
      <c r="E6" s="13">
        <f>INDEX($J$18:$J$22,MATCH(B6,$L$18:$L$22,1))</f>
        <v/>
      </c>
      <c r="F6" s="16">
        <f>-($K$9/$K$8)*LN(RAND()*RAND()*RAND())</f>
        <v/>
      </c>
      <c r="G6" s="16">
        <f>NORMINV(RAND(),$K$10,$K$11)</f>
        <v/>
      </c>
      <c r="H6" s="16">
        <f>IF(RAND()&lt;$K$12,-$K$13*LN(1-RAND()),-$K$14*LN(1-RAND()))</f>
        <v/>
      </c>
      <c r="J6" s="11" t="inlineStr">
        <is>
          <t>Triangular: c (moda)</t>
        </is>
      </c>
      <c r="K6" s="12" t="n">
        <v>3</v>
      </c>
    </row>
    <row r="7">
      <c r="A7" s="13" t="n">
        <v>3</v>
      </c>
      <c r="B7" s="14">
        <f>RAND()</f>
        <v/>
      </c>
      <c r="C7" s="16">
        <f>-$K$4*LN(1-B7)</f>
        <v/>
      </c>
      <c r="D7" s="16">
        <f>IF(B7&lt;$K$15,$K$5+SQRT(B7*($K$7-$K$5)*($K$6-$K$5)),$K$7-SQRT((1-B7)*($K$7-$K$5)*($K$7-$K$6)))</f>
        <v/>
      </c>
      <c r="E7" s="13">
        <f>INDEX($J$18:$J$22,MATCH(B7,$L$18:$L$22,1))</f>
        <v/>
      </c>
      <c r="F7" s="16">
        <f>-($K$9/$K$8)*LN(RAND()*RAND()*RAND())</f>
        <v/>
      </c>
      <c r="G7" s="16">
        <f>NORMINV(RAND(),$K$10,$K$11)</f>
        <v/>
      </c>
      <c r="H7" s="16">
        <f>IF(RAND()&lt;$K$12,-$K$13*LN(1-RAND()),-$K$14*LN(1-RAND()))</f>
        <v/>
      </c>
      <c r="J7" s="11" t="inlineStr">
        <is>
          <t>Triangular: b (máximo)</t>
        </is>
      </c>
      <c r="K7" s="12" t="n">
        <v>5</v>
      </c>
    </row>
    <row r="8">
      <c r="A8" s="13" t="n">
        <v>4</v>
      </c>
      <c r="B8" s="14">
        <f>RAND()</f>
        <v/>
      </c>
      <c r="C8" s="16">
        <f>-$K$4*LN(1-B8)</f>
        <v/>
      </c>
      <c r="D8" s="16">
        <f>IF(B8&lt;$K$15,$K$5+SQRT(B8*($K$7-$K$5)*($K$6-$K$5)),$K$7-SQRT((1-B8)*($K$7-$K$5)*($K$7-$K$6)))</f>
        <v/>
      </c>
      <c r="E8" s="13">
        <f>INDEX($J$18:$J$22,MATCH(B8,$L$18:$L$22,1))</f>
        <v/>
      </c>
      <c r="F8" s="16">
        <f>-($K$9/$K$8)*LN(RAND()*RAND()*RAND())</f>
        <v/>
      </c>
      <c r="G8" s="16">
        <f>NORMINV(RAND(),$K$10,$K$11)</f>
        <v/>
      </c>
      <c r="H8" s="16">
        <f>IF(RAND()&lt;$K$12,-$K$13*LN(1-RAND()),-$K$14*LN(1-RAND()))</f>
        <v/>
      </c>
      <c r="J8" s="11" t="inlineStr">
        <is>
          <t>Erlang: k (etapas)</t>
        </is>
      </c>
      <c r="K8" s="12" t="n">
        <v>3</v>
      </c>
    </row>
    <row r="9">
      <c r="A9" s="13" t="n">
        <v>5</v>
      </c>
      <c r="B9" s="14">
        <f>RAND()</f>
        <v/>
      </c>
      <c r="C9" s="16">
        <f>-$K$4*LN(1-B9)</f>
        <v/>
      </c>
      <c r="D9" s="16">
        <f>IF(B9&lt;$K$15,$K$5+SQRT(B9*($K$7-$K$5)*($K$6-$K$5)),$K$7-SQRT((1-B9)*($K$7-$K$5)*($K$7-$K$6)))</f>
        <v/>
      </c>
      <c r="E9" s="13">
        <f>INDEX($J$18:$J$22,MATCH(B9,$L$18:$L$22,1))</f>
        <v/>
      </c>
      <c r="F9" s="16">
        <f>-($K$9/$K$8)*LN(RAND()*RAND()*RAND())</f>
        <v/>
      </c>
      <c r="G9" s="16">
        <f>NORMINV(RAND(),$K$10,$K$11)</f>
        <v/>
      </c>
      <c r="H9" s="16">
        <f>IF(RAND()&lt;$K$12,-$K$13*LN(1-RAND()),-$K$14*LN(1-RAND()))</f>
        <v/>
      </c>
      <c r="J9" s="11" t="inlineStr">
        <is>
          <t>Erlang: media total</t>
        </is>
      </c>
      <c r="K9" s="12" t="n">
        <v>6</v>
      </c>
    </row>
    <row r="10">
      <c r="A10" s="13" t="n">
        <v>6</v>
      </c>
      <c r="B10" s="14">
        <f>RAND()</f>
        <v/>
      </c>
      <c r="C10" s="16">
        <f>-$K$4*LN(1-B10)</f>
        <v/>
      </c>
      <c r="D10" s="16">
        <f>IF(B10&lt;$K$15,$K$5+SQRT(B10*($K$7-$K$5)*($K$6-$K$5)),$K$7-SQRT((1-B10)*($K$7-$K$5)*($K$7-$K$6)))</f>
        <v/>
      </c>
      <c r="E10" s="13">
        <f>INDEX($J$18:$J$22,MATCH(B10,$L$18:$L$22,1))</f>
        <v/>
      </c>
      <c r="F10" s="16">
        <f>-($K$9/$K$8)*LN(RAND()*RAND()*RAND())</f>
        <v/>
      </c>
      <c r="G10" s="16">
        <f>NORMINV(RAND(),$K$10,$K$11)</f>
        <v/>
      </c>
      <c r="H10" s="16">
        <f>IF(RAND()&lt;$K$12,-$K$13*LN(1-RAND()),-$K$14*LN(1-RAND()))</f>
        <v/>
      </c>
      <c r="J10" s="11" t="inlineStr">
        <is>
          <t>Normal: μ</t>
        </is>
      </c>
      <c r="K10" s="12" t="n">
        <v>10</v>
      </c>
    </row>
    <row r="11">
      <c r="A11" s="13" t="n">
        <v>7</v>
      </c>
      <c r="B11" s="14">
        <f>RAND()</f>
        <v/>
      </c>
      <c r="C11" s="16">
        <f>-$K$4*LN(1-B11)</f>
        <v/>
      </c>
      <c r="D11" s="16">
        <f>IF(B11&lt;$K$15,$K$5+SQRT(B11*($K$7-$K$5)*($K$6-$K$5)),$K$7-SQRT((1-B11)*($K$7-$K$5)*($K$7-$K$6)))</f>
        <v/>
      </c>
      <c r="E11" s="13">
        <f>INDEX($J$18:$J$22,MATCH(B11,$L$18:$L$22,1))</f>
        <v/>
      </c>
      <c r="F11" s="16">
        <f>-($K$9/$K$8)*LN(RAND()*RAND()*RAND())</f>
        <v/>
      </c>
      <c r="G11" s="16">
        <f>NORMINV(RAND(),$K$10,$K$11)</f>
        <v/>
      </c>
      <c r="H11" s="16">
        <f>IF(RAND()&lt;$K$12,-$K$13*LN(1-RAND()),-$K$14*LN(1-RAND()))</f>
        <v/>
      </c>
      <c r="J11" s="11" t="inlineStr">
        <is>
          <t>Normal: σ</t>
        </is>
      </c>
      <c r="K11" s="12" t="n">
        <v>2</v>
      </c>
    </row>
    <row r="12">
      <c r="A12" s="13" t="n">
        <v>8</v>
      </c>
      <c r="B12" s="14">
        <f>RAND()</f>
        <v/>
      </c>
      <c r="C12" s="16">
        <f>-$K$4*LN(1-B12)</f>
        <v/>
      </c>
      <c r="D12" s="16">
        <f>IF(B12&lt;$K$15,$K$5+SQRT(B12*($K$7-$K$5)*($K$6-$K$5)),$K$7-SQRT((1-B12)*($K$7-$K$5)*($K$7-$K$6)))</f>
        <v/>
      </c>
      <c r="E12" s="13">
        <f>INDEX($J$18:$J$22,MATCH(B12,$L$18:$L$22,1))</f>
        <v/>
      </c>
      <c r="F12" s="16">
        <f>-($K$9/$K$8)*LN(RAND()*RAND()*RAND())</f>
        <v/>
      </c>
      <c r="G12" s="16">
        <f>NORMINV(RAND(),$K$10,$K$11)</f>
        <v/>
      </c>
      <c r="H12" s="16">
        <f>IF(RAND()&lt;$K$12,-$K$13*LN(1-RAND()),-$K$14*LN(1-RAND()))</f>
        <v/>
      </c>
      <c r="J12" s="11" t="inlineStr">
        <is>
          <t>Composición: p₁ (sencillo)</t>
        </is>
      </c>
      <c r="K12" s="12" t="n">
        <v>0.7</v>
      </c>
    </row>
    <row r="13">
      <c r="A13" s="13" t="n">
        <v>9</v>
      </c>
      <c r="B13" s="14">
        <f>RAND()</f>
        <v/>
      </c>
      <c r="C13" s="16">
        <f>-$K$4*LN(1-B13)</f>
        <v/>
      </c>
      <c r="D13" s="16">
        <f>IF(B13&lt;$K$15,$K$5+SQRT(B13*($K$7-$K$5)*($K$6-$K$5)),$K$7-SQRT((1-B13)*($K$7-$K$5)*($K$7-$K$6)))</f>
        <v/>
      </c>
      <c r="E13" s="13">
        <f>INDEX($J$18:$J$22,MATCH(B13,$L$18:$L$22,1))</f>
        <v/>
      </c>
      <c r="F13" s="16">
        <f>-($K$9/$K$8)*LN(RAND()*RAND()*RAND())</f>
        <v/>
      </c>
      <c r="G13" s="16">
        <f>NORMINV(RAND(),$K$10,$K$11)</f>
        <v/>
      </c>
      <c r="H13" s="16">
        <f>IF(RAND()&lt;$K$12,-$K$13*LN(1-RAND()),-$K$14*LN(1-RAND()))</f>
        <v/>
      </c>
      <c r="J13" s="11" t="inlineStr">
        <is>
          <t>Composición: media 1</t>
        </is>
      </c>
      <c r="K13" s="12" t="n">
        <v>2</v>
      </c>
    </row>
    <row r="14">
      <c r="A14" s="13" t="n">
        <v>10</v>
      </c>
      <c r="B14" s="14">
        <f>RAND()</f>
        <v/>
      </c>
      <c r="C14" s="16">
        <f>-$K$4*LN(1-B14)</f>
        <v/>
      </c>
      <c r="D14" s="16">
        <f>IF(B14&lt;$K$15,$K$5+SQRT(B14*($K$7-$K$5)*($K$6-$K$5)),$K$7-SQRT((1-B14)*($K$7-$K$5)*($K$7-$K$6)))</f>
        <v/>
      </c>
      <c r="E14" s="13">
        <f>INDEX($J$18:$J$22,MATCH(B14,$L$18:$L$22,1))</f>
        <v/>
      </c>
      <c r="F14" s="16">
        <f>-($K$9/$K$8)*LN(RAND()*RAND()*RAND())</f>
        <v/>
      </c>
      <c r="G14" s="16">
        <f>NORMINV(RAND(),$K$10,$K$11)</f>
        <v/>
      </c>
      <c r="H14" s="16">
        <f>IF(RAND()&lt;$K$12,-$K$13*LN(1-RAND()),-$K$14*LN(1-RAND()))</f>
        <v/>
      </c>
      <c r="J14" s="11" t="inlineStr">
        <is>
          <t>Composición: media 2</t>
        </is>
      </c>
      <c r="K14" s="12" t="n">
        <v>8</v>
      </c>
    </row>
    <row r="15">
      <c r="A15" s="13" t="n">
        <v>11</v>
      </c>
      <c r="B15" s="14">
        <f>RAND()</f>
        <v/>
      </c>
      <c r="C15" s="16">
        <f>-$K$4*LN(1-B15)</f>
        <v/>
      </c>
      <c r="D15" s="16">
        <f>IF(B15&lt;$K$15,$K$5+SQRT(B15*($K$7-$K$5)*($K$6-$K$5)),$K$7-SQRT((1-B15)*($K$7-$K$5)*($K$7-$K$6)))</f>
        <v/>
      </c>
      <c r="E15" s="13">
        <f>INDEX($J$18:$J$22,MATCH(B15,$L$18:$L$22,1))</f>
        <v/>
      </c>
      <c r="F15" s="16">
        <f>-($K$9/$K$8)*LN(RAND()*RAND()*RAND())</f>
        <v/>
      </c>
      <c r="G15" s="16">
        <f>NORMINV(RAND(),$K$10,$K$11)</f>
        <v/>
      </c>
      <c r="H15" s="16">
        <f>IF(RAND()&lt;$K$12,-$K$13*LN(1-RAND()),-$K$14*LN(1-RAND()))</f>
        <v/>
      </c>
      <c r="J15" s="11" t="inlineStr">
        <is>
          <t>F(c) triangular</t>
        </is>
      </c>
      <c r="K15" s="14">
        <f>(K6-K5)/(K7-K5)</f>
        <v/>
      </c>
    </row>
    <row r="16">
      <c r="A16" s="13" t="n">
        <v>12</v>
      </c>
      <c r="B16" s="14">
        <f>RAND()</f>
        <v/>
      </c>
      <c r="C16" s="16">
        <f>-$K$4*LN(1-B16)</f>
        <v/>
      </c>
      <c r="D16" s="16">
        <f>IF(B16&lt;$K$15,$K$5+SQRT(B16*($K$7-$K$5)*($K$6-$K$5)),$K$7-SQRT((1-B16)*($K$7-$K$5)*($K$7-$K$6)))</f>
        <v/>
      </c>
      <c r="E16" s="13">
        <f>INDEX($J$18:$J$22,MATCH(B16,$L$18:$L$22,1))</f>
        <v/>
      </c>
      <c r="F16" s="16">
        <f>-($K$9/$K$8)*LN(RAND()*RAND()*RAND())</f>
        <v/>
      </c>
      <c r="G16" s="16">
        <f>NORMINV(RAND(),$K$10,$K$11)</f>
        <v/>
      </c>
      <c r="H16" s="16">
        <f>IF(RAND()&lt;$K$12,-$K$13*LN(1-RAND()),-$K$14*LN(1-RAND()))</f>
        <v/>
      </c>
    </row>
    <row r="17">
      <c r="A17" s="13" t="n">
        <v>13</v>
      </c>
      <c r="B17" s="14">
        <f>RAND()</f>
        <v/>
      </c>
      <c r="C17" s="16">
        <f>-$K$4*LN(1-B17)</f>
        <v/>
      </c>
      <c r="D17" s="16">
        <f>IF(B17&lt;$K$15,$K$5+SQRT(B17*($K$7-$K$5)*($K$6-$K$5)),$K$7-SQRT((1-B17)*($K$7-$K$5)*($K$7-$K$6)))</f>
        <v/>
      </c>
      <c r="E17" s="13">
        <f>INDEX($J$18:$J$22,MATCH(B17,$L$18:$L$22,1))</f>
        <v/>
      </c>
      <c r="F17" s="16">
        <f>-($K$9/$K$8)*LN(RAND()*RAND()*RAND())</f>
        <v/>
      </c>
      <c r="G17" s="16">
        <f>NORMINV(RAND(),$K$10,$K$11)</f>
        <v/>
      </c>
      <c r="H17" s="16">
        <f>IF(RAND()&lt;$K$12,-$K$13*LN(1-RAND()),-$K$14*LN(1-RAND()))</f>
        <v/>
      </c>
      <c r="J17" s="10" t="inlineStr">
        <is>
          <t>Demanda x</t>
        </is>
      </c>
      <c r="K17" s="10" t="inlineStr">
        <is>
          <t>p(x)</t>
        </is>
      </c>
      <c r="L17" s="10" t="inlineStr">
        <is>
          <t>Límite inferior de r</t>
        </is>
      </c>
      <c r="M17" s="10" t="inlineStr">
        <is>
          <t>F(x)</t>
        </is>
      </c>
    </row>
    <row r="18">
      <c r="A18" s="13" t="n">
        <v>14</v>
      </c>
      <c r="B18" s="14">
        <f>RAND()</f>
        <v/>
      </c>
      <c r="C18" s="16">
        <f>-$K$4*LN(1-B18)</f>
        <v/>
      </c>
      <c r="D18" s="16">
        <f>IF(B18&lt;$K$15,$K$5+SQRT(B18*($K$7-$K$5)*($K$6-$K$5)),$K$7-SQRT((1-B18)*($K$7-$K$5)*($K$7-$K$6)))</f>
        <v/>
      </c>
      <c r="E18" s="13">
        <f>INDEX($J$18:$J$22,MATCH(B18,$L$18:$L$22,1))</f>
        <v/>
      </c>
      <c r="F18" s="16">
        <f>-($K$9/$K$8)*LN(RAND()*RAND()*RAND())</f>
        <v/>
      </c>
      <c r="G18" s="16">
        <f>NORMINV(RAND(),$K$10,$K$11)</f>
        <v/>
      </c>
      <c r="H18" s="16">
        <f>IF(RAND()&lt;$K$12,-$K$13*LN(1-RAND()),-$K$14*LN(1-RAND()))</f>
        <v/>
      </c>
      <c r="J18" s="12" t="n">
        <v>0</v>
      </c>
      <c r="K18" s="18" t="n">
        <v>0.1</v>
      </c>
      <c r="L18" s="17" t="n">
        <v>0</v>
      </c>
      <c r="M18" s="17">
        <f>L18+K18</f>
        <v/>
      </c>
    </row>
    <row r="19">
      <c r="A19" s="13" t="n">
        <v>15</v>
      </c>
      <c r="B19" s="14">
        <f>RAND()</f>
        <v/>
      </c>
      <c r="C19" s="16">
        <f>-$K$4*LN(1-B19)</f>
        <v/>
      </c>
      <c r="D19" s="16">
        <f>IF(B19&lt;$K$15,$K$5+SQRT(B19*($K$7-$K$5)*($K$6-$K$5)),$K$7-SQRT((1-B19)*($K$7-$K$5)*($K$7-$K$6)))</f>
        <v/>
      </c>
      <c r="E19" s="13">
        <f>INDEX($J$18:$J$22,MATCH(B19,$L$18:$L$22,1))</f>
        <v/>
      </c>
      <c r="F19" s="16">
        <f>-($K$9/$K$8)*LN(RAND()*RAND()*RAND())</f>
        <v/>
      </c>
      <c r="G19" s="16">
        <f>NORMINV(RAND(),$K$10,$K$11)</f>
        <v/>
      </c>
      <c r="H19" s="16">
        <f>IF(RAND()&lt;$K$12,-$K$13*LN(1-RAND()),-$K$14*LN(1-RAND()))</f>
        <v/>
      </c>
      <c r="J19" s="12" t="n">
        <v>1</v>
      </c>
      <c r="K19" s="18" t="n">
        <v>0.25</v>
      </c>
      <c r="L19" s="17">
        <f>M18</f>
        <v/>
      </c>
      <c r="M19" s="17">
        <f>L19+K19</f>
        <v/>
      </c>
    </row>
    <row r="20">
      <c r="A20" s="13" t="n">
        <v>16</v>
      </c>
      <c r="B20" s="14">
        <f>RAND()</f>
        <v/>
      </c>
      <c r="C20" s="16">
        <f>-$K$4*LN(1-B20)</f>
        <v/>
      </c>
      <c r="D20" s="16">
        <f>IF(B20&lt;$K$15,$K$5+SQRT(B20*($K$7-$K$5)*($K$6-$K$5)),$K$7-SQRT((1-B20)*($K$7-$K$5)*($K$7-$K$6)))</f>
        <v/>
      </c>
      <c r="E20" s="13">
        <f>INDEX($J$18:$J$22,MATCH(B20,$L$18:$L$22,1))</f>
        <v/>
      </c>
      <c r="F20" s="16">
        <f>-($K$9/$K$8)*LN(RAND()*RAND()*RAND())</f>
        <v/>
      </c>
      <c r="G20" s="16">
        <f>NORMINV(RAND(),$K$10,$K$11)</f>
        <v/>
      </c>
      <c r="H20" s="16">
        <f>IF(RAND()&lt;$K$12,-$K$13*LN(1-RAND()),-$K$14*LN(1-RAND()))</f>
        <v/>
      </c>
      <c r="J20" s="12" t="n">
        <v>2</v>
      </c>
      <c r="K20" s="18" t="n">
        <v>0.35</v>
      </c>
      <c r="L20" s="17">
        <f>M19</f>
        <v/>
      </c>
      <c r="M20" s="17">
        <f>L20+K20</f>
        <v/>
      </c>
    </row>
    <row r="21">
      <c r="A21" s="13" t="n">
        <v>17</v>
      </c>
      <c r="B21" s="14">
        <f>RAND()</f>
        <v/>
      </c>
      <c r="C21" s="16">
        <f>-$K$4*LN(1-B21)</f>
        <v/>
      </c>
      <c r="D21" s="16">
        <f>IF(B21&lt;$K$15,$K$5+SQRT(B21*($K$7-$K$5)*($K$6-$K$5)),$K$7-SQRT((1-B21)*($K$7-$K$5)*($K$7-$K$6)))</f>
        <v/>
      </c>
      <c r="E21" s="13">
        <f>INDEX($J$18:$J$22,MATCH(B21,$L$18:$L$22,1))</f>
        <v/>
      </c>
      <c r="F21" s="16">
        <f>-($K$9/$K$8)*LN(RAND()*RAND()*RAND())</f>
        <v/>
      </c>
      <c r="G21" s="16">
        <f>NORMINV(RAND(),$K$10,$K$11)</f>
        <v/>
      </c>
      <c r="H21" s="16">
        <f>IF(RAND()&lt;$K$12,-$K$13*LN(1-RAND()),-$K$14*LN(1-RAND()))</f>
        <v/>
      </c>
      <c r="J21" s="12" t="n">
        <v>3</v>
      </c>
      <c r="K21" s="18" t="n">
        <v>0.2</v>
      </c>
      <c r="L21" s="17">
        <f>M20</f>
        <v/>
      </c>
      <c r="M21" s="17">
        <f>L21+K21</f>
        <v/>
      </c>
    </row>
    <row r="22">
      <c r="A22" s="13" t="n">
        <v>18</v>
      </c>
      <c r="B22" s="14">
        <f>RAND()</f>
        <v/>
      </c>
      <c r="C22" s="16">
        <f>-$K$4*LN(1-B22)</f>
        <v/>
      </c>
      <c r="D22" s="16">
        <f>IF(B22&lt;$K$15,$K$5+SQRT(B22*($K$7-$K$5)*($K$6-$K$5)),$K$7-SQRT((1-B22)*($K$7-$K$5)*($K$7-$K$6)))</f>
        <v/>
      </c>
      <c r="E22" s="13">
        <f>INDEX($J$18:$J$22,MATCH(B22,$L$18:$L$22,1))</f>
        <v/>
      </c>
      <c r="F22" s="16">
        <f>-($K$9/$K$8)*LN(RAND()*RAND()*RAND())</f>
        <v/>
      </c>
      <c r="G22" s="16">
        <f>NORMINV(RAND(),$K$10,$K$11)</f>
        <v/>
      </c>
      <c r="H22" s="16">
        <f>IF(RAND()&lt;$K$12,-$K$13*LN(1-RAND()),-$K$14*LN(1-RAND()))</f>
        <v/>
      </c>
      <c r="J22" s="12" t="n">
        <v>4</v>
      </c>
      <c r="K22" s="18" t="n">
        <v>0.1</v>
      </c>
      <c r="L22" s="17">
        <f>M21</f>
        <v/>
      </c>
      <c r="M22" s="17">
        <f>L22+K22</f>
        <v/>
      </c>
    </row>
    <row r="23">
      <c r="A23" s="13" t="n">
        <v>19</v>
      </c>
      <c r="B23" s="14">
        <f>RAND()</f>
        <v/>
      </c>
      <c r="C23" s="16">
        <f>-$K$4*LN(1-B23)</f>
        <v/>
      </c>
      <c r="D23" s="16">
        <f>IF(B23&lt;$K$15,$K$5+SQRT(B23*($K$7-$K$5)*($K$6-$K$5)),$K$7-SQRT((1-B23)*($K$7-$K$5)*($K$7-$K$6)))</f>
        <v/>
      </c>
      <c r="E23" s="13">
        <f>INDEX($J$18:$J$22,MATCH(B23,$L$18:$L$22,1))</f>
        <v/>
      </c>
      <c r="F23" s="16">
        <f>-($K$9/$K$8)*LN(RAND()*RAND()*RAND())</f>
        <v/>
      </c>
      <c r="G23" s="16">
        <f>NORMINV(RAND(),$K$10,$K$11)</f>
        <v/>
      </c>
      <c r="H23" s="16">
        <f>IF(RAND()&lt;$K$12,-$K$13*LN(1-RAND()),-$K$14*LN(1-RAND()))</f>
        <v/>
      </c>
      <c r="J23" s="11" t="inlineStr">
        <is>
          <t>Suma de p (debe ser 1)</t>
        </is>
      </c>
      <c r="K23" s="17">
        <f>SUM(K18:K22)</f>
        <v/>
      </c>
    </row>
    <row r="24">
      <c r="A24" s="13" t="n">
        <v>20</v>
      </c>
      <c r="B24" s="14">
        <f>RAND()</f>
        <v/>
      </c>
      <c r="C24" s="16">
        <f>-$K$4*LN(1-B24)</f>
        <v/>
      </c>
      <c r="D24" s="16">
        <f>IF(B24&lt;$K$15,$K$5+SQRT(B24*($K$7-$K$5)*($K$6-$K$5)),$K$7-SQRT((1-B24)*($K$7-$K$5)*($K$7-$K$6)))</f>
        <v/>
      </c>
      <c r="E24" s="13">
        <f>INDEX($J$18:$J$22,MATCH(B24,$L$18:$L$22,1))</f>
        <v/>
      </c>
      <c r="F24" s="16">
        <f>-($K$9/$K$8)*LN(RAND()*RAND()*RAND())</f>
        <v/>
      </c>
      <c r="G24" s="16">
        <f>NORMINV(RAND(),$K$10,$K$11)</f>
        <v/>
      </c>
      <c r="H24" s="16">
        <f>IF(RAND()&lt;$K$12,-$K$13*LN(1-RAND()),-$K$14*LN(1-RAND()))</f>
        <v/>
      </c>
    </row>
    <row r="25">
      <c r="A25" s="13" t="n">
        <v>21</v>
      </c>
      <c r="B25" s="14">
        <f>RAND()</f>
        <v/>
      </c>
      <c r="C25" s="16">
        <f>-$K$4*LN(1-B25)</f>
        <v/>
      </c>
      <c r="D25" s="16">
        <f>IF(B25&lt;$K$15,$K$5+SQRT(B25*($K$7-$K$5)*($K$6-$K$5)),$K$7-SQRT((1-B25)*($K$7-$K$5)*($K$7-$K$6)))</f>
        <v/>
      </c>
      <c r="E25" s="13">
        <f>INDEX($J$18:$J$22,MATCH(B25,$L$18:$L$22,1))</f>
        <v/>
      </c>
      <c r="F25" s="16">
        <f>-($K$9/$K$8)*LN(RAND()*RAND()*RAND())</f>
        <v/>
      </c>
      <c r="G25" s="16">
        <f>NORMINV(RAND(),$K$10,$K$11)</f>
        <v/>
      </c>
      <c r="H25" s="16">
        <f>IF(RAND()&lt;$K$12,-$K$13*LN(1-RAND()),-$K$14*LN(1-RAND()))</f>
        <v/>
      </c>
    </row>
    <row r="26">
      <c r="A26" s="13" t="n">
        <v>22</v>
      </c>
      <c r="B26" s="14">
        <f>RAND()</f>
        <v/>
      </c>
      <c r="C26" s="16">
        <f>-$K$4*LN(1-B26)</f>
        <v/>
      </c>
      <c r="D26" s="16">
        <f>IF(B26&lt;$K$15,$K$5+SQRT(B26*($K$7-$K$5)*($K$6-$K$5)),$K$7-SQRT((1-B26)*($K$7-$K$5)*($K$7-$K$6)))</f>
        <v/>
      </c>
      <c r="E26" s="13">
        <f>INDEX($J$18:$J$22,MATCH(B26,$L$18:$L$22,1))</f>
        <v/>
      </c>
      <c r="F26" s="16">
        <f>-($K$9/$K$8)*LN(RAND()*RAND()*RAND())</f>
        <v/>
      </c>
      <c r="G26" s="16">
        <f>NORMINV(RAND(),$K$10,$K$11)</f>
        <v/>
      </c>
      <c r="H26" s="16">
        <f>IF(RAND()&lt;$K$12,-$K$13*LN(1-RAND()),-$K$14*LN(1-RAND()))</f>
        <v/>
      </c>
      <c r="J26" s="10" t="inlineStr">
        <is>
          <t>Variable</t>
        </is>
      </c>
      <c r="K26" s="10" t="inlineStr">
        <is>
          <t>Media simulada</t>
        </is>
      </c>
      <c r="L26" s="10" t="inlineStr">
        <is>
          <t>Media teórica</t>
        </is>
      </c>
      <c r="M26" s="10" t="inlineStr">
        <is>
          <t>Desv. simulada</t>
        </is>
      </c>
    </row>
    <row r="27">
      <c r="A27" s="13" t="n">
        <v>23</v>
      </c>
      <c r="B27" s="14">
        <f>RAND()</f>
        <v/>
      </c>
      <c r="C27" s="16">
        <f>-$K$4*LN(1-B27)</f>
        <v/>
      </c>
      <c r="D27" s="16">
        <f>IF(B27&lt;$K$15,$K$5+SQRT(B27*($K$7-$K$5)*($K$6-$K$5)),$K$7-SQRT((1-B27)*($K$7-$K$5)*($K$7-$K$6)))</f>
        <v/>
      </c>
      <c r="E27" s="13">
        <f>INDEX($J$18:$J$22,MATCH(B27,$L$18:$L$22,1))</f>
        <v/>
      </c>
      <c r="F27" s="16">
        <f>-($K$9/$K$8)*LN(RAND()*RAND()*RAND())</f>
        <v/>
      </c>
      <c r="G27" s="16">
        <f>NORMINV(RAND(),$K$10,$K$11)</f>
        <v/>
      </c>
      <c r="H27" s="16">
        <f>IF(RAND()&lt;$K$12,-$K$13*LN(1-RAND()),-$K$14*LN(1-RAND()))</f>
        <v/>
      </c>
      <c r="J27" s="11" t="inlineStr">
        <is>
          <t>Exponencial</t>
        </is>
      </c>
      <c r="K27" s="16">
        <f>AVERAGE(C5:C504)</f>
        <v/>
      </c>
      <c r="L27" s="16">
        <f>K4</f>
        <v/>
      </c>
      <c r="M27" s="16">
        <f>STDEV(C5:C504)</f>
        <v/>
      </c>
    </row>
    <row r="28">
      <c r="A28" s="13" t="n">
        <v>24</v>
      </c>
      <c r="B28" s="14">
        <f>RAND()</f>
        <v/>
      </c>
      <c r="C28" s="16">
        <f>-$K$4*LN(1-B28)</f>
        <v/>
      </c>
      <c r="D28" s="16">
        <f>IF(B28&lt;$K$15,$K$5+SQRT(B28*($K$7-$K$5)*($K$6-$K$5)),$K$7-SQRT((1-B28)*($K$7-$K$5)*($K$7-$K$6)))</f>
        <v/>
      </c>
      <c r="E28" s="13">
        <f>INDEX($J$18:$J$22,MATCH(B28,$L$18:$L$22,1))</f>
        <v/>
      </c>
      <c r="F28" s="16">
        <f>-($K$9/$K$8)*LN(RAND()*RAND()*RAND())</f>
        <v/>
      </c>
      <c r="G28" s="16">
        <f>NORMINV(RAND(),$K$10,$K$11)</f>
        <v/>
      </c>
      <c r="H28" s="16">
        <f>IF(RAND()&lt;$K$12,-$K$13*LN(1-RAND()),-$K$14*LN(1-RAND()))</f>
        <v/>
      </c>
      <c r="J28" s="11" t="inlineStr">
        <is>
          <t>Triangular</t>
        </is>
      </c>
      <c r="K28" s="16">
        <f>AVERAGE(D5:D504)</f>
        <v/>
      </c>
      <c r="L28" s="16">
        <f>(K5+K6+K7)/3</f>
        <v/>
      </c>
      <c r="M28" s="16">
        <f>STDEV(D5:D504)</f>
        <v/>
      </c>
    </row>
    <row r="29">
      <c r="A29" s="13" t="n">
        <v>25</v>
      </c>
      <c r="B29" s="14">
        <f>RAND()</f>
        <v/>
      </c>
      <c r="C29" s="16">
        <f>-$K$4*LN(1-B29)</f>
        <v/>
      </c>
      <c r="D29" s="16">
        <f>IF(B29&lt;$K$15,$K$5+SQRT(B29*($K$7-$K$5)*($K$6-$K$5)),$K$7-SQRT((1-B29)*($K$7-$K$5)*($K$7-$K$6)))</f>
        <v/>
      </c>
      <c r="E29" s="13">
        <f>INDEX($J$18:$J$22,MATCH(B29,$L$18:$L$22,1))</f>
        <v/>
      </c>
      <c r="F29" s="16">
        <f>-($K$9/$K$8)*LN(RAND()*RAND()*RAND())</f>
        <v/>
      </c>
      <c r="G29" s="16">
        <f>NORMINV(RAND(),$K$10,$K$11)</f>
        <v/>
      </c>
      <c r="H29" s="16">
        <f>IF(RAND()&lt;$K$12,-$K$13*LN(1-RAND()),-$K$14*LN(1-RAND()))</f>
        <v/>
      </c>
      <c r="J29" s="11" t="inlineStr">
        <is>
          <t>Discreta</t>
        </is>
      </c>
      <c r="K29" s="16">
        <f>AVERAGE(E5:E504)</f>
        <v/>
      </c>
      <c r="L29" s="16">
        <f>SUMPRODUCT(J18:J22,K18:K22)</f>
        <v/>
      </c>
      <c r="M29" s="16">
        <f>STDEV(E5:E504)</f>
        <v/>
      </c>
    </row>
    <row r="30">
      <c r="A30" s="13" t="n">
        <v>26</v>
      </c>
      <c r="B30" s="14">
        <f>RAND()</f>
        <v/>
      </c>
      <c r="C30" s="16">
        <f>-$K$4*LN(1-B30)</f>
        <v/>
      </c>
      <c r="D30" s="16">
        <f>IF(B30&lt;$K$15,$K$5+SQRT(B30*($K$7-$K$5)*($K$6-$K$5)),$K$7-SQRT((1-B30)*($K$7-$K$5)*($K$7-$K$6)))</f>
        <v/>
      </c>
      <c r="E30" s="13">
        <f>INDEX($J$18:$J$22,MATCH(B30,$L$18:$L$22,1))</f>
        <v/>
      </c>
      <c r="F30" s="16">
        <f>-($K$9/$K$8)*LN(RAND()*RAND()*RAND())</f>
        <v/>
      </c>
      <c r="G30" s="16">
        <f>NORMINV(RAND(),$K$10,$K$11)</f>
        <v/>
      </c>
      <c r="H30" s="16">
        <f>IF(RAND()&lt;$K$12,-$K$13*LN(1-RAND()),-$K$14*LN(1-RAND()))</f>
        <v/>
      </c>
      <c r="J30" s="11" t="inlineStr">
        <is>
          <t>Erlang</t>
        </is>
      </c>
      <c r="K30" s="16">
        <f>AVERAGE(F5:F504)</f>
        <v/>
      </c>
      <c r="L30" s="16">
        <f>K9</f>
        <v/>
      </c>
      <c r="M30" s="16">
        <f>STDEV(F5:F504)</f>
        <v/>
      </c>
    </row>
    <row r="31">
      <c r="A31" s="13" t="n">
        <v>27</v>
      </c>
      <c r="B31" s="14">
        <f>RAND()</f>
        <v/>
      </c>
      <c r="C31" s="16">
        <f>-$K$4*LN(1-B31)</f>
        <v/>
      </c>
      <c r="D31" s="16">
        <f>IF(B31&lt;$K$15,$K$5+SQRT(B31*($K$7-$K$5)*($K$6-$K$5)),$K$7-SQRT((1-B31)*($K$7-$K$5)*($K$7-$K$6)))</f>
        <v/>
      </c>
      <c r="E31" s="13">
        <f>INDEX($J$18:$J$22,MATCH(B31,$L$18:$L$22,1))</f>
        <v/>
      </c>
      <c r="F31" s="16">
        <f>-($K$9/$K$8)*LN(RAND()*RAND()*RAND())</f>
        <v/>
      </c>
      <c r="G31" s="16">
        <f>NORMINV(RAND(),$K$10,$K$11)</f>
        <v/>
      </c>
      <c r="H31" s="16">
        <f>IF(RAND()&lt;$K$12,-$K$13*LN(1-RAND()),-$K$14*LN(1-RAND()))</f>
        <v/>
      </c>
      <c r="J31" s="11" t="inlineStr">
        <is>
          <t>Normal</t>
        </is>
      </c>
      <c r="K31" s="16">
        <f>AVERAGE(G5:G504)</f>
        <v/>
      </c>
      <c r="L31" s="16">
        <f>K10</f>
        <v/>
      </c>
      <c r="M31" s="16">
        <f>STDEV(G5:G504)</f>
        <v/>
      </c>
    </row>
    <row r="32">
      <c r="A32" s="13" t="n">
        <v>28</v>
      </c>
      <c r="B32" s="14">
        <f>RAND()</f>
        <v/>
      </c>
      <c r="C32" s="16">
        <f>-$K$4*LN(1-B32)</f>
        <v/>
      </c>
      <c r="D32" s="16">
        <f>IF(B32&lt;$K$15,$K$5+SQRT(B32*($K$7-$K$5)*($K$6-$K$5)),$K$7-SQRT((1-B32)*($K$7-$K$5)*($K$7-$K$6)))</f>
        <v/>
      </c>
      <c r="E32" s="13">
        <f>INDEX($J$18:$J$22,MATCH(B32,$L$18:$L$22,1))</f>
        <v/>
      </c>
      <c r="F32" s="16">
        <f>-($K$9/$K$8)*LN(RAND()*RAND()*RAND())</f>
        <v/>
      </c>
      <c r="G32" s="16">
        <f>NORMINV(RAND(),$K$10,$K$11)</f>
        <v/>
      </c>
      <c r="H32" s="16">
        <f>IF(RAND()&lt;$K$12,-$K$13*LN(1-RAND()),-$K$14*LN(1-RAND()))</f>
        <v/>
      </c>
      <c r="J32" s="11" t="inlineStr">
        <is>
          <t>Composición</t>
        </is>
      </c>
      <c r="K32" s="16">
        <f>AVERAGE(H5:H504)</f>
        <v/>
      </c>
      <c r="L32" s="16">
        <f>K12*K13+(1-K12)*K14</f>
        <v/>
      </c>
      <c r="M32" s="16">
        <f>STDEV(H5:H504)</f>
        <v/>
      </c>
    </row>
    <row r="33">
      <c r="A33" s="13" t="n">
        <v>29</v>
      </c>
      <c r="B33" s="14">
        <f>RAND()</f>
        <v/>
      </c>
      <c r="C33" s="16">
        <f>-$K$4*LN(1-B33)</f>
        <v/>
      </c>
      <c r="D33" s="16">
        <f>IF(B33&lt;$K$15,$K$5+SQRT(B33*($K$7-$K$5)*($K$6-$K$5)),$K$7-SQRT((1-B33)*($K$7-$K$5)*($K$7-$K$6)))</f>
        <v/>
      </c>
      <c r="E33" s="13">
        <f>INDEX($J$18:$J$22,MATCH(B33,$L$18:$L$22,1))</f>
        <v/>
      </c>
      <c r="F33" s="16">
        <f>-($K$9/$K$8)*LN(RAND()*RAND()*RAND())</f>
        <v/>
      </c>
      <c r="G33" s="16">
        <f>NORMINV(RAND(),$K$10,$K$11)</f>
        <v/>
      </c>
      <c r="H33" s="16">
        <f>IF(RAND()&lt;$K$12,-$K$13*LN(1-RAND()),-$K$14*LN(1-RAND()))</f>
        <v/>
      </c>
    </row>
    <row r="34">
      <c r="A34" s="13" t="n">
        <v>30</v>
      </c>
      <c r="B34" s="14">
        <f>RAND()</f>
        <v/>
      </c>
      <c r="C34" s="16">
        <f>-$K$4*LN(1-B34)</f>
        <v/>
      </c>
      <c r="D34" s="16">
        <f>IF(B34&lt;$K$15,$K$5+SQRT(B34*($K$7-$K$5)*($K$6-$K$5)),$K$7-SQRT((1-B34)*($K$7-$K$5)*($K$7-$K$6)))</f>
        <v/>
      </c>
      <c r="E34" s="13">
        <f>INDEX($J$18:$J$22,MATCH(B34,$L$18:$L$22,1))</f>
        <v/>
      </c>
      <c r="F34" s="16">
        <f>-($K$9/$K$8)*LN(RAND()*RAND()*RAND())</f>
        <v/>
      </c>
      <c r="G34" s="16">
        <f>NORMINV(RAND(),$K$10,$K$11)</f>
        <v/>
      </c>
      <c r="H34" s="16">
        <f>IF(RAND()&lt;$K$12,-$K$13*LN(1-RAND()),-$K$14*LN(1-RAND()))</f>
        <v/>
      </c>
    </row>
    <row r="35">
      <c r="A35" s="13" t="n">
        <v>31</v>
      </c>
      <c r="B35" s="14">
        <f>RAND()</f>
        <v/>
      </c>
      <c r="C35" s="16">
        <f>-$K$4*LN(1-B35)</f>
        <v/>
      </c>
      <c r="D35" s="16">
        <f>IF(B35&lt;$K$15,$K$5+SQRT(B35*($K$7-$K$5)*($K$6-$K$5)),$K$7-SQRT((1-B35)*($K$7-$K$5)*($K$7-$K$6)))</f>
        <v/>
      </c>
      <c r="E35" s="13">
        <f>INDEX($J$18:$J$22,MATCH(B35,$L$18:$L$22,1))</f>
        <v/>
      </c>
      <c r="F35" s="16">
        <f>-($K$9/$K$8)*LN(RAND()*RAND()*RAND())</f>
        <v/>
      </c>
      <c r="G35" s="16">
        <f>NORMINV(RAND(),$K$10,$K$11)</f>
        <v/>
      </c>
      <c r="H35" s="16">
        <f>IF(RAND()&lt;$K$12,-$K$13*LN(1-RAND()),-$K$14*LN(1-RAND()))</f>
        <v/>
      </c>
      <c r="J35" s="10" t="inlineStr">
        <is>
          <t>Desde</t>
        </is>
      </c>
      <c r="K35" s="10" t="inlineStr">
        <is>
          <t>Hasta</t>
        </is>
      </c>
      <c r="L35" s="10" t="inlineStr">
        <is>
          <t>Observada</t>
        </is>
      </c>
      <c r="M35" s="10" t="inlineStr">
        <is>
          <t>Esperada</t>
        </is>
      </c>
    </row>
    <row r="36">
      <c r="A36" s="13" t="n">
        <v>32</v>
      </c>
      <c r="B36" s="14">
        <f>RAND()</f>
        <v/>
      </c>
      <c r="C36" s="16">
        <f>-$K$4*LN(1-B36)</f>
        <v/>
      </c>
      <c r="D36" s="16">
        <f>IF(B36&lt;$K$15,$K$5+SQRT(B36*($K$7-$K$5)*($K$6-$K$5)),$K$7-SQRT((1-B36)*($K$7-$K$5)*($K$7-$K$6)))</f>
        <v/>
      </c>
      <c r="E36" s="13">
        <f>INDEX($J$18:$J$22,MATCH(B36,$L$18:$L$22,1))</f>
        <v/>
      </c>
      <c r="F36" s="16">
        <f>-($K$9/$K$8)*LN(RAND()*RAND()*RAND())</f>
        <v/>
      </c>
      <c r="G36" s="16">
        <f>NORMINV(RAND(),$K$10,$K$11)</f>
        <v/>
      </c>
      <c r="H36" s="16">
        <f>IF(RAND()&lt;$K$12,-$K$13*LN(1-RAND()),-$K$14*LN(1-RAND()))</f>
        <v/>
      </c>
      <c r="J36" s="13" t="n">
        <v>0</v>
      </c>
      <c r="K36" s="13">
        <f>J36+2</f>
        <v/>
      </c>
      <c r="L36" s="13">
        <f>COUNTIFS($C$5:$C$504,"&gt;="&amp;J36,$C$5:$C$504,"&lt;"&amp;K36)</f>
        <v/>
      </c>
      <c r="M36" s="19">
        <f>500*(EXP(-J36/$K$4)-EXP(-K36/$K$4))</f>
        <v/>
      </c>
    </row>
    <row r="37">
      <c r="A37" s="13" t="n">
        <v>33</v>
      </c>
      <c r="B37" s="14">
        <f>RAND()</f>
        <v/>
      </c>
      <c r="C37" s="16">
        <f>-$K$4*LN(1-B37)</f>
        <v/>
      </c>
      <c r="D37" s="16">
        <f>IF(B37&lt;$K$15,$K$5+SQRT(B37*($K$7-$K$5)*($K$6-$K$5)),$K$7-SQRT((1-B37)*($K$7-$K$5)*($K$7-$K$6)))</f>
        <v/>
      </c>
      <c r="E37" s="13">
        <f>INDEX($J$18:$J$22,MATCH(B37,$L$18:$L$22,1))</f>
        <v/>
      </c>
      <c r="F37" s="16">
        <f>-($K$9/$K$8)*LN(RAND()*RAND()*RAND())</f>
        <v/>
      </c>
      <c r="G37" s="16">
        <f>NORMINV(RAND(),$K$10,$K$11)</f>
        <v/>
      </c>
      <c r="H37" s="16">
        <f>IF(RAND()&lt;$K$12,-$K$13*LN(1-RAND()),-$K$14*LN(1-RAND()))</f>
        <v/>
      </c>
      <c r="J37" s="13" t="n">
        <v>2</v>
      </c>
      <c r="K37" s="13">
        <f>J37+2</f>
        <v/>
      </c>
      <c r="L37" s="13">
        <f>COUNTIFS($C$5:$C$504,"&gt;="&amp;J37,$C$5:$C$504,"&lt;"&amp;K37)</f>
        <v/>
      </c>
      <c r="M37" s="19">
        <f>500*(EXP(-J37/$K$4)-EXP(-K37/$K$4))</f>
        <v/>
      </c>
    </row>
    <row r="38">
      <c r="A38" s="13" t="n">
        <v>34</v>
      </c>
      <c r="B38" s="14">
        <f>RAND()</f>
        <v/>
      </c>
      <c r="C38" s="16">
        <f>-$K$4*LN(1-B38)</f>
        <v/>
      </c>
      <c r="D38" s="16">
        <f>IF(B38&lt;$K$15,$K$5+SQRT(B38*($K$7-$K$5)*($K$6-$K$5)),$K$7-SQRT((1-B38)*($K$7-$K$5)*($K$7-$K$6)))</f>
        <v/>
      </c>
      <c r="E38" s="13">
        <f>INDEX($J$18:$J$22,MATCH(B38,$L$18:$L$22,1))</f>
        <v/>
      </c>
      <c r="F38" s="16">
        <f>-($K$9/$K$8)*LN(RAND()*RAND()*RAND())</f>
        <v/>
      </c>
      <c r="G38" s="16">
        <f>NORMINV(RAND(),$K$10,$K$11)</f>
        <v/>
      </c>
      <c r="H38" s="16">
        <f>IF(RAND()&lt;$K$12,-$K$13*LN(1-RAND()),-$K$14*LN(1-RAND()))</f>
        <v/>
      </c>
      <c r="J38" s="13" t="n">
        <v>4</v>
      </c>
      <c r="K38" s="13">
        <f>J38+2</f>
        <v/>
      </c>
      <c r="L38" s="13">
        <f>COUNTIFS($C$5:$C$504,"&gt;="&amp;J38,$C$5:$C$504,"&lt;"&amp;K38)</f>
        <v/>
      </c>
      <c r="M38" s="19">
        <f>500*(EXP(-J38/$K$4)-EXP(-K38/$K$4))</f>
        <v/>
      </c>
    </row>
    <row r="39">
      <c r="A39" s="13" t="n">
        <v>35</v>
      </c>
      <c r="B39" s="14">
        <f>RAND()</f>
        <v/>
      </c>
      <c r="C39" s="16">
        <f>-$K$4*LN(1-B39)</f>
        <v/>
      </c>
      <c r="D39" s="16">
        <f>IF(B39&lt;$K$15,$K$5+SQRT(B39*($K$7-$K$5)*($K$6-$K$5)),$K$7-SQRT((1-B39)*($K$7-$K$5)*($K$7-$K$6)))</f>
        <v/>
      </c>
      <c r="E39" s="13">
        <f>INDEX($J$18:$J$22,MATCH(B39,$L$18:$L$22,1))</f>
        <v/>
      </c>
      <c r="F39" s="16">
        <f>-($K$9/$K$8)*LN(RAND()*RAND()*RAND())</f>
        <v/>
      </c>
      <c r="G39" s="16">
        <f>NORMINV(RAND(),$K$10,$K$11)</f>
        <v/>
      </c>
      <c r="H39" s="16">
        <f>IF(RAND()&lt;$K$12,-$K$13*LN(1-RAND()),-$K$14*LN(1-RAND()))</f>
        <v/>
      </c>
      <c r="J39" s="13" t="n">
        <v>6</v>
      </c>
      <c r="K39" s="13">
        <f>J39+2</f>
        <v/>
      </c>
      <c r="L39" s="13">
        <f>COUNTIFS($C$5:$C$504,"&gt;="&amp;J39,$C$5:$C$504,"&lt;"&amp;K39)</f>
        <v/>
      </c>
      <c r="M39" s="19">
        <f>500*(EXP(-J39/$K$4)-EXP(-K39/$K$4))</f>
        <v/>
      </c>
    </row>
    <row r="40">
      <c r="A40" s="13" t="n">
        <v>36</v>
      </c>
      <c r="B40" s="14">
        <f>RAND()</f>
        <v/>
      </c>
      <c r="C40" s="16">
        <f>-$K$4*LN(1-B40)</f>
        <v/>
      </c>
      <c r="D40" s="16">
        <f>IF(B40&lt;$K$15,$K$5+SQRT(B40*($K$7-$K$5)*($K$6-$K$5)),$K$7-SQRT((1-B40)*($K$7-$K$5)*($K$7-$K$6)))</f>
        <v/>
      </c>
      <c r="E40" s="13">
        <f>INDEX($J$18:$J$22,MATCH(B40,$L$18:$L$22,1))</f>
        <v/>
      </c>
      <c r="F40" s="16">
        <f>-($K$9/$K$8)*LN(RAND()*RAND()*RAND())</f>
        <v/>
      </c>
      <c r="G40" s="16">
        <f>NORMINV(RAND(),$K$10,$K$11)</f>
        <v/>
      </c>
      <c r="H40" s="16">
        <f>IF(RAND()&lt;$K$12,-$K$13*LN(1-RAND()),-$K$14*LN(1-RAND()))</f>
        <v/>
      </c>
      <c r="J40" s="13" t="n">
        <v>8</v>
      </c>
      <c r="K40" s="13">
        <f>J40+2</f>
        <v/>
      </c>
      <c r="L40" s="13">
        <f>COUNTIFS($C$5:$C$504,"&gt;="&amp;J40,$C$5:$C$504,"&lt;"&amp;K40)</f>
        <v/>
      </c>
      <c r="M40" s="19">
        <f>500*(EXP(-J40/$K$4)-EXP(-K40/$K$4))</f>
        <v/>
      </c>
    </row>
    <row r="41">
      <c r="A41" s="13" t="n">
        <v>37</v>
      </c>
      <c r="B41" s="14">
        <f>RAND()</f>
        <v/>
      </c>
      <c r="C41" s="16">
        <f>-$K$4*LN(1-B41)</f>
        <v/>
      </c>
      <c r="D41" s="16">
        <f>IF(B41&lt;$K$15,$K$5+SQRT(B41*($K$7-$K$5)*($K$6-$K$5)),$K$7-SQRT((1-B41)*($K$7-$K$5)*($K$7-$K$6)))</f>
        <v/>
      </c>
      <c r="E41" s="13">
        <f>INDEX($J$18:$J$22,MATCH(B41,$L$18:$L$22,1))</f>
        <v/>
      </c>
      <c r="F41" s="16">
        <f>-($K$9/$K$8)*LN(RAND()*RAND()*RAND())</f>
        <v/>
      </c>
      <c r="G41" s="16">
        <f>NORMINV(RAND(),$K$10,$K$11)</f>
        <v/>
      </c>
      <c r="H41" s="16">
        <f>IF(RAND()&lt;$K$12,-$K$13*LN(1-RAND()),-$K$14*LN(1-RAND()))</f>
        <v/>
      </c>
      <c r="J41" s="13" t="n">
        <v>10</v>
      </c>
      <c r="K41" s="13">
        <f>J41+2</f>
        <v/>
      </c>
      <c r="L41" s="13">
        <f>COUNTIFS($C$5:$C$504,"&gt;="&amp;J41,$C$5:$C$504,"&lt;"&amp;K41)</f>
        <v/>
      </c>
      <c r="M41" s="19">
        <f>500*(EXP(-J41/$K$4)-EXP(-K41/$K$4))</f>
        <v/>
      </c>
    </row>
    <row r="42">
      <c r="A42" s="13" t="n">
        <v>38</v>
      </c>
      <c r="B42" s="14">
        <f>RAND()</f>
        <v/>
      </c>
      <c r="C42" s="16">
        <f>-$K$4*LN(1-B42)</f>
        <v/>
      </c>
      <c r="D42" s="16">
        <f>IF(B42&lt;$K$15,$K$5+SQRT(B42*($K$7-$K$5)*($K$6-$K$5)),$K$7-SQRT((1-B42)*($K$7-$K$5)*($K$7-$K$6)))</f>
        <v/>
      </c>
      <c r="E42" s="13">
        <f>INDEX($J$18:$J$22,MATCH(B42,$L$18:$L$22,1))</f>
        <v/>
      </c>
      <c r="F42" s="16">
        <f>-($K$9/$K$8)*LN(RAND()*RAND()*RAND())</f>
        <v/>
      </c>
      <c r="G42" s="16">
        <f>NORMINV(RAND(),$K$10,$K$11)</f>
        <v/>
      </c>
      <c r="H42" s="16">
        <f>IF(RAND()&lt;$K$12,-$K$13*LN(1-RAND()),-$K$14*LN(1-RAND()))</f>
        <v/>
      </c>
      <c r="J42" s="13" t="n">
        <v>12</v>
      </c>
      <c r="K42" s="13">
        <f>J42+2</f>
        <v/>
      </c>
      <c r="L42" s="13">
        <f>COUNTIFS($C$5:$C$504,"&gt;="&amp;J42,$C$5:$C$504,"&lt;"&amp;K42)</f>
        <v/>
      </c>
      <c r="M42" s="19">
        <f>500*(EXP(-J42/$K$4)-EXP(-K42/$K$4))</f>
        <v/>
      </c>
    </row>
    <row r="43">
      <c r="A43" s="13" t="n">
        <v>39</v>
      </c>
      <c r="B43" s="14">
        <f>RAND()</f>
        <v/>
      </c>
      <c r="C43" s="16">
        <f>-$K$4*LN(1-B43)</f>
        <v/>
      </c>
      <c r="D43" s="16">
        <f>IF(B43&lt;$K$15,$K$5+SQRT(B43*($K$7-$K$5)*($K$6-$K$5)),$K$7-SQRT((1-B43)*($K$7-$K$5)*($K$7-$K$6)))</f>
        <v/>
      </c>
      <c r="E43" s="13">
        <f>INDEX($J$18:$J$22,MATCH(B43,$L$18:$L$22,1))</f>
        <v/>
      </c>
      <c r="F43" s="16">
        <f>-($K$9/$K$8)*LN(RAND()*RAND()*RAND())</f>
        <v/>
      </c>
      <c r="G43" s="16">
        <f>NORMINV(RAND(),$K$10,$K$11)</f>
        <v/>
      </c>
      <c r="H43" s="16">
        <f>IF(RAND()&lt;$K$12,-$K$13*LN(1-RAND()),-$K$14*LN(1-RAND()))</f>
        <v/>
      </c>
      <c r="J43" s="13" t="n">
        <v>14</v>
      </c>
      <c r="K43" s="13">
        <f>J43+2</f>
        <v/>
      </c>
      <c r="L43" s="13">
        <f>COUNTIFS($C$5:$C$504,"&gt;="&amp;J43,$C$5:$C$504,"&lt;"&amp;K43)</f>
        <v/>
      </c>
      <c r="M43" s="19">
        <f>500*(EXP(-J43/$K$4)-EXP(-K43/$K$4))</f>
        <v/>
      </c>
    </row>
    <row r="44">
      <c r="A44" s="13" t="n">
        <v>40</v>
      </c>
      <c r="B44" s="14">
        <f>RAND()</f>
        <v/>
      </c>
      <c r="C44" s="16">
        <f>-$K$4*LN(1-B44)</f>
        <v/>
      </c>
      <c r="D44" s="16">
        <f>IF(B44&lt;$K$15,$K$5+SQRT(B44*($K$7-$K$5)*($K$6-$K$5)),$K$7-SQRT((1-B44)*($K$7-$K$5)*($K$7-$K$6)))</f>
        <v/>
      </c>
      <c r="E44" s="13">
        <f>INDEX($J$18:$J$22,MATCH(B44,$L$18:$L$22,1))</f>
        <v/>
      </c>
      <c r="F44" s="16">
        <f>-($K$9/$K$8)*LN(RAND()*RAND()*RAND())</f>
        <v/>
      </c>
      <c r="G44" s="16">
        <f>NORMINV(RAND(),$K$10,$K$11)</f>
        <v/>
      </c>
      <c r="H44" s="16">
        <f>IF(RAND()&lt;$K$12,-$K$13*LN(1-RAND()),-$K$14*LN(1-RAND()))</f>
        <v/>
      </c>
      <c r="J44" s="13" t="n">
        <v>16</v>
      </c>
      <c r="K44" s="13">
        <f>J44+2</f>
        <v/>
      </c>
      <c r="L44" s="13">
        <f>COUNTIFS($C$5:$C$504,"&gt;="&amp;J44,$C$5:$C$504,"&lt;"&amp;K44)</f>
        <v/>
      </c>
      <c r="M44" s="19">
        <f>500*(EXP(-J44/$K$4)-EXP(-K44/$K$4))</f>
        <v/>
      </c>
    </row>
    <row r="45">
      <c r="A45" s="13" t="n">
        <v>41</v>
      </c>
      <c r="B45" s="14">
        <f>RAND()</f>
        <v/>
      </c>
      <c r="C45" s="16">
        <f>-$K$4*LN(1-B45)</f>
        <v/>
      </c>
      <c r="D45" s="16">
        <f>IF(B45&lt;$K$15,$K$5+SQRT(B45*($K$7-$K$5)*($K$6-$K$5)),$K$7-SQRT((1-B45)*($K$7-$K$5)*($K$7-$K$6)))</f>
        <v/>
      </c>
      <c r="E45" s="13">
        <f>INDEX($J$18:$J$22,MATCH(B45,$L$18:$L$22,1))</f>
        <v/>
      </c>
      <c r="F45" s="16">
        <f>-($K$9/$K$8)*LN(RAND()*RAND()*RAND())</f>
        <v/>
      </c>
      <c r="G45" s="16">
        <f>NORMINV(RAND(),$K$10,$K$11)</f>
        <v/>
      </c>
      <c r="H45" s="16">
        <f>IF(RAND()&lt;$K$12,-$K$13*LN(1-RAND()),-$K$14*LN(1-RAND()))</f>
        <v/>
      </c>
      <c r="J45" s="13" t="n">
        <v>18</v>
      </c>
      <c r="K45" s="13" t="n">
        <v>1000</v>
      </c>
      <c r="L45" s="13">
        <f>COUNTIFS($C$5:$C$504,"&gt;="&amp;J45,$C$5:$C$504,"&lt;"&amp;K45)</f>
        <v/>
      </c>
      <c r="M45" s="19">
        <f>500*(EXP(-J45/$K$4)-EXP(-K45/$K$4))</f>
        <v/>
      </c>
    </row>
    <row r="46">
      <c r="A46" s="13" t="n">
        <v>42</v>
      </c>
      <c r="B46" s="14">
        <f>RAND()</f>
        <v/>
      </c>
      <c r="C46" s="16">
        <f>-$K$4*LN(1-B46)</f>
        <v/>
      </c>
      <c r="D46" s="16">
        <f>IF(B46&lt;$K$15,$K$5+SQRT(B46*($K$7-$K$5)*($K$6-$K$5)),$K$7-SQRT((1-B46)*($K$7-$K$5)*($K$7-$K$6)))</f>
        <v/>
      </c>
      <c r="E46" s="13">
        <f>INDEX($J$18:$J$22,MATCH(B46,$L$18:$L$22,1))</f>
        <v/>
      </c>
      <c r="F46" s="16">
        <f>-($K$9/$K$8)*LN(RAND()*RAND()*RAND())</f>
        <v/>
      </c>
      <c r="G46" s="16">
        <f>NORMINV(RAND(),$K$10,$K$11)</f>
        <v/>
      </c>
      <c r="H46" s="16">
        <f>IF(RAND()&lt;$K$12,-$K$13*LN(1-RAND()),-$K$14*LN(1-RAND()))</f>
        <v/>
      </c>
    </row>
    <row r="47">
      <c r="A47" s="13" t="n">
        <v>43</v>
      </c>
      <c r="B47" s="14">
        <f>RAND()</f>
        <v/>
      </c>
      <c r="C47" s="16">
        <f>-$K$4*LN(1-B47)</f>
        <v/>
      </c>
      <c r="D47" s="16">
        <f>IF(B47&lt;$K$15,$K$5+SQRT(B47*($K$7-$K$5)*($K$6-$K$5)),$K$7-SQRT((1-B47)*($K$7-$K$5)*($K$7-$K$6)))</f>
        <v/>
      </c>
      <c r="E47" s="13">
        <f>INDEX($J$18:$J$22,MATCH(B47,$L$18:$L$22,1))</f>
        <v/>
      </c>
      <c r="F47" s="16">
        <f>-($K$9/$K$8)*LN(RAND()*RAND()*RAND())</f>
        <v/>
      </c>
      <c r="G47" s="16">
        <f>NORMINV(RAND(),$K$10,$K$11)</f>
        <v/>
      </c>
      <c r="H47" s="16">
        <f>IF(RAND()&lt;$K$12,-$K$13*LN(1-RAND()),-$K$14*LN(1-RAND()))</f>
        <v/>
      </c>
    </row>
    <row r="48">
      <c r="A48" s="13" t="n">
        <v>44</v>
      </c>
      <c r="B48" s="14">
        <f>RAND()</f>
        <v/>
      </c>
      <c r="C48" s="16">
        <f>-$K$4*LN(1-B48)</f>
        <v/>
      </c>
      <c r="D48" s="16">
        <f>IF(B48&lt;$K$15,$K$5+SQRT(B48*($K$7-$K$5)*($K$6-$K$5)),$K$7-SQRT((1-B48)*($K$7-$K$5)*($K$7-$K$6)))</f>
        <v/>
      </c>
      <c r="E48" s="13">
        <f>INDEX($J$18:$J$22,MATCH(B48,$L$18:$L$22,1))</f>
        <v/>
      </c>
      <c r="F48" s="16">
        <f>-($K$9/$K$8)*LN(RAND()*RAND()*RAND())</f>
        <v/>
      </c>
      <c r="G48" s="16">
        <f>NORMINV(RAND(),$K$10,$K$11)</f>
        <v/>
      </c>
      <c r="H48" s="16">
        <f>IF(RAND()&lt;$K$12,-$K$13*LN(1-RAND()),-$K$14*LN(1-RAND()))</f>
        <v/>
      </c>
      <c r="J48" s="10" t="inlineStr">
        <is>
          <t>Clase</t>
        </is>
      </c>
      <c r="K48" s="10" t="inlineStr">
        <is>
          <t>Triangular</t>
        </is>
      </c>
      <c r="L48" s="10" t="inlineStr">
        <is>
          <t>Erlang</t>
        </is>
      </c>
    </row>
    <row r="49">
      <c r="A49" s="13" t="n">
        <v>45</v>
      </c>
      <c r="B49" s="14">
        <f>RAND()</f>
        <v/>
      </c>
      <c r="C49" s="16">
        <f>-$K$4*LN(1-B49)</f>
        <v/>
      </c>
      <c r="D49" s="16">
        <f>IF(B49&lt;$K$15,$K$5+SQRT(B49*($K$7-$K$5)*($K$6-$K$5)),$K$7-SQRT((1-B49)*($K$7-$K$5)*($K$7-$K$6)))</f>
        <v/>
      </c>
      <c r="E49" s="13">
        <f>INDEX($J$18:$J$22,MATCH(B49,$L$18:$L$22,1))</f>
        <v/>
      </c>
      <c r="F49" s="16">
        <f>-($K$9/$K$8)*LN(RAND()*RAND()*RAND())</f>
        <v/>
      </c>
      <c r="G49" s="16">
        <f>NORMINV(RAND(),$K$10,$K$11)</f>
        <v/>
      </c>
      <c r="H49" s="16">
        <f>IF(RAND()&lt;$K$12,-$K$13*LN(1-RAND()),-$K$14*LN(1-RAND()))</f>
        <v/>
      </c>
      <c r="J49" s="19" t="n">
        <v>0</v>
      </c>
      <c r="K49" s="13">
        <f>COUNTIFS($D$5:$D$504,"&gt;="&amp;J49/2,$D$5:$D$504,"&lt;"&amp;(J49+1)/2)</f>
        <v/>
      </c>
      <c r="L49" s="13">
        <f>COUNTIFS($F$5:$F$504,"&gt;="&amp;J49,$F$5:$F$504,"&lt;"&amp;(J49+1))</f>
        <v/>
      </c>
    </row>
    <row r="50">
      <c r="A50" s="13" t="n">
        <v>46</v>
      </c>
      <c r="B50" s="14">
        <f>RAND()</f>
        <v/>
      </c>
      <c r="C50" s="16">
        <f>-$K$4*LN(1-B50)</f>
        <v/>
      </c>
      <c r="D50" s="16">
        <f>IF(B50&lt;$K$15,$K$5+SQRT(B50*($K$7-$K$5)*($K$6-$K$5)),$K$7-SQRT((1-B50)*($K$7-$K$5)*($K$7-$K$6)))</f>
        <v/>
      </c>
      <c r="E50" s="13">
        <f>INDEX($J$18:$J$22,MATCH(B50,$L$18:$L$22,1))</f>
        <v/>
      </c>
      <c r="F50" s="16">
        <f>-($K$9/$K$8)*LN(RAND()*RAND()*RAND())</f>
        <v/>
      </c>
      <c r="G50" s="16">
        <f>NORMINV(RAND(),$K$10,$K$11)</f>
        <v/>
      </c>
      <c r="H50" s="16">
        <f>IF(RAND()&lt;$K$12,-$K$13*LN(1-RAND()),-$K$14*LN(1-RAND()))</f>
        <v/>
      </c>
      <c r="J50" s="19" t="n">
        <v>1</v>
      </c>
      <c r="K50" s="13">
        <f>COUNTIFS($D$5:$D$504,"&gt;="&amp;J50/2,$D$5:$D$504,"&lt;"&amp;(J50+1)/2)</f>
        <v/>
      </c>
      <c r="L50" s="13">
        <f>COUNTIFS($F$5:$F$504,"&gt;="&amp;J50,$F$5:$F$504,"&lt;"&amp;(J50+1))</f>
        <v/>
      </c>
    </row>
    <row r="51">
      <c r="A51" s="13" t="n">
        <v>47</v>
      </c>
      <c r="B51" s="14">
        <f>RAND()</f>
        <v/>
      </c>
      <c r="C51" s="16">
        <f>-$K$4*LN(1-B51)</f>
        <v/>
      </c>
      <c r="D51" s="16">
        <f>IF(B51&lt;$K$15,$K$5+SQRT(B51*($K$7-$K$5)*($K$6-$K$5)),$K$7-SQRT((1-B51)*($K$7-$K$5)*($K$7-$K$6)))</f>
        <v/>
      </c>
      <c r="E51" s="13">
        <f>INDEX($J$18:$J$22,MATCH(B51,$L$18:$L$22,1))</f>
        <v/>
      </c>
      <c r="F51" s="16">
        <f>-($K$9/$K$8)*LN(RAND()*RAND()*RAND())</f>
        <v/>
      </c>
      <c r="G51" s="16">
        <f>NORMINV(RAND(),$K$10,$K$11)</f>
        <v/>
      </c>
      <c r="H51" s="16">
        <f>IF(RAND()&lt;$K$12,-$K$13*LN(1-RAND()),-$K$14*LN(1-RAND()))</f>
        <v/>
      </c>
      <c r="J51" s="19" t="n">
        <v>2</v>
      </c>
      <c r="K51" s="13">
        <f>COUNTIFS($D$5:$D$504,"&gt;="&amp;J51/2,$D$5:$D$504,"&lt;"&amp;(J51+1)/2)</f>
        <v/>
      </c>
      <c r="L51" s="13">
        <f>COUNTIFS($F$5:$F$504,"&gt;="&amp;J51,$F$5:$F$504,"&lt;"&amp;(J51+1))</f>
        <v/>
      </c>
    </row>
    <row r="52">
      <c r="A52" s="13" t="n">
        <v>48</v>
      </c>
      <c r="B52" s="14">
        <f>RAND()</f>
        <v/>
      </c>
      <c r="C52" s="16">
        <f>-$K$4*LN(1-B52)</f>
        <v/>
      </c>
      <c r="D52" s="16">
        <f>IF(B52&lt;$K$15,$K$5+SQRT(B52*($K$7-$K$5)*($K$6-$K$5)),$K$7-SQRT((1-B52)*($K$7-$K$5)*($K$7-$K$6)))</f>
        <v/>
      </c>
      <c r="E52" s="13">
        <f>INDEX($J$18:$J$22,MATCH(B52,$L$18:$L$22,1))</f>
        <v/>
      </c>
      <c r="F52" s="16">
        <f>-($K$9/$K$8)*LN(RAND()*RAND()*RAND())</f>
        <v/>
      </c>
      <c r="G52" s="16">
        <f>NORMINV(RAND(),$K$10,$K$11)</f>
        <v/>
      </c>
      <c r="H52" s="16">
        <f>IF(RAND()&lt;$K$12,-$K$13*LN(1-RAND()),-$K$14*LN(1-RAND()))</f>
        <v/>
      </c>
      <c r="J52" s="19" t="n">
        <v>3</v>
      </c>
      <c r="K52" s="13">
        <f>COUNTIFS($D$5:$D$504,"&gt;="&amp;J52/2,$D$5:$D$504,"&lt;"&amp;(J52+1)/2)</f>
        <v/>
      </c>
      <c r="L52" s="13">
        <f>COUNTIFS($F$5:$F$504,"&gt;="&amp;J52,$F$5:$F$504,"&lt;"&amp;(J52+1))</f>
        <v/>
      </c>
    </row>
    <row r="53">
      <c r="A53" s="13" t="n">
        <v>49</v>
      </c>
      <c r="B53" s="14">
        <f>RAND()</f>
        <v/>
      </c>
      <c r="C53" s="16">
        <f>-$K$4*LN(1-B53)</f>
        <v/>
      </c>
      <c r="D53" s="16">
        <f>IF(B53&lt;$K$15,$K$5+SQRT(B53*($K$7-$K$5)*($K$6-$K$5)),$K$7-SQRT((1-B53)*($K$7-$K$5)*($K$7-$K$6)))</f>
        <v/>
      </c>
      <c r="E53" s="13">
        <f>INDEX($J$18:$J$22,MATCH(B53,$L$18:$L$22,1))</f>
        <v/>
      </c>
      <c r="F53" s="16">
        <f>-($K$9/$K$8)*LN(RAND()*RAND()*RAND())</f>
        <v/>
      </c>
      <c r="G53" s="16">
        <f>NORMINV(RAND(),$K$10,$K$11)</f>
        <v/>
      </c>
      <c r="H53" s="16">
        <f>IF(RAND()&lt;$K$12,-$K$13*LN(1-RAND()),-$K$14*LN(1-RAND()))</f>
        <v/>
      </c>
      <c r="J53" s="19" t="n">
        <v>4</v>
      </c>
      <c r="K53" s="13">
        <f>COUNTIFS($D$5:$D$504,"&gt;="&amp;J53/2,$D$5:$D$504,"&lt;"&amp;(J53+1)/2)</f>
        <v/>
      </c>
      <c r="L53" s="13">
        <f>COUNTIFS($F$5:$F$504,"&gt;="&amp;J53,$F$5:$F$504,"&lt;"&amp;(J53+1))</f>
        <v/>
      </c>
    </row>
    <row r="54">
      <c r="A54" s="13" t="n">
        <v>50</v>
      </c>
      <c r="B54" s="14">
        <f>RAND()</f>
        <v/>
      </c>
      <c r="C54" s="16">
        <f>-$K$4*LN(1-B54)</f>
        <v/>
      </c>
      <c r="D54" s="16">
        <f>IF(B54&lt;$K$15,$K$5+SQRT(B54*($K$7-$K$5)*($K$6-$K$5)),$K$7-SQRT((1-B54)*($K$7-$K$5)*($K$7-$K$6)))</f>
        <v/>
      </c>
      <c r="E54" s="13">
        <f>INDEX($J$18:$J$22,MATCH(B54,$L$18:$L$22,1))</f>
        <v/>
      </c>
      <c r="F54" s="16">
        <f>-($K$9/$K$8)*LN(RAND()*RAND()*RAND())</f>
        <v/>
      </c>
      <c r="G54" s="16">
        <f>NORMINV(RAND(),$K$10,$K$11)</f>
        <v/>
      </c>
      <c r="H54" s="16">
        <f>IF(RAND()&lt;$K$12,-$K$13*LN(1-RAND()),-$K$14*LN(1-RAND()))</f>
        <v/>
      </c>
      <c r="J54" s="19" t="n">
        <v>5</v>
      </c>
      <c r="K54" s="13">
        <f>COUNTIFS($D$5:$D$504,"&gt;="&amp;J54/2,$D$5:$D$504,"&lt;"&amp;(J54+1)/2)</f>
        <v/>
      </c>
      <c r="L54" s="13">
        <f>COUNTIFS($F$5:$F$504,"&gt;="&amp;J54,$F$5:$F$504,"&lt;"&amp;(J54+1))</f>
        <v/>
      </c>
    </row>
    <row r="55">
      <c r="A55" s="13" t="n">
        <v>51</v>
      </c>
      <c r="B55" s="14">
        <f>RAND()</f>
        <v/>
      </c>
      <c r="C55" s="16">
        <f>-$K$4*LN(1-B55)</f>
        <v/>
      </c>
      <c r="D55" s="16">
        <f>IF(B55&lt;$K$15,$K$5+SQRT(B55*($K$7-$K$5)*($K$6-$K$5)),$K$7-SQRT((1-B55)*($K$7-$K$5)*($K$7-$K$6)))</f>
        <v/>
      </c>
      <c r="E55" s="13">
        <f>INDEX($J$18:$J$22,MATCH(B55,$L$18:$L$22,1))</f>
        <v/>
      </c>
      <c r="F55" s="16">
        <f>-($K$9/$K$8)*LN(RAND()*RAND()*RAND())</f>
        <v/>
      </c>
      <c r="G55" s="16">
        <f>NORMINV(RAND(),$K$10,$K$11)</f>
        <v/>
      </c>
      <c r="H55" s="16">
        <f>IF(RAND()&lt;$K$12,-$K$13*LN(1-RAND()),-$K$14*LN(1-RAND()))</f>
        <v/>
      </c>
      <c r="J55" s="19" t="n">
        <v>6</v>
      </c>
      <c r="K55" s="13">
        <f>COUNTIFS($D$5:$D$504,"&gt;="&amp;J55/2,$D$5:$D$504,"&lt;"&amp;(J55+1)/2)</f>
        <v/>
      </c>
      <c r="L55" s="13">
        <f>COUNTIFS($F$5:$F$504,"&gt;="&amp;J55,$F$5:$F$504,"&lt;"&amp;(J55+1))</f>
        <v/>
      </c>
    </row>
    <row r="56">
      <c r="A56" s="13" t="n">
        <v>52</v>
      </c>
      <c r="B56" s="14">
        <f>RAND()</f>
        <v/>
      </c>
      <c r="C56" s="16">
        <f>-$K$4*LN(1-B56)</f>
        <v/>
      </c>
      <c r="D56" s="16">
        <f>IF(B56&lt;$K$15,$K$5+SQRT(B56*($K$7-$K$5)*($K$6-$K$5)),$K$7-SQRT((1-B56)*($K$7-$K$5)*($K$7-$K$6)))</f>
        <v/>
      </c>
      <c r="E56" s="13">
        <f>INDEX($J$18:$J$22,MATCH(B56,$L$18:$L$22,1))</f>
        <v/>
      </c>
      <c r="F56" s="16">
        <f>-($K$9/$K$8)*LN(RAND()*RAND()*RAND())</f>
        <v/>
      </c>
      <c r="G56" s="16">
        <f>NORMINV(RAND(),$K$10,$K$11)</f>
        <v/>
      </c>
      <c r="H56" s="16">
        <f>IF(RAND()&lt;$K$12,-$K$13*LN(1-RAND()),-$K$14*LN(1-RAND()))</f>
        <v/>
      </c>
      <c r="J56" s="19" t="n">
        <v>7</v>
      </c>
      <c r="K56" s="13">
        <f>COUNTIFS($D$5:$D$504,"&gt;="&amp;J56/2,$D$5:$D$504,"&lt;"&amp;(J56+1)/2)</f>
        <v/>
      </c>
      <c r="L56" s="13">
        <f>COUNTIFS($F$5:$F$504,"&gt;="&amp;J56,$F$5:$F$504,"&lt;"&amp;(J56+1))</f>
        <v/>
      </c>
    </row>
    <row r="57">
      <c r="A57" s="13" t="n">
        <v>53</v>
      </c>
      <c r="B57" s="14">
        <f>RAND()</f>
        <v/>
      </c>
      <c r="C57" s="16">
        <f>-$K$4*LN(1-B57)</f>
        <v/>
      </c>
      <c r="D57" s="16">
        <f>IF(B57&lt;$K$15,$K$5+SQRT(B57*($K$7-$K$5)*($K$6-$K$5)),$K$7-SQRT((1-B57)*($K$7-$K$5)*($K$7-$K$6)))</f>
        <v/>
      </c>
      <c r="E57" s="13">
        <f>INDEX($J$18:$J$22,MATCH(B57,$L$18:$L$22,1))</f>
        <v/>
      </c>
      <c r="F57" s="16">
        <f>-($K$9/$K$8)*LN(RAND()*RAND()*RAND())</f>
        <v/>
      </c>
      <c r="G57" s="16">
        <f>NORMINV(RAND(),$K$10,$K$11)</f>
        <v/>
      </c>
      <c r="H57" s="16">
        <f>IF(RAND()&lt;$K$12,-$K$13*LN(1-RAND()),-$K$14*LN(1-RAND()))</f>
        <v/>
      </c>
      <c r="J57" s="19" t="n">
        <v>8</v>
      </c>
      <c r="K57" s="13">
        <f>COUNTIFS($D$5:$D$504,"&gt;="&amp;J57/2,$D$5:$D$504,"&lt;"&amp;(J57+1)/2)</f>
        <v/>
      </c>
      <c r="L57" s="13">
        <f>COUNTIFS($F$5:$F$504,"&gt;="&amp;J57,$F$5:$F$504,"&lt;"&amp;(J57+1))</f>
        <v/>
      </c>
    </row>
    <row r="58">
      <c r="A58" s="13" t="n">
        <v>54</v>
      </c>
      <c r="B58" s="14">
        <f>RAND()</f>
        <v/>
      </c>
      <c r="C58" s="16">
        <f>-$K$4*LN(1-B58)</f>
        <v/>
      </c>
      <c r="D58" s="16">
        <f>IF(B58&lt;$K$15,$K$5+SQRT(B58*($K$7-$K$5)*($K$6-$K$5)),$K$7-SQRT((1-B58)*($K$7-$K$5)*($K$7-$K$6)))</f>
        <v/>
      </c>
      <c r="E58" s="13">
        <f>INDEX($J$18:$J$22,MATCH(B58,$L$18:$L$22,1))</f>
        <v/>
      </c>
      <c r="F58" s="16">
        <f>-($K$9/$K$8)*LN(RAND()*RAND()*RAND())</f>
        <v/>
      </c>
      <c r="G58" s="16">
        <f>NORMINV(RAND(),$K$10,$K$11)</f>
        <v/>
      </c>
      <c r="H58" s="16">
        <f>IF(RAND()&lt;$K$12,-$K$13*LN(1-RAND()),-$K$14*LN(1-RAND()))</f>
        <v/>
      </c>
      <c r="J58" s="19" t="n">
        <v>9</v>
      </c>
      <c r="K58" s="13">
        <f>COUNTIFS($D$5:$D$504,"&gt;="&amp;J58/2,$D$5:$D$504,"&lt;"&amp;(J58+1)/2)</f>
        <v/>
      </c>
      <c r="L58" s="13">
        <f>COUNTIFS($F$5:$F$504,"&gt;="&amp;J58,$F$5:$F$504,"&lt;"&amp;(J58+1))</f>
        <v/>
      </c>
    </row>
    <row r="59">
      <c r="A59" s="13" t="n">
        <v>55</v>
      </c>
      <c r="B59" s="14">
        <f>RAND()</f>
        <v/>
      </c>
      <c r="C59" s="16">
        <f>-$K$4*LN(1-B59)</f>
        <v/>
      </c>
      <c r="D59" s="16">
        <f>IF(B59&lt;$K$15,$K$5+SQRT(B59*($K$7-$K$5)*($K$6-$K$5)),$K$7-SQRT((1-B59)*($K$7-$K$5)*($K$7-$K$6)))</f>
        <v/>
      </c>
      <c r="E59" s="13">
        <f>INDEX($J$18:$J$22,MATCH(B59,$L$18:$L$22,1))</f>
        <v/>
      </c>
      <c r="F59" s="16">
        <f>-($K$9/$K$8)*LN(RAND()*RAND()*RAND())</f>
        <v/>
      </c>
      <c r="G59" s="16">
        <f>NORMINV(RAND(),$K$10,$K$11)</f>
        <v/>
      </c>
      <c r="H59" s="16">
        <f>IF(RAND()&lt;$K$12,-$K$13*LN(1-RAND()),-$K$14*LN(1-RAND()))</f>
        <v/>
      </c>
      <c r="J59" s="19" t="n">
        <v>10</v>
      </c>
      <c r="K59" s="13">
        <f>COUNTIFS($D$5:$D$504,"&gt;="&amp;J59/2,$D$5:$D$504,"&lt;"&amp;(J59+1)/2)</f>
        <v/>
      </c>
      <c r="L59" s="13">
        <f>COUNTIFS($F$5:$F$504,"&gt;="&amp;J59,$F$5:$F$504,"&lt;"&amp;(J59+1))</f>
        <v/>
      </c>
    </row>
    <row r="60">
      <c r="A60" s="13" t="n">
        <v>56</v>
      </c>
      <c r="B60" s="14">
        <f>RAND()</f>
        <v/>
      </c>
      <c r="C60" s="16">
        <f>-$K$4*LN(1-B60)</f>
        <v/>
      </c>
      <c r="D60" s="16">
        <f>IF(B60&lt;$K$15,$K$5+SQRT(B60*($K$7-$K$5)*($K$6-$K$5)),$K$7-SQRT((1-B60)*($K$7-$K$5)*($K$7-$K$6)))</f>
        <v/>
      </c>
      <c r="E60" s="13">
        <f>INDEX($J$18:$J$22,MATCH(B60,$L$18:$L$22,1))</f>
        <v/>
      </c>
      <c r="F60" s="16">
        <f>-($K$9/$K$8)*LN(RAND()*RAND()*RAND())</f>
        <v/>
      </c>
      <c r="G60" s="16">
        <f>NORMINV(RAND(),$K$10,$K$11)</f>
        <v/>
      </c>
      <c r="H60" s="16">
        <f>IF(RAND()&lt;$K$12,-$K$13*LN(1-RAND()),-$K$14*LN(1-RAND()))</f>
        <v/>
      </c>
      <c r="J60" s="19" t="n">
        <v>11</v>
      </c>
      <c r="K60" s="13">
        <f>COUNTIFS($D$5:$D$504,"&gt;="&amp;J60/2,$D$5:$D$504,"&lt;"&amp;(J60+1)/2)</f>
        <v/>
      </c>
      <c r="L60" s="13">
        <f>COUNTIFS($F$5:$F$504,"&gt;="&amp;J60,$F$5:$F$504,"&lt;"&amp;(J60+1))</f>
        <v/>
      </c>
    </row>
    <row r="61">
      <c r="A61" s="13" t="n">
        <v>57</v>
      </c>
      <c r="B61" s="14">
        <f>RAND()</f>
        <v/>
      </c>
      <c r="C61" s="16">
        <f>-$K$4*LN(1-B61)</f>
        <v/>
      </c>
      <c r="D61" s="16">
        <f>IF(B61&lt;$K$15,$K$5+SQRT(B61*($K$7-$K$5)*($K$6-$K$5)),$K$7-SQRT((1-B61)*($K$7-$K$5)*($K$7-$K$6)))</f>
        <v/>
      </c>
      <c r="E61" s="13">
        <f>INDEX($J$18:$J$22,MATCH(B61,$L$18:$L$22,1))</f>
        <v/>
      </c>
      <c r="F61" s="16">
        <f>-($K$9/$K$8)*LN(RAND()*RAND()*RAND())</f>
        <v/>
      </c>
      <c r="G61" s="16">
        <f>NORMINV(RAND(),$K$10,$K$11)</f>
        <v/>
      </c>
      <c r="H61" s="16">
        <f>IF(RAND()&lt;$K$12,-$K$13*LN(1-RAND()),-$K$14*LN(1-RAND()))</f>
        <v/>
      </c>
      <c r="J61" s="19" t="n">
        <v>12</v>
      </c>
      <c r="K61" s="13">
        <f>COUNTIFS($D$5:$D$504,"&gt;="&amp;J61/2,$D$5:$D$504,"&lt;"&amp;(J61+1)/2)</f>
        <v/>
      </c>
      <c r="L61" s="13">
        <f>COUNTIFS($F$5:$F$504,"&gt;="&amp;J61,$F$5:$F$504,"&lt;"&amp;(J61+1))</f>
        <v/>
      </c>
    </row>
    <row r="62">
      <c r="A62" s="13" t="n">
        <v>58</v>
      </c>
      <c r="B62" s="14">
        <f>RAND()</f>
        <v/>
      </c>
      <c r="C62" s="16">
        <f>-$K$4*LN(1-B62)</f>
        <v/>
      </c>
      <c r="D62" s="16">
        <f>IF(B62&lt;$K$15,$K$5+SQRT(B62*($K$7-$K$5)*($K$6-$K$5)),$K$7-SQRT((1-B62)*($K$7-$K$5)*($K$7-$K$6)))</f>
        <v/>
      </c>
      <c r="E62" s="13">
        <f>INDEX($J$18:$J$22,MATCH(B62,$L$18:$L$22,1))</f>
        <v/>
      </c>
      <c r="F62" s="16">
        <f>-($K$9/$K$8)*LN(RAND()*RAND()*RAND())</f>
        <v/>
      </c>
      <c r="G62" s="16">
        <f>NORMINV(RAND(),$K$10,$K$11)</f>
        <v/>
      </c>
      <c r="H62" s="16">
        <f>IF(RAND()&lt;$K$12,-$K$13*LN(1-RAND()),-$K$14*LN(1-RAND()))</f>
        <v/>
      </c>
      <c r="J62" s="19" t="n">
        <v>13</v>
      </c>
      <c r="K62" s="13">
        <f>COUNTIFS($D$5:$D$504,"&gt;="&amp;J62/2,$D$5:$D$504,"&lt;"&amp;(J62+1)/2)</f>
        <v/>
      </c>
      <c r="L62" s="13">
        <f>COUNTIFS($F$5:$F$504,"&gt;="&amp;J62,$F$5:$F$504,"&lt;"&amp;(J62+1))</f>
        <v/>
      </c>
    </row>
    <row r="63">
      <c r="A63" s="13" t="n">
        <v>59</v>
      </c>
      <c r="B63" s="14">
        <f>RAND()</f>
        <v/>
      </c>
      <c r="C63" s="16">
        <f>-$K$4*LN(1-B63)</f>
        <v/>
      </c>
      <c r="D63" s="16">
        <f>IF(B63&lt;$K$15,$K$5+SQRT(B63*($K$7-$K$5)*($K$6-$K$5)),$K$7-SQRT((1-B63)*($K$7-$K$5)*($K$7-$K$6)))</f>
        <v/>
      </c>
      <c r="E63" s="13">
        <f>INDEX($J$18:$J$22,MATCH(B63,$L$18:$L$22,1))</f>
        <v/>
      </c>
      <c r="F63" s="16">
        <f>-($K$9/$K$8)*LN(RAND()*RAND()*RAND())</f>
        <v/>
      </c>
      <c r="G63" s="16">
        <f>NORMINV(RAND(),$K$10,$K$11)</f>
        <v/>
      </c>
      <c r="H63" s="16">
        <f>IF(RAND()&lt;$K$12,-$K$13*LN(1-RAND()),-$K$14*LN(1-RAND()))</f>
        <v/>
      </c>
      <c r="J63" s="19" t="n">
        <v>14</v>
      </c>
      <c r="K63" s="13">
        <f>COUNTIFS($D$5:$D$504,"&gt;="&amp;J63/2,$D$5:$D$504,"&lt;"&amp;(J63+1)/2)</f>
        <v/>
      </c>
      <c r="L63" s="13">
        <f>COUNTIFS($F$5:$F$504,"&gt;="&amp;J63,$F$5:$F$504,"&lt;"&amp;(J63+1))</f>
        <v/>
      </c>
    </row>
    <row r="64">
      <c r="A64" s="13" t="n">
        <v>60</v>
      </c>
      <c r="B64" s="14">
        <f>RAND()</f>
        <v/>
      </c>
      <c r="C64" s="16">
        <f>-$K$4*LN(1-B64)</f>
        <v/>
      </c>
      <c r="D64" s="16">
        <f>IF(B64&lt;$K$15,$K$5+SQRT(B64*($K$7-$K$5)*($K$6-$K$5)),$K$7-SQRT((1-B64)*($K$7-$K$5)*($K$7-$K$6)))</f>
        <v/>
      </c>
      <c r="E64" s="13">
        <f>INDEX($J$18:$J$22,MATCH(B64,$L$18:$L$22,1))</f>
        <v/>
      </c>
      <c r="F64" s="16">
        <f>-($K$9/$K$8)*LN(RAND()*RAND()*RAND())</f>
        <v/>
      </c>
      <c r="G64" s="16">
        <f>NORMINV(RAND(),$K$10,$K$11)</f>
        <v/>
      </c>
      <c r="H64" s="16">
        <f>IF(RAND()&lt;$K$12,-$K$13*LN(1-RAND()),-$K$14*LN(1-RAND()))</f>
        <v/>
      </c>
    </row>
    <row r="65">
      <c r="A65" s="13" t="n">
        <v>61</v>
      </c>
      <c r="B65" s="14">
        <f>RAND()</f>
        <v/>
      </c>
      <c r="C65" s="16">
        <f>-$K$4*LN(1-B65)</f>
        <v/>
      </c>
      <c r="D65" s="16">
        <f>IF(B65&lt;$K$15,$K$5+SQRT(B65*($K$7-$K$5)*($K$6-$K$5)),$K$7-SQRT((1-B65)*($K$7-$K$5)*($K$7-$K$6)))</f>
        <v/>
      </c>
      <c r="E65" s="13">
        <f>INDEX($J$18:$J$22,MATCH(B65,$L$18:$L$22,1))</f>
        <v/>
      </c>
      <c r="F65" s="16">
        <f>-($K$9/$K$8)*LN(RAND()*RAND()*RAND())</f>
        <v/>
      </c>
      <c r="G65" s="16">
        <f>NORMINV(RAND(),$K$10,$K$11)</f>
        <v/>
      </c>
      <c r="H65" s="16">
        <f>IF(RAND()&lt;$K$12,-$K$13*LN(1-RAND()),-$K$14*LN(1-RAND()))</f>
        <v/>
      </c>
    </row>
    <row r="66">
      <c r="A66" s="13" t="n">
        <v>62</v>
      </c>
      <c r="B66" s="14">
        <f>RAND()</f>
        <v/>
      </c>
      <c r="C66" s="16">
        <f>-$K$4*LN(1-B66)</f>
        <v/>
      </c>
      <c r="D66" s="16">
        <f>IF(B66&lt;$K$15,$K$5+SQRT(B66*($K$7-$K$5)*($K$6-$K$5)),$K$7-SQRT((1-B66)*($K$7-$K$5)*($K$7-$K$6)))</f>
        <v/>
      </c>
      <c r="E66" s="13">
        <f>INDEX($J$18:$J$22,MATCH(B66,$L$18:$L$22,1))</f>
        <v/>
      </c>
      <c r="F66" s="16">
        <f>-($K$9/$K$8)*LN(RAND()*RAND()*RAND())</f>
        <v/>
      </c>
      <c r="G66" s="16">
        <f>NORMINV(RAND(),$K$10,$K$11)</f>
        <v/>
      </c>
      <c r="H66" s="16">
        <f>IF(RAND()&lt;$K$12,-$K$13*LN(1-RAND()),-$K$14*LN(1-RAND()))</f>
        <v/>
      </c>
    </row>
    <row r="67">
      <c r="A67" s="13" t="n">
        <v>63</v>
      </c>
      <c r="B67" s="14">
        <f>RAND()</f>
        <v/>
      </c>
      <c r="C67" s="16">
        <f>-$K$4*LN(1-B67)</f>
        <v/>
      </c>
      <c r="D67" s="16">
        <f>IF(B67&lt;$K$15,$K$5+SQRT(B67*($K$7-$K$5)*($K$6-$K$5)),$K$7-SQRT((1-B67)*($K$7-$K$5)*($K$7-$K$6)))</f>
        <v/>
      </c>
      <c r="E67" s="13">
        <f>INDEX($J$18:$J$22,MATCH(B67,$L$18:$L$22,1))</f>
        <v/>
      </c>
      <c r="F67" s="16">
        <f>-($K$9/$K$8)*LN(RAND()*RAND()*RAND())</f>
        <v/>
      </c>
      <c r="G67" s="16">
        <f>NORMINV(RAND(),$K$10,$K$11)</f>
        <v/>
      </c>
      <c r="H67" s="16">
        <f>IF(RAND()&lt;$K$12,-$K$13*LN(1-RAND()),-$K$14*LN(1-RAND()))</f>
        <v/>
      </c>
    </row>
    <row r="68">
      <c r="A68" s="13" t="n">
        <v>64</v>
      </c>
      <c r="B68" s="14">
        <f>RAND()</f>
        <v/>
      </c>
      <c r="C68" s="16">
        <f>-$K$4*LN(1-B68)</f>
        <v/>
      </c>
      <c r="D68" s="16">
        <f>IF(B68&lt;$K$15,$K$5+SQRT(B68*($K$7-$K$5)*($K$6-$K$5)),$K$7-SQRT((1-B68)*($K$7-$K$5)*($K$7-$K$6)))</f>
        <v/>
      </c>
      <c r="E68" s="13">
        <f>INDEX($J$18:$J$22,MATCH(B68,$L$18:$L$22,1))</f>
        <v/>
      </c>
      <c r="F68" s="16">
        <f>-($K$9/$K$8)*LN(RAND()*RAND()*RAND())</f>
        <v/>
      </c>
      <c r="G68" s="16">
        <f>NORMINV(RAND(),$K$10,$K$11)</f>
        <v/>
      </c>
      <c r="H68" s="16">
        <f>IF(RAND()&lt;$K$12,-$K$13*LN(1-RAND()),-$K$14*LN(1-RAND()))</f>
        <v/>
      </c>
    </row>
    <row r="69">
      <c r="A69" s="13" t="n">
        <v>65</v>
      </c>
      <c r="B69" s="14">
        <f>RAND()</f>
        <v/>
      </c>
      <c r="C69" s="16">
        <f>-$K$4*LN(1-B69)</f>
        <v/>
      </c>
      <c r="D69" s="16">
        <f>IF(B69&lt;$K$15,$K$5+SQRT(B69*($K$7-$K$5)*($K$6-$K$5)),$K$7-SQRT((1-B69)*($K$7-$K$5)*($K$7-$K$6)))</f>
        <v/>
      </c>
      <c r="E69" s="13">
        <f>INDEX($J$18:$J$22,MATCH(B69,$L$18:$L$22,1))</f>
        <v/>
      </c>
      <c r="F69" s="16">
        <f>-($K$9/$K$8)*LN(RAND()*RAND()*RAND())</f>
        <v/>
      </c>
      <c r="G69" s="16">
        <f>NORMINV(RAND(),$K$10,$K$11)</f>
        <v/>
      </c>
      <c r="H69" s="16">
        <f>IF(RAND()&lt;$K$12,-$K$13*LN(1-RAND()),-$K$14*LN(1-RAND()))</f>
        <v/>
      </c>
    </row>
    <row r="70">
      <c r="A70" s="13" t="n">
        <v>66</v>
      </c>
      <c r="B70" s="14">
        <f>RAND()</f>
        <v/>
      </c>
      <c r="C70" s="16">
        <f>-$K$4*LN(1-B70)</f>
        <v/>
      </c>
      <c r="D70" s="16">
        <f>IF(B70&lt;$K$15,$K$5+SQRT(B70*($K$7-$K$5)*($K$6-$K$5)),$K$7-SQRT((1-B70)*($K$7-$K$5)*($K$7-$K$6)))</f>
        <v/>
      </c>
      <c r="E70" s="13">
        <f>INDEX($J$18:$J$22,MATCH(B70,$L$18:$L$22,1))</f>
        <v/>
      </c>
      <c r="F70" s="16">
        <f>-($K$9/$K$8)*LN(RAND()*RAND()*RAND())</f>
        <v/>
      </c>
      <c r="G70" s="16">
        <f>NORMINV(RAND(),$K$10,$K$11)</f>
        <v/>
      </c>
      <c r="H70" s="16">
        <f>IF(RAND()&lt;$K$12,-$K$13*LN(1-RAND()),-$K$14*LN(1-RAND()))</f>
        <v/>
      </c>
    </row>
    <row r="71">
      <c r="A71" s="13" t="n">
        <v>67</v>
      </c>
      <c r="B71" s="14">
        <f>RAND()</f>
        <v/>
      </c>
      <c r="C71" s="16">
        <f>-$K$4*LN(1-B71)</f>
        <v/>
      </c>
      <c r="D71" s="16">
        <f>IF(B71&lt;$K$15,$K$5+SQRT(B71*($K$7-$K$5)*($K$6-$K$5)),$K$7-SQRT((1-B71)*($K$7-$K$5)*($K$7-$K$6)))</f>
        <v/>
      </c>
      <c r="E71" s="13">
        <f>INDEX($J$18:$J$22,MATCH(B71,$L$18:$L$22,1))</f>
        <v/>
      </c>
      <c r="F71" s="16">
        <f>-($K$9/$K$8)*LN(RAND()*RAND()*RAND())</f>
        <v/>
      </c>
      <c r="G71" s="16">
        <f>NORMINV(RAND(),$K$10,$K$11)</f>
        <v/>
      </c>
      <c r="H71" s="16">
        <f>IF(RAND()&lt;$K$12,-$K$13*LN(1-RAND()),-$K$14*LN(1-RAND()))</f>
        <v/>
      </c>
    </row>
    <row r="72">
      <c r="A72" s="13" t="n">
        <v>68</v>
      </c>
      <c r="B72" s="14">
        <f>RAND()</f>
        <v/>
      </c>
      <c r="C72" s="16">
        <f>-$K$4*LN(1-B72)</f>
        <v/>
      </c>
      <c r="D72" s="16">
        <f>IF(B72&lt;$K$15,$K$5+SQRT(B72*($K$7-$K$5)*($K$6-$K$5)),$K$7-SQRT((1-B72)*($K$7-$K$5)*($K$7-$K$6)))</f>
        <v/>
      </c>
      <c r="E72" s="13">
        <f>INDEX($J$18:$J$22,MATCH(B72,$L$18:$L$22,1))</f>
        <v/>
      </c>
      <c r="F72" s="16">
        <f>-($K$9/$K$8)*LN(RAND()*RAND()*RAND())</f>
        <v/>
      </c>
      <c r="G72" s="16">
        <f>NORMINV(RAND(),$K$10,$K$11)</f>
        <v/>
      </c>
      <c r="H72" s="16">
        <f>IF(RAND()&lt;$K$12,-$K$13*LN(1-RAND()),-$K$14*LN(1-RAND()))</f>
        <v/>
      </c>
    </row>
    <row r="73">
      <c r="A73" s="13" t="n">
        <v>69</v>
      </c>
      <c r="B73" s="14">
        <f>RAND()</f>
        <v/>
      </c>
      <c r="C73" s="16">
        <f>-$K$4*LN(1-B73)</f>
        <v/>
      </c>
      <c r="D73" s="16">
        <f>IF(B73&lt;$K$15,$K$5+SQRT(B73*($K$7-$K$5)*($K$6-$K$5)),$K$7-SQRT((1-B73)*($K$7-$K$5)*($K$7-$K$6)))</f>
        <v/>
      </c>
      <c r="E73" s="13">
        <f>INDEX($J$18:$J$22,MATCH(B73,$L$18:$L$22,1))</f>
        <v/>
      </c>
      <c r="F73" s="16">
        <f>-($K$9/$K$8)*LN(RAND()*RAND()*RAND())</f>
        <v/>
      </c>
      <c r="G73" s="16">
        <f>NORMINV(RAND(),$K$10,$K$11)</f>
        <v/>
      </c>
      <c r="H73" s="16">
        <f>IF(RAND()&lt;$K$12,-$K$13*LN(1-RAND()),-$K$14*LN(1-RAND()))</f>
        <v/>
      </c>
    </row>
    <row r="74">
      <c r="A74" s="13" t="n">
        <v>70</v>
      </c>
      <c r="B74" s="14">
        <f>RAND()</f>
        <v/>
      </c>
      <c r="C74" s="16">
        <f>-$K$4*LN(1-B74)</f>
        <v/>
      </c>
      <c r="D74" s="16">
        <f>IF(B74&lt;$K$15,$K$5+SQRT(B74*($K$7-$K$5)*($K$6-$K$5)),$K$7-SQRT((1-B74)*($K$7-$K$5)*($K$7-$K$6)))</f>
        <v/>
      </c>
      <c r="E74" s="13">
        <f>INDEX($J$18:$J$22,MATCH(B74,$L$18:$L$22,1))</f>
        <v/>
      </c>
      <c r="F74" s="16">
        <f>-($K$9/$K$8)*LN(RAND()*RAND()*RAND())</f>
        <v/>
      </c>
      <c r="G74" s="16">
        <f>NORMINV(RAND(),$K$10,$K$11)</f>
        <v/>
      </c>
      <c r="H74" s="16">
        <f>IF(RAND()&lt;$K$12,-$K$13*LN(1-RAND()),-$K$14*LN(1-RAND()))</f>
        <v/>
      </c>
    </row>
    <row r="75">
      <c r="A75" s="13" t="n">
        <v>71</v>
      </c>
      <c r="B75" s="14">
        <f>RAND()</f>
        <v/>
      </c>
      <c r="C75" s="16">
        <f>-$K$4*LN(1-B75)</f>
        <v/>
      </c>
      <c r="D75" s="16">
        <f>IF(B75&lt;$K$15,$K$5+SQRT(B75*($K$7-$K$5)*($K$6-$K$5)),$K$7-SQRT((1-B75)*($K$7-$K$5)*($K$7-$K$6)))</f>
        <v/>
      </c>
      <c r="E75" s="13">
        <f>INDEX($J$18:$J$22,MATCH(B75,$L$18:$L$22,1))</f>
        <v/>
      </c>
      <c r="F75" s="16">
        <f>-($K$9/$K$8)*LN(RAND()*RAND()*RAND())</f>
        <v/>
      </c>
      <c r="G75" s="16">
        <f>NORMINV(RAND(),$K$10,$K$11)</f>
        <v/>
      </c>
      <c r="H75" s="16">
        <f>IF(RAND()&lt;$K$12,-$K$13*LN(1-RAND()),-$K$14*LN(1-RAND()))</f>
        <v/>
      </c>
    </row>
    <row r="76">
      <c r="A76" s="13" t="n">
        <v>72</v>
      </c>
      <c r="B76" s="14">
        <f>RAND()</f>
        <v/>
      </c>
      <c r="C76" s="16">
        <f>-$K$4*LN(1-B76)</f>
        <v/>
      </c>
      <c r="D76" s="16">
        <f>IF(B76&lt;$K$15,$K$5+SQRT(B76*($K$7-$K$5)*($K$6-$K$5)),$K$7-SQRT((1-B76)*($K$7-$K$5)*($K$7-$K$6)))</f>
        <v/>
      </c>
      <c r="E76" s="13">
        <f>INDEX($J$18:$J$22,MATCH(B76,$L$18:$L$22,1))</f>
        <v/>
      </c>
      <c r="F76" s="16">
        <f>-($K$9/$K$8)*LN(RAND()*RAND()*RAND())</f>
        <v/>
      </c>
      <c r="G76" s="16">
        <f>NORMINV(RAND(),$K$10,$K$11)</f>
        <v/>
      </c>
      <c r="H76" s="16">
        <f>IF(RAND()&lt;$K$12,-$K$13*LN(1-RAND()),-$K$14*LN(1-RAND()))</f>
        <v/>
      </c>
    </row>
    <row r="77">
      <c r="A77" s="13" t="n">
        <v>73</v>
      </c>
      <c r="B77" s="14">
        <f>RAND()</f>
        <v/>
      </c>
      <c r="C77" s="16">
        <f>-$K$4*LN(1-B77)</f>
        <v/>
      </c>
      <c r="D77" s="16">
        <f>IF(B77&lt;$K$15,$K$5+SQRT(B77*($K$7-$K$5)*($K$6-$K$5)),$K$7-SQRT((1-B77)*($K$7-$K$5)*($K$7-$K$6)))</f>
        <v/>
      </c>
      <c r="E77" s="13">
        <f>INDEX($J$18:$J$22,MATCH(B77,$L$18:$L$22,1))</f>
        <v/>
      </c>
      <c r="F77" s="16">
        <f>-($K$9/$K$8)*LN(RAND()*RAND()*RAND())</f>
        <v/>
      </c>
      <c r="G77" s="16">
        <f>NORMINV(RAND(),$K$10,$K$11)</f>
        <v/>
      </c>
      <c r="H77" s="16">
        <f>IF(RAND()&lt;$K$12,-$K$13*LN(1-RAND()),-$K$14*LN(1-RAND()))</f>
        <v/>
      </c>
    </row>
    <row r="78">
      <c r="A78" s="13" t="n">
        <v>74</v>
      </c>
      <c r="B78" s="14">
        <f>RAND()</f>
        <v/>
      </c>
      <c r="C78" s="16">
        <f>-$K$4*LN(1-B78)</f>
        <v/>
      </c>
      <c r="D78" s="16">
        <f>IF(B78&lt;$K$15,$K$5+SQRT(B78*($K$7-$K$5)*($K$6-$K$5)),$K$7-SQRT((1-B78)*($K$7-$K$5)*($K$7-$K$6)))</f>
        <v/>
      </c>
      <c r="E78" s="13">
        <f>INDEX($J$18:$J$22,MATCH(B78,$L$18:$L$22,1))</f>
        <v/>
      </c>
      <c r="F78" s="16">
        <f>-($K$9/$K$8)*LN(RAND()*RAND()*RAND())</f>
        <v/>
      </c>
      <c r="G78" s="16">
        <f>NORMINV(RAND(),$K$10,$K$11)</f>
        <v/>
      </c>
      <c r="H78" s="16">
        <f>IF(RAND()&lt;$K$12,-$K$13*LN(1-RAND()),-$K$14*LN(1-RAND()))</f>
        <v/>
      </c>
    </row>
    <row r="79">
      <c r="A79" s="13" t="n">
        <v>75</v>
      </c>
      <c r="B79" s="14">
        <f>RAND()</f>
        <v/>
      </c>
      <c r="C79" s="16">
        <f>-$K$4*LN(1-B79)</f>
        <v/>
      </c>
      <c r="D79" s="16">
        <f>IF(B79&lt;$K$15,$K$5+SQRT(B79*($K$7-$K$5)*($K$6-$K$5)),$K$7-SQRT((1-B79)*($K$7-$K$5)*($K$7-$K$6)))</f>
        <v/>
      </c>
      <c r="E79" s="13">
        <f>INDEX($J$18:$J$22,MATCH(B79,$L$18:$L$22,1))</f>
        <v/>
      </c>
      <c r="F79" s="16">
        <f>-($K$9/$K$8)*LN(RAND()*RAND()*RAND())</f>
        <v/>
      </c>
      <c r="G79" s="16">
        <f>NORMINV(RAND(),$K$10,$K$11)</f>
        <v/>
      </c>
      <c r="H79" s="16">
        <f>IF(RAND()&lt;$K$12,-$K$13*LN(1-RAND()),-$K$14*LN(1-RAND()))</f>
        <v/>
      </c>
    </row>
    <row r="80">
      <c r="A80" s="13" t="n">
        <v>76</v>
      </c>
      <c r="B80" s="14">
        <f>RAND()</f>
        <v/>
      </c>
      <c r="C80" s="16">
        <f>-$K$4*LN(1-B80)</f>
        <v/>
      </c>
      <c r="D80" s="16">
        <f>IF(B80&lt;$K$15,$K$5+SQRT(B80*($K$7-$K$5)*($K$6-$K$5)),$K$7-SQRT((1-B80)*($K$7-$K$5)*($K$7-$K$6)))</f>
        <v/>
      </c>
      <c r="E80" s="13">
        <f>INDEX($J$18:$J$22,MATCH(B80,$L$18:$L$22,1))</f>
        <v/>
      </c>
      <c r="F80" s="16">
        <f>-($K$9/$K$8)*LN(RAND()*RAND()*RAND())</f>
        <v/>
      </c>
      <c r="G80" s="16">
        <f>NORMINV(RAND(),$K$10,$K$11)</f>
        <v/>
      </c>
      <c r="H80" s="16">
        <f>IF(RAND()&lt;$K$12,-$K$13*LN(1-RAND()),-$K$14*LN(1-RAND()))</f>
        <v/>
      </c>
    </row>
    <row r="81">
      <c r="A81" s="13" t="n">
        <v>77</v>
      </c>
      <c r="B81" s="14">
        <f>RAND()</f>
        <v/>
      </c>
      <c r="C81" s="16">
        <f>-$K$4*LN(1-B81)</f>
        <v/>
      </c>
      <c r="D81" s="16">
        <f>IF(B81&lt;$K$15,$K$5+SQRT(B81*($K$7-$K$5)*($K$6-$K$5)),$K$7-SQRT((1-B81)*($K$7-$K$5)*($K$7-$K$6)))</f>
        <v/>
      </c>
      <c r="E81" s="13">
        <f>INDEX($J$18:$J$22,MATCH(B81,$L$18:$L$22,1))</f>
        <v/>
      </c>
      <c r="F81" s="16">
        <f>-($K$9/$K$8)*LN(RAND()*RAND()*RAND())</f>
        <v/>
      </c>
      <c r="G81" s="16">
        <f>NORMINV(RAND(),$K$10,$K$11)</f>
        <v/>
      </c>
      <c r="H81" s="16">
        <f>IF(RAND()&lt;$K$12,-$K$13*LN(1-RAND()),-$K$14*LN(1-RAND()))</f>
        <v/>
      </c>
    </row>
    <row r="82">
      <c r="A82" s="13" t="n">
        <v>78</v>
      </c>
      <c r="B82" s="14">
        <f>RAND()</f>
        <v/>
      </c>
      <c r="C82" s="16">
        <f>-$K$4*LN(1-B82)</f>
        <v/>
      </c>
      <c r="D82" s="16">
        <f>IF(B82&lt;$K$15,$K$5+SQRT(B82*($K$7-$K$5)*($K$6-$K$5)),$K$7-SQRT((1-B82)*($K$7-$K$5)*($K$7-$K$6)))</f>
        <v/>
      </c>
      <c r="E82" s="13">
        <f>INDEX($J$18:$J$22,MATCH(B82,$L$18:$L$22,1))</f>
        <v/>
      </c>
      <c r="F82" s="16">
        <f>-($K$9/$K$8)*LN(RAND()*RAND()*RAND())</f>
        <v/>
      </c>
      <c r="G82" s="16">
        <f>NORMINV(RAND(),$K$10,$K$11)</f>
        <v/>
      </c>
      <c r="H82" s="16">
        <f>IF(RAND()&lt;$K$12,-$K$13*LN(1-RAND()),-$K$14*LN(1-RAND()))</f>
        <v/>
      </c>
    </row>
    <row r="83">
      <c r="A83" s="13" t="n">
        <v>79</v>
      </c>
      <c r="B83" s="14">
        <f>RAND()</f>
        <v/>
      </c>
      <c r="C83" s="16">
        <f>-$K$4*LN(1-B83)</f>
        <v/>
      </c>
      <c r="D83" s="16">
        <f>IF(B83&lt;$K$15,$K$5+SQRT(B83*($K$7-$K$5)*($K$6-$K$5)),$K$7-SQRT((1-B83)*($K$7-$K$5)*($K$7-$K$6)))</f>
        <v/>
      </c>
      <c r="E83" s="13">
        <f>INDEX($J$18:$J$22,MATCH(B83,$L$18:$L$22,1))</f>
        <v/>
      </c>
      <c r="F83" s="16">
        <f>-($K$9/$K$8)*LN(RAND()*RAND()*RAND())</f>
        <v/>
      </c>
      <c r="G83" s="16">
        <f>NORMINV(RAND(),$K$10,$K$11)</f>
        <v/>
      </c>
      <c r="H83" s="16">
        <f>IF(RAND()&lt;$K$12,-$K$13*LN(1-RAND()),-$K$14*LN(1-RAND()))</f>
        <v/>
      </c>
    </row>
    <row r="84">
      <c r="A84" s="13" t="n">
        <v>80</v>
      </c>
      <c r="B84" s="14">
        <f>RAND()</f>
        <v/>
      </c>
      <c r="C84" s="16">
        <f>-$K$4*LN(1-B84)</f>
        <v/>
      </c>
      <c r="D84" s="16">
        <f>IF(B84&lt;$K$15,$K$5+SQRT(B84*($K$7-$K$5)*($K$6-$K$5)),$K$7-SQRT((1-B84)*($K$7-$K$5)*($K$7-$K$6)))</f>
        <v/>
      </c>
      <c r="E84" s="13">
        <f>INDEX($J$18:$J$22,MATCH(B84,$L$18:$L$22,1))</f>
        <v/>
      </c>
      <c r="F84" s="16">
        <f>-($K$9/$K$8)*LN(RAND()*RAND()*RAND())</f>
        <v/>
      </c>
      <c r="G84" s="16">
        <f>NORMINV(RAND(),$K$10,$K$11)</f>
        <v/>
      </c>
      <c r="H84" s="16">
        <f>IF(RAND()&lt;$K$12,-$K$13*LN(1-RAND()),-$K$14*LN(1-RAND()))</f>
        <v/>
      </c>
    </row>
    <row r="85">
      <c r="A85" s="13" t="n">
        <v>81</v>
      </c>
      <c r="B85" s="14">
        <f>RAND()</f>
        <v/>
      </c>
      <c r="C85" s="16">
        <f>-$K$4*LN(1-B85)</f>
        <v/>
      </c>
      <c r="D85" s="16">
        <f>IF(B85&lt;$K$15,$K$5+SQRT(B85*($K$7-$K$5)*($K$6-$K$5)),$K$7-SQRT((1-B85)*($K$7-$K$5)*($K$7-$K$6)))</f>
        <v/>
      </c>
      <c r="E85" s="13">
        <f>INDEX($J$18:$J$22,MATCH(B85,$L$18:$L$22,1))</f>
        <v/>
      </c>
      <c r="F85" s="16">
        <f>-($K$9/$K$8)*LN(RAND()*RAND()*RAND())</f>
        <v/>
      </c>
      <c r="G85" s="16">
        <f>NORMINV(RAND(),$K$10,$K$11)</f>
        <v/>
      </c>
      <c r="H85" s="16">
        <f>IF(RAND()&lt;$K$12,-$K$13*LN(1-RAND()),-$K$14*LN(1-RAND()))</f>
        <v/>
      </c>
    </row>
    <row r="86">
      <c r="A86" s="13" t="n">
        <v>82</v>
      </c>
      <c r="B86" s="14">
        <f>RAND()</f>
        <v/>
      </c>
      <c r="C86" s="16">
        <f>-$K$4*LN(1-B86)</f>
        <v/>
      </c>
      <c r="D86" s="16">
        <f>IF(B86&lt;$K$15,$K$5+SQRT(B86*($K$7-$K$5)*($K$6-$K$5)),$K$7-SQRT((1-B86)*($K$7-$K$5)*($K$7-$K$6)))</f>
        <v/>
      </c>
      <c r="E86" s="13">
        <f>INDEX($J$18:$J$22,MATCH(B86,$L$18:$L$22,1))</f>
        <v/>
      </c>
      <c r="F86" s="16">
        <f>-($K$9/$K$8)*LN(RAND()*RAND()*RAND())</f>
        <v/>
      </c>
      <c r="G86" s="16">
        <f>NORMINV(RAND(),$K$10,$K$11)</f>
        <v/>
      </c>
      <c r="H86" s="16">
        <f>IF(RAND()&lt;$K$12,-$K$13*LN(1-RAND()),-$K$14*LN(1-RAND()))</f>
        <v/>
      </c>
    </row>
    <row r="87">
      <c r="A87" s="13" t="n">
        <v>83</v>
      </c>
      <c r="B87" s="14">
        <f>RAND()</f>
        <v/>
      </c>
      <c r="C87" s="16">
        <f>-$K$4*LN(1-B87)</f>
        <v/>
      </c>
      <c r="D87" s="16">
        <f>IF(B87&lt;$K$15,$K$5+SQRT(B87*($K$7-$K$5)*($K$6-$K$5)),$K$7-SQRT((1-B87)*($K$7-$K$5)*($K$7-$K$6)))</f>
        <v/>
      </c>
      <c r="E87" s="13">
        <f>INDEX($J$18:$J$22,MATCH(B87,$L$18:$L$22,1))</f>
        <v/>
      </c>
      <c r="F87" s="16">
        <f>-($K$9/$K$8)*LN(RAND()*RAND()*RAND())</f>
        <v/>
      </c>
      <c r="G87" s="16">
        <f>NORMINV(RAND(),$K$10,$K$11)</f>
        <v/>
      </c>
      <c r="H87" s="16">
        <f>IF(RAND()&lt;$K$12,-$K$13*LN(1-RAND()),-$K$14*LN(1-RAND()))</f>
        <v/>
      </c>
    </row>
    <row r="88">
      <c r="A88" s="13" t="n">
        <v>84</v>
      </c>
      <c r="B88" s="14">
        <f>RAND()</f>
        <v/>
      </c>
      <c r="C88" s="16">
        <f>-$K$4*LN(1-B88)</f>
        <v/>
      </c>
      <c r="D88" s="16">
        <f>IF(B88&lt;$K$15,$K$5+SQRT(B88*($K$7-$K$5)*($K$6-$K$5)),$K$7-SQRT((1-B88)*($K$7-$K$5)*($K$7-$K$6)))</f>
        <v/>
      </c>
      <c r="E88" s="13">
        <f>INDEX($J$18:$J$22,MATCH(B88,$L$18:$L$22,1))</f>
        <v/>
      </c>
      <c r="F88" s="16">
        <f>-($K$9/$K$8)*LN(RAND()*RAND()*RAND())</f>
        <v/>
      </c>
      <c r="G88" s="16">
        <f>NORMINV(RAND(),$K$10,$K$11)</f>
        <v/>
      </c>
      <c r="H88" s="16">
        <f>IF(RAND()&lt;$K$12,-$K$13*LN(1-RAND()),-$K$14*LN(1-RAND()))</f>
        <v/>
      </c>
    </row>
    <row r="89">
      <c r="A89" s="13" t="n">
        <v>85</v>
      </c>
      <c r="B89" s="14">
        <f>RAND()</f>
        <v/>
      </c>
      <c r="C89" s="16">
        <f>-$K$4*LN(1-B89)</f>
        <v/>
      </c>
      <c r="D89" s="16">
        <f>IF(B89&lt;$K$15,$K$5+SQRT(B89*($K$7-$K$5)*($K$6-$K$5)),$K$7-SQRT((1-B89)*($K$7-$K$5)*($K$7-$K$6)))</f>
        <v/>
      </c>
      <c r="E89" s="13">
        <f>INDEX($J$18:$J$22,MATCH(B89,$L$18:$L$22,1))</f>
        <v/>
      </c>
      <c r="F89" s="16">
        <f>-($K$9/$K$8)*LN(RAND()*RAND()*RAND())</f>
        <v/>
      </c>
      <c r="G89" s="16">
        <f>NORMINV(RAND(),$K$10,$K$11)</f>
        <v/>
      </c>
      <c r="H89" s="16">
        <f>IF(RAND()&lt;$K$12,-$K$13*LN(1-RAND()),-$K$14*LN(1-RAND()))</f>
        <v/>
      </c>
    </row>
    <row r="90">
      <c r="A90" s="13" t="n">
        <v>86</v>
      </c>
      <c r="B90" s="14">
        <f>RAND()</f>
        <v/>
      </c>
      <c r="C90" s="16">
        <f>-$K$4*LN(1-B90)</f>
        <v/>
      </c>
      <c r="D90" s="16">
        <f>IF(B90&lt;$K$15,$K$5+SQRT(B90*($K$7-$K$5)*($K$6-$K$5)),$K$7-SQRT((1-B90)*($K$7-$K$5)*($K$7-$K$6)))</f>
        <v/>
      </c>
      <c r="E90" s="13">
        <f>INDEX($J$18:$J$22,MATCH(B90,$L$18:$L$22,1))</f>
        <v/>
      </c>
      <c r="F90" s="16">
        <f>-($K$9/$K$8)*LN(RAND()*RAND()*RAND())</f>
        <v/>
      </c>
      <c r="G90" s="16">
        <f>NORMINV(RAND(),$K$10,$K$11)</f>
        <v/>
      </c>
      <c r="H90" s="16">
        <f>IF(RAND()&lt;$K$12,-$K$13*LN(1-RAND()),-$K$14*LN(1-RAND()))</f>
        <v/>
      </c>
    </row>
    <row r="91">
      <c r="A91" s="13" t="n">
        <v>87</v>
      </c>
      <c r="B91" s="14">
        <f>RAND()</f>
        <v/>
      </c>
      <c r="C91" s="16">
        <f>-$K$4*LN(1-B91)</f>
        <v/>
      </c>
      <c r="D91" s="16">
        <f>IF(B91&lt;$K$15,$K$5+SQRT(B91*($K$7-$K$5)*($K$6-$K$5)),$K$7-SQRT((1-B91)*($K$7-$K$5)*($K$7-$K$6)))</f>
        <v/>
      </c>
      <c r="E91" s="13">
        <f>INDEX($J$18:$J$22,MATCH(B91,$L$18:$L$22,1))</f>
        <v/>
      </c>
      <c r="F91" s="16">
        <f>-($K$9/$K$8)*LN(RAND()*RAND()*RAND())</f>
        <v/>
      </c>
      <c r="G91" s="16">
        <f>NORMINV(RAND(),$K$10,$K$11)</f>
        <v/>
      </c>
      <c r="H91" s="16">
        <f>IF(RAND()&lt;$K$12,-$K$13*LN(1-RAND()),-$K$14*LN(1-RAND()))</f>
        <v/>
      </c>
    </row>
    <row r="92">
      <c r="A92" s="13" t="n">
        <v>88</v>
      </c>
      <c r="B92" s="14">
        <f>RAND()</f>
        <v/>
      </c>
      <c r="C92" s="16">
        <f>-$K$4*LN(1-B92)</f>
        <v/>
      </c>
      <c r="D92" s="16">
        <f>IF(B92&lt;$K$15,$K$5+SQRT(B92*($K$7-$K$5)*($K$6-$K$5)),$K$7-SQRT((1-B92)*($K$7-$K$5)*($K$7-$K$6)))</f>
        <v/>
      </c>
      <c r="E92" s="13">
        <f>INDEX($J$18:$J$22,MATCH(B92,$L$18:$L$22,1))</f>
        <v/>
      </c>
      <c r="F92" s="16">
        <f>-($K$9/$K$8)*LN(RAND()*RAND()*RAND())</f>
        <v/>
      </c>
      <c r="G92" s="16">
        <f>NORMINV(RAND(),$K$10,$K$11)</f>
        <v/>
      </c>
      <c r="H92" s="16">
        <f>IF(RAND()&lt;$K$12,-$K$13*LN(1-RAND()),-$K$14*LN(1-RAND()))</f>
        <v/>
      </c>
    </row>
    <row r="93">
      <c r="A93" s="13" t="n">
        <v>89</v>
      </c>
      <c r="B93" s="14">
        <f>RAND()</f>
        <v/>
      </c>
      <c r="C93" s="16">
        <f>-$K$4*LN(1-B93)</f>
        <v/>
      </c>
      <c r="D93" s="16">
        <f>IF(B93&lt;$K$15,$K$5+SQRT(B93*($K$7-$K$5)*($K$6-$K$5)),$K$7-SQRT((1-B93)*($K$7-$K$5)*($K$7-$K$6)))</f>
        <v/>
      </c>
      <c r="E93" s="13">
        <f>INDEX($J$18:$J$22,MATCH(B93,$L$18:$L$22,1))</f>
        <v/>
      </c>
      <c r="F93" s="16">
        <f>-($K$9/$K$8)*LN(RAND()*RAND()*RAND())</f>
        <v/>
      </c>
      <c r="G93" s="16">
        <f>NORMINV(RAND(),$K$10,$K$11)</f>
        <v/>
      </c>
      <c r="H93" s="16">
        <f>IF(RAND()&lt;$K$12,-$K$13*LN(1-RAND()),-$K$14*LN(1-RAND()))</f>
        <v/>
      </c>
    </row>
    <row r="94">
      <c r="A94" s="13" t="n">
        <v>90</v>
      </c>
      <c r="B94" s="14">
        <f>RAND()</f>
        <v/>
      </c>
      <c r="C94" s="16">
        <f>-$K$4*LN(1-B94)</f>
        <v/>
      </c>
      <c r="D94" s="16">
        <f>IF(B94&lt;$K$15,$K$5+SQRT(B94*($K$7-$K$5)*($K$6-$K$5)),$K$7-SQRT((1-B94)*($K$7-$K$5)*($K$7-$K$6)))</f>
        <v/>
      </c>
      <c r="E94" s="13">
        <f>INDEX($J$18:$J$22,MATCH(B94,$L$18:$L$22,1))</f>
        <v/>
      </c>
      <c r="F94" s="16">
        <f>-($K$9/$K$8)*LN(RAND()*RAND()*RAND())</f>
        <v/>
      </c>
      <c r="G94" s="16">
        <f>NORMINV(RAND(),$K$10,$K$11)</f>
        <v/>
      </c>
      <c r="H94" s="16">
        <f>IF(RAND()&lt;$K$12,-$K$13*LN(1-RAND()),-$K$14*LN(1-RAND()))</f>
        <v/>
      </c>
    </row>
    <row r="95">
      <c r="A95" s="13" t="n">
        <v>91</v>
      </c>
      <c r="B95" s="14">
        <f>RAND()</f>
        <v/>
      </c>
      <c r="C95" s="16">
        <f>-$K$4*LN(1-B95)</f>
        <v/>
      </c>
      <c r="D95" s="16">
        <f>IF(B95&lt;$K$15,$K$5+SQRT(B95*($K$7-$K$5)*($K$6-$K$5)),$K$7-SQRT((1-B95)*($K$7-$K$5)*($K$7-$K$6)))</f>
        <v/>
      </c>
      <c r="E95" s="13">
        <f>INDEX($J$18:$J$22,MATCH(B95,$L$18:$L$22,1))</f>
        <v/>
      </c>
      <c r="F95" s="16">
        <f>-($K$9/$K$8)*LN(RAND()*RAND()*RAND())</f>
        <v/>
      </c>
      <c r="G95" s="16">
        <f>NORMINV(RAND(),$K$10,$K$11)</f>
        <v/>
      </c>
      <c r="H95" s="16">
        <f>IF(RAND()&lt;$K$12,-$K$13*LN(1-RAND()),-$K$14*LN(1-RAND()))</f>
        <v/>
      </c>
    </row>
    <row r="96">
      <c r="A96" s="13" t="n">
        <v>92</v>
      </c>
      <c r="B96" s="14">
        <f>RAND()</f>
        <v/>
      </c>
      <c r="C96" s="16">
        <f>-$K$4*LN(1-B96)</f>
        <v/>
      </c>
      <c r="D96" s="16">
        <f>IF(B96&lt;$K$15,$K$5+SQRT(B96*($K$7-$K$5)*($K$6-$K$5)),$K$7-SQRT((1-B96)*($K$7-$K$5)*($K$7-$K$6)))</f>
        <v/>
      </c>
      <c r="E96" s="13">
        <f>INDEX($J$18:$J$22,MATCH(B96,$L$18:$L$22,1))</f>
        <v/>
      </c>
      <c r="F96" s="16">
        <f>-($K$9/$K$8)*LN(RAND()*RAND()*RAND())</f>
        <v/>
      </c>
      <c r="G96" s="16">
        <f>NORMINV(RAND(),$K$10,$K$11)</f>
        <v/>
      </c>
      <c r="H96" s="16">
        <f>IF(RAND()&lt;$K$12,-$K$13*LN(1-RAND()),-$K$14*LN(1-RAND()))</f>
        <v/>
      </c>
    </row>
    <row r="97">
      <c r="A97" s="13" t="n">
        <v>93</v>
      </c>
      <c r="B97" s="14">
        <f>RAND()</f>
        <v/>
      </c>
      <c r="C97" s="16">
        <f>-$K$4*LN(1-B97)</f>
        <v/>
      </c>
      <c r="D97" s="16">
        <f>IF(B97&lt;$K$15,$K$5+SQRT(B97*($K$7-$K$5)*($K$6-$K$5)),$K$7-SQRT((1-B97)*($K$7-$K$5)*($K$7-$K$6)))</f>
        <v/>
      </c>
      <c r="E97" s="13">
        <f>INDEX($J$18:$J$22,MATCH(B97,$L$18:$L$22,1))</f>
        <v/>
      </c>
      <c r="F97" s="16">
        <f>-($K$9/$K$8)*LN(RAND()*RAND()*RAND())</f>
        <v/>
      </c>
      <c r="G97" s="16">
        <f>NORMINV(RAND(),$K$10,$K$11)</f>
        <v/>
      </c>
      <c r="H97" s="16">
        <f>IF(RAND()&lt;$K$12,-$K$13*LN(1-RAND()),-$K$14*LN(1-RAND()))</f>
        <v/>
      </c>
    </row>
    <row r="98">
      <c r="A98" s="13" t="n">
        <v>94</v>
      </c>
      <c r="B98" s="14">
        <f>RAND()</f>
        <v/>
      </c>
      <c r="C98" s="16">
        <f>-$K$4*LN(1-B98)</f>
        <v/>
      </c>
      <c r="D98" s="16">
        <f>IF(B98&lt;$K$15,$K$5+SQRT(B98*($K$7-$K$5)*($K$6-$K$5)),$K$7-SQRT((1-B98)*($K$7-$K$5)*($K$7-$K$6)))</f>
        <v/>
      </c>
      <c r="E98" s="13">
        <f>INDEX($J$18:$J$22,MATCH(B98,$L$18:$L$22,1))</f>
        <v/>
      </c>
      <c r="F98" s="16">
        <f>-($K$9/$K$8)*LN(RAND()*RAND()*RAND())</f>
        <v/>
      </c>
      <c r="G98" s="16">
        <f>NORMINV(RAND(),$K$10,$K$11)</f>
        <v/>
      </c>
      <c r="H98" s="16">
        <f>IF(RAND()&lt;$K$12,-$K$13*LN(1-RAND()),-$K$14*LN(1-RAND()))</f>
        <v/>
      </c>
    </row>
    <row r="99">
      <c r="A99" s="13" t="n">
        <v>95</v>
      </c>
      <c r="B99" s="14">
        <f>RAND()</f>
        <v/>
      </c>
      <c r="C99" s="16">
        <f>-$K$4*LN(1-B99)</f>
        <v/>
      </c>
      <c r="D99" s="16">
        <f>IF(B99&lt;$K$15,$K$5+SQRT(B99*($K$7-$K$5)*($K$6-$K$5)),$K$7-SQRT((1-B99)*($K$7-$K$5)*($K$7-$K$6)))</f>
        <v/>
      </c>
      <c r="E99" s="13">
        <f>INDEX($J$18:$J$22,MATCH(B99,$L$18:$L$22,1))</f>
        <v/>
      </c>
      <c r="F99" s="16">
        <f>-($K$9/$K$8)*LN(RAND()*RAND()*RAND())</f>
        <v/>
      </c>
      <c r="G99" s="16">
        <f>NORMINV(RAND(),$K$10,$K$11)</f>
        <v/>
      </c>
      <c r="H99" s="16">
        <f>IF(RAND()&lt;$K$12,-$K$13*LN(1-RAND()),-$K$14*LN(1-RAND()))</f>
        <v/>
      </c>
    </row>
    <row r="100">
      <c r="A100" s="13" t="n">
        <v>96</v>
      </c>
      <c r="B100" s="14">
        <f>RAND()</f>
        <v/>
      </c>
      <c r="C100" s="16">
        <f>-$K$4*LN(1-B100)</f>
        <v/>
      </c>
      <c r="D100" s="16">
        <f>IF(B100&lt;$K$15,$K$5+SQRT(B100*($K$7-$K$5)*($K$6-$K$5)),$K$7-SQRT((1-B100)*($K$7-$K$5)*($K$7-$K$6)))</f>
        <v/>
      </c>
      <c r="E100" s="13">
        <f>INDEX($J$18:$J$22,MATCH(B100,$L$18:$L$22,1))</f>
        <v/>
      </c>
      <c r="F100" s="16">
        <f>-($K$9/$K$8)*LN(RAND()*RAND()*RAND())</f>
        <v/>
      </c>
      <c r="G100" s="16">
        <f>NORMINV(RAND(),$K$10,$K$11)</f>
        <v/>
      </c>
      <c r="H100" s="16">
        <f>IF(RAND()&lt;$K$12,-$K$13*LN(1-RAND()),-$K$14*LN(1-RAND()))</f>
        <v/>
      </c>
    </row>
    <row r="101">
      <c r="A101" s="13" t="n">
        <v>97</v>
      </c>
      <c r="B101" s="14">
        <f>RAND()</f>
        <v/>
      </c>
      <c r="C101" s="16">
        <f>-$K$4*LN(1-B101)</f>
        <v/>
      </c>
      <c r="D101" s="16">
        <f>IF(B101&lt;$K$15,$K$5+SQRT(B101*($K$7-$K$5)*($K$6-$K$5)),$K$7-SQRT((1-B101)*($K$7-$K$5)*($K$7-$K$6)))</f>
        <v/>
      </c>
      <c r="E101" s="13">
        <f>INDEX($J$18:$J$22,MATCH(B101,$L$18:$L$22,1))</f>
        <v/>
      </c>
      <c r="F101" s="16">
        <f>-($K$9/$K$8)*LN(RAND()*RAND()*RAND())</f>
        <v/>
      </c>
      <c r="G101" s="16">
        <f>NORMINV(RAND(),$K$10,$K$11)</f>
        <v/>
      </c>
      <c r="H101" s="16">
        <f>IF(RAND()&lt;$K$12,-$K$13*LN(1-RAND()),-$K$14*LN(1-RAND()))</f>
        <v/>
      </c>
    </row>
    <row r="102">
      <c r="A102" s="13" t="n">
        <v>98</v>
      </c>
      <c r="B102" s="14">
        <f>RAND()</f>
        <v/>
      </c>
      <c r="C102" s="16">
        <f>-$K$4*LN(1-B102)</f>
        <v/>
      </c>
      <c r="D102" s="16">
        <f>IF(B102&lt;$K$15,$K$5+SQRT(B102*($K$7-$K$5)*($K$6-$K$5)),$K$7-SQRT((1-B102)*($K$7-$K$5)*($K$7-$K$6)))</f>
        <v/>
      </c>
      <c r="E102" s="13">
        <f>INDEX($J$18:$J$22,MATCH(B102,$L$18:$L$22,1))</f>
        <v/>
      </c>
      <c r="F102" s="16">
        <f>-($K$9/$K$8)*LN(RAND()*RAND()*RAND())</f>
        <v/>
      </c>
      <c r="G102" s="16">
        <f>NORMINV(RAND(),$K$10,$K$11)</f>
        <v/>
      </c>
      <c r="H102" s="16">
        <f>IF(RAND()&lt;$K$12,-$K$13*LN(1-RAND()),-$K$14*LN(1-RAND()))</f>
        <v/>
      </c>
    </row>
    <row r="103">
      <c r="A103" s="13" t="n">
        <v>99</v>
      </c>
      <c r="B103" s="14">
        <f>RAND()</f>
        <v/>
      </c>
      <c r="C103" s="16">
        <f>-$K$4*LN(1-B103)</f>
        <v/>
      </c>
      <c r="D103" s="16">
        <f>IF(B103&lt;$K$15,$K$5+SQRT(B103*($K$7-$K$5)*($K$6-$K$5)),$K$7-SQRT((1-B103)*($K$7-$K$5)*($K$7-$K$6)))</f>
        <v/>
      </c>
      <c r="E103" s="13">
        <f>INDEX($J$18:$J$22,MATCH(B103,$L$18:$L$22,1))</f>
        <v/>
      </c>
      <c r="F103" s="16">
        <f>-($K$9/$K$8)*LN(RAND()*RAND()*RAND())</f>
        <v/>
      </c>
      <c r="G103" s="16">
        <f>NORMINV(RAND(),$K$10,$K$11)</f>
        <v/>
      </c>
      <c r="H103" s="16">
        <f>IF(RAND()&lt;$K$12,-$K$13*LN(1-RAND()),-$K$14*LN(1-RAND()))</f>
        <v/>
      </c>
    </row>
    <row r="104">
      <c r="A104" s="13" t="n">
        <v>100</v>
      </c>
      <c r="B104" s="14">
        <f>RAND()</f>
        <v/>
      </c>
      <c r="C104" s="16">
        <f>-$K$4*LN(1-B104)</f>
        <v/>
      </c>
      <c r="D104" s="16">
        <f>IF(B104&lt;$K$15,$K$5+SQRT(B104*($K$7-$K$5)*($K$6-$K$5)),$K$7-SQRT((1-B104)*($K$7-$K$5)*($K$7-$K$6)))</f>
        <v/>
      </c>
      <c r="E104" s="13">
        <f>INDEX($J$18:$J$22,MATCH(B104,$L$18:$L$22,1))</f>
        <v/>
      </c>
      <c r="F104" s="16">
        <f>-($K$9/$K$8)*LN(RAND()*RAND()*RAND())</f>
        <v/>
      </c>
      <c r="G104" s="16">
        <f>NORMINV(RAND(),$K$10,$K$11)</f>
        <v/>
      </c>
      <c r="H104" s="16">
        <f>IF(RAND()&lt;$K$12,-$K$13*LN(1-RAND()),-$K$14*LN(1-RAND()))</f>
        <v/>
      </c>
    </row>
    <row r="105">
      <c r="A105" s="13" t="n">
        <v>101</v>
      </c>
      <c r="B105" s="14">
        <f>RAND()</f>
        <v/>
      </c>
      <c r="C105" s="16">
        <f>-$K$4*LN(1-B105)</f>
        <v/>
      </c>
      <c r="D105" s="16">
        <f>IF(B105&lt;$K$15,$K$5+SQRT(B105*($K$7-$K$5)*($K$6-$K$5)),$K$7-SQRT((1-B105)*($K$7-$K$5)*($K$7-$K$6)))</f>
        <v/>
      </c>
      <c r="E105" s="13">
        <f>INDEX($J$18:$J$22,MATCH(B105,$L$18:$L$22,1))</f>
        <v/>
      </c>
      <c r="F105" s="16">
        <f>-($K$9/$K$8)*LN(RAND()*RAND()*RAND())</f>
        <v/>
      </c>
      <c r="G105" s="16">
        <f>NORMINV(RAND(),$K$10,$K$11)</f>
        <v/>
      </c>
      <c r="H105" s="16">
        <f>IF(RAND()&lt;$K$12,-$K$13*LN(1-RAND()),-$K$14*LN(1-RAND()))</f>
        <v/>
      </c>
    </row>
    <row r="106">
      <c r="A106" s="13" t="n">
        <v>102</v>
      </c>
      <c r="B106" s="14">
        <f>RAND()</f>
        <v/>
      </c>
      <c r="C106" s="16">
        <f>-$K$4*LN(1-B106)</f>
        <v/>
      </c>
      <c r="D106" s="16">
        <f>IF(B106&lt;$K$15,$K$5+SQRT(B106*($K$7-$K$5)*($K$6-$K$5)),$K$7-SQRT((1-B106)*($K$7-$K$5)*($K$7-$K$6)))</f>
        <v/>
      </c>
      <c r="E106" s="13">
        <f>INDEX($J$18:$J$22,MATCH(B106,$L$18:$L$22,1))</f>
        <v/>
      </c>
      <c r="F106" s="16">
        <f>-($K$9/$K$8)*LN(RAND()*RAND()*RAND())</f>
        <v/>
      </c>
      <c r="G106" s="16">
        <f>NORMINV(RAND(),$K$10,$K$11)</f>
        <v/>
      </c>
      <c r="H106" s="16">
        <f>IF(RAND()&lt;$K$12,-$K$13*LN(1-RAND()),-$K$14*LN(1-RAND()))</f>
        <v/>
      </c>
    </row>
    <row r="107">
      <c r="A107" s="13" t="n">
        <v>103</v>
      </c>
      <c r="B107" s="14">
        <f>RAND()</f>
        <v/>
      </c>
      <c r="C107" s="16">
        <f>-$K$4*LN(1-B107)</f>
        <v/>
      </c>
      <c r="D107" s="16">
        <f>IF(B107&lt;$K$15,$K$5+SQRT(B107*($K$7-$K$5)*($K$6-$K$5)),$K$7-SQRT((1-B107)*($K$7-$K$5)*($K$7-$K$6)))</f>
        <v/>
      </c>
      <c r="E107" s="13">
        <f>INDEX($J$18:$J$22,MATCH(B107,$L$18:$L$22,1))</f>
        <v/>
      </c>
      <c r="F107" s="16">
        <f>-($K$9/$K$8)*LN(RAND()*RAND()*RAND())</f>
        <v/>
      </c>
      <c r="G107" s="16">
        <f>NORMINV(RAND(),$K$10,$K$11)</f>
        <v/>
      </c>
      <c r="H107" s="16">
        <f>IF(RAND()&lt;$K$12,-$K$13*LN(1-RAND()),-$K$14*LN(1-RAND()))</f>
        <v/>
      </c>
    </row>
    <row r="108">
      <c r="A108" s="13" t="n">
        <v>104</v>
      </c>
      <c r="B108" s="14">
        <f>RAND()</f>
        <v/>
      </c>
      <c r="C108" s="16">
        <f>-$K$4*LN(1-B108)</f>
        <v/>
      </c>
      <c r="D108" s="16">
        <f>IF(B108&lt;$K$15,$K$5+SQRT(B108*($K$7-$K$5)*($K$6-$K$5)),$K$7-SQRT((1-B108)*($K$7-$K$5)*($K$7-$K$6)))</f>
        <v/>
      </c>
      <c r="E108" s="13">
        <f>INDEX($J$18:$J$22,MATCH(B108,$L$18:$L$22,1))</f>
        <v/>
      </c>
      <c r="F108" s="16">
        <f>-($K$9/$K$8)*LN(RAND()*RAND()*RAND())</f>
        <v/>
      </c>
      <c r="G108" s="16">
        <f>NORMINV(RAND(),$K$10,$K$11)</f>
        <v/>
      </c>
      <c r="H108" s="16">
        <f>IF(RAND()&lt;$K$12,-$K$13*LN(1-RAND()),-$K$14*LN(1-RAND()))</f>
        <v/>
      </c>
    </row>
    <row r="109">
      <c r="A109" s="13" t="n">
        <v>105</v>
      </c>
      <c r="B109" s="14">
        <f>RAND()</f>
        <v/>
      </c>
      <c r="C109" s="16">
        <f>-$K$4*LN(1-B109)</f>
        <v/>
      </c>
      <c r="D109" s="16">
        <f>IF(B109&lt;$K$15,$K$5+SQRT(B109*($K$7-$K$5)*($K$6-$K$5)),$K$7-SQRT((1-B109)*($K$7-$K$5)*($K$7-$K$6)))</f>
        <v/>
      </c>
      <c r="E109" s="13">
        <f>INDEX($J$18:$J$22,MATCH(B109,$L$18:$L$22,1))</f>
        <v/>
      </c>
      <c r="F109" s="16">
        <f>-($K$9/$K$8)*LN(RAND()*RAND()*RAND())</f>
        <v/>
      </c>
      <c r="G109" s="16">
        <f>NORMINV(RAND(),$K$10,$K$11)</f>
        <v/>
      </c>
      <c r="H109" s="16">
        <f>IF(RAND()&lt;$K$12,-$K$13*LN(1-RAND()),-$K$14*LN(1-RAND()))</f>
        <v/>
      </c>
    </row>
    <row r="110">
      <c r="A110" s="13" t="n">
        <v>106</v>
      </c>
      <c r="B110" s="14">
        <f>RAND()</f>
        <v/>
      </c>
      <c r="C110" s="16">
        <f>-$K$4*LN(1-B110)</f>
        <v/>
      </c>
      <c r="D110" s="16">
        <f>IF(B110&lt;$K$15,$K$5+SQRT(B110*($K$7-$K$5)*($K$6-$K$5)),$K$7-SQRT((1-B110)*($K$7-$K$5)*($K$7-$K$6)))</f>
        <v/>
      </c>
      <c r="E110" s="13">
        <f>INDEX($J$18:$J$22,MATCH(B110,$L$18:$L$22,1))</f>
        <v/>
      </c>
      <c r="F110" s="16">
        <f>-($K$9/$K$8)*LN(RAND()*RAND()*RAND())</f>
        <v/>
      </c>
      <c r="G110" s="16">
        <f>NORMINV(RAND(),$K$10,$K$11)</f>
        <v/>
      </c>
      <c r="H110" s="16">
        <f>IF(RAND()&lt;$K$12,-$K$13*LN(1-RAND()),-$K$14*LN(1-RAND()))</f>
        <v/>
      </c>
    </row>
    <row r="111">
      <c r="A111" s="13" t="n">
        <v>107</v>
      </c>
      <c r="B111" s="14">
        <f>RAND()</f>
        <v/>
      </c>
      <c r="C111" s="16">
        <f>-$K$4*LN(1-B111)</f>
        <v/>
      </c>
      <c r="D111" s="16">
        <f>IF(B111&lt;$K$15,$K$5+SQRT(B111*($K$7-$K$5)*($K$6-$K$5)),$K$7-SQRT((1-B111)*($K$7-$K$5)*($K$7-$K$6)))</f>
        <v/>
      </c>
      <c r="E111" s="13">
        <f>INDEX($J$18:$J$22,MATCH(B111,$L$18:$L$22,1))</f>
        <v/>
      </c>
      <c r="F111" s="16">
        <f>-($K$9/$K$8)*LN(RAND()*RAND()*RAND())</f>
        <v/>
      </c>
      <c r="G111" s="16">
        <f>NORMINV(RAND(),$K$10,$K$11)</f>
        <v/>
      </c>
      <c r="H111" s="16">
        <f>IF(RAND()&lt;$K$12,-$K$13*LN(1-RAND()),-$K$14*LN(1-RAND()))</f>
        <v/>
      </c>
    </row>
    <row r="112">
      <c r="A112" s="13" t="n">
        <v>108</v>
      </c>
      <c r="B112" s="14">
        <f>RAND()</f>
        <v/>
      </c>
      <c r="C112" s="16">
        <f>-$K$4*LN(1-B112)</f>
        <v/>
      </c>
      <c r="D112" s="16">
        <f>IF(B112&lt;$K$15,$K$5+SQRT(B112*($K$7-$K$5)*($K$6-$K$5)),$K$7-SQRT((1-B112)*($K$7-$K$5)*($K$7-$K$6)))</f>
        <v/>
      </c>
      <c r="E112" s="13">
        <f>INDEX($J$18:$J$22,MATCH(B112,$L$18:$L$22,1))</f>
        <v/>
      </c>
      <c r="F112" s="16">
        <f>-($K$9/$K$8)*LN(RAND()*RAND()*RAND())</f>
        <v/>
      </c>
      <c r="G112" s="16">
        <f>NORMINV(RAND(),$K$10,$K$11)</f>
        <v/>
      </c>
      <c r="H112" s="16">
        <f>IF(RAND()&lt;$K$12,-$K$13*LN(1-RAND()),-$K$14*LN(1-RAND()))</f>
        <v/>
      </c>
    </row>
    <row r="113">
      <c r="A113" s="13" t="n">
        <v>109</v>
      </c>
      <c r="B113" s="14">
        <f>RAND()</f>
        <v/>
      </c>
      <c r="C113" s="16">
        <f>-$K$4*LN(1-B113)</f>
        <v/>
      </c>
      <c r="D113" s="16">
        <f>IF(B113&lt;$K$15,$K$5+SQRT(B113*($K$7-$K$5)*($K$6-$K$5)),$K$7-SQRT((1-B113)*($K$7-$K$5)*($K$7-$K$6)))</f>
        <v/>
      </c>
      <c r="E113" s="13">
        <f>INDEX($J$18:$J$22,MATCH(B113,$L$18:$L$22,1))</f>
        <v/>
      </c>
      <c r="F113" s="16">
        <f>-($K$9/$K$8)*LN(RAND()*RAND()*RAND())</f>
        <v/>
      </c>
      <c r="G113" s="16">
        <f>NORMINV(RAND(),$K$10,$K$11)</f>
        <v/>
      </c>
      <c r="H113" s="16">
        <f>IF(RAND()&lt;$K$12,-$K$13*LN(1-RAND()),-$K$14*LN(1-RAND()))</f>
        <v/>
      </c>
    </row>
    <row r="114">
      <c r="A114" s="13" t="n">
        <v>110</v>
      </c>
      <c r="B114" s="14">
        <f>RAND()</f>
        <v/>
      </c>
      <c r="C114" s="16">
        <f>-$K$4*LN(1-B114)</f>
        <v/>
      </c>
      <c r="D114" s="16">
        <f>IF(B114&lt;$K$15,$K$5+SQRT(B114*($K$7-$K$5)*($K$6-$K$5)),$K$7-SQRT((1-B114)*($K$7-$K$5)*($K$7-$K$6)))</f>
        <v/>
      </c>
      <c r="E114" s="13">
        <f>INDEX($J$18:$J$22,MATCH(B114,$L$18:$L$22,1))</f>
        <v/>
      </c>
      <c r="F114" s="16">
        <f>-($K$9/$K$8)*LN(RAND()*RAND()*RAND())</f>
        <v/>
      </c>
      <c r="G114" s="16">
        <f>NORMINV(RAND(),$K$10,$K$11)</f>
        <v/>
      </c>
      <c r="H114" s="16">
        <f>IF(RAND()&lt;$K$12,-$K$13*LN(1-RAND()),-$K$14*LN(1-RAND()))</f>
        <v/>
      </c>
    </row>
    <row r="115">
      <c r="A115" s="13" t="n">
        <v>111</v>
      </c>
      <c r="B115" s="14">
        <f>RAND()</f>
        <v/>
      </c>
      <c r="C115" s="16">
        <f>-$K$4*LN(1-B115)</f>
        <v/>
      </c>
      <c r="D115" s="16">
        <f>IF(B115&lt;$K$15,$K$5+SQRT(B115*($K$7-$K$5)*($K$6-$K$5)),$K$7-SQRT((1-B115)*($K$7-$K$5)*($K$7-$K$6)))</f>
        <v/>
      </c>
      <c r="E115" s="13">
        <f>INDEX($J$18:$J$22,MATCH(B115,$L$18:$L$22,1))</f>
        <v/>
      </c>
      <c r="F115" s="16">
        <f>-($K$9/$K$8)*LN(RAND()*RAND()*RAND())</f>
        <v/>
      </c>
      <c r="G115" s="16">
        <f>NORMINV(RAND(),$K$10,$K$11)</f>
        <v/>
      </c>
      <c r="H115" s="16">
        <f>IF(RAND()&lt;$K$12,-$K$13*LN(1-RAND()),-$K$14*LN(1-RAND()))</f>
        <v/>
      </c>
    </row>
    <row r="116">
      <c r="A116" s="13" t="n">
        <v>112</v>
      </c>
      <c r="B116" s="14">
        <f>RAND()</f>
        <v/>
      </c>
      <c r="C116" s="16">
        <f>-$K$4*LN(1-B116)</f>
        <v/>
      </c>
      <c r="D116" s="16">
        <f>IF(B116&lt;$K$15,$K$5+SQRT(B116*($K$7-$K$5)*($K$6-$K$5)),$K$7-SQRT((1-B116)*($K$7-$K$5)*($K$7-$K$6)))</f>
        <v/>
      </c>
      <c r="E116" s="13">
        <f>INDEX($J$18:$J$22,MATCH(B116,$L$18:$L$22,1))</f>
        <v/>
      </c>
      <c r="F116" s="16">
        <f>-($K$9/$K$8)*LN(RAND()*RAND()*RAND())</f>
        <v/>
      </c>
      <c r="G116" s="16">
        <f>NORMINV(RAND(),$K$10,$K$11)</f>
        <v/>
      </c>
      <c r="H116" s="16">
        <f>IF(RAND()&lt;$K$12,-$K$13*LN(1-RAND()),-$K$14*LN(1-RAND()))</f>
        <v/>
      </c>
    </row>
    <row r="117">
      <c r="A117" s="13" t="n">
        <v>113</v>
      </c>
      <c r="B117" s="14">
        <f>RAND()</f>
        <v/>
      </c>
      <c r="C117" s="16">
        <f>-$K$4*LN(1-B117)</f>
        <v/>
      </c>
      <c r="D117" s="16">
        <f>IF(B117&lt;$K$15,$K$5+SQRT(B117*($K$7-$K$5)*($K$6-$K$5)),$K$7-SQRT((1-B117)*($K$7-$K$5)*($K$7-$K$6)))</f>
        <v/>
      </c>
      <c r="E117" s="13">
        <f>INDEX($J$18:$J$22,MATCH(B117,$L$18:$L$22,1))</f>
        <v/>
      </c>
      <c r="F117" s="16">
        <f>-($K$9/$K$8)*LN(RAND()*RAND()*RAND())</f>
        <v/>
      </c>
      <c r="G117" s="16">
        <f>NORMINV(RAND(),$K$10,$K$11)</f>
        <v/>
      </c>
      <c r="H117" s="16">
        <f>IF(RAND()&lt;$K$12,-$K$13*LN(1-RAND()),-$K$14*LN(1-RAND()))</f>
        <v/>
      </c>
    </row>
    <row r="118">
      <c r="A118" s="13" t="n">
        <v>114</v>
      </c>
      <c r="B118" s="14">
        <f>RAND()</f>
        <v/>
      </c>
      <c r="C118" s="16">
        <f>-$K$4*LN(1-B118)</f>
        <v/>
      </c>
      <c r="D118" s="16">
        <f>IF(B118&lt;$K$15,$K$5+SQRT(B118*($K$7-$K$5)*($K$6-$K$5)),$K$7-SQRT((1-B118)*($K$7-$K$5)*($K$7-$K$6)))</f>
        <v/>
      </c>
      <c r="E118" s="13">
        <f>INDEX($J$18:$J$22,MATCH(B118,$L$18:$L$22,1))</f>
        <v/>
      </c>
      <c r="F118" s="16">
        <f>-($K$9/$K$8)*LN(RAND()*RAND()*RAND())</f>
        <v/>
      </c>
      <c r="G118" s="16">
        <f>NORMINV(RAND(),$K$10,$K$11)</f>
        <v/>
      </c>
      <c r="H118" s="16">
        <f>IF(RAND()&lt;$K$12,-$K$13*LN(1-RAND()),-$K$14*LN(1-RAND()))</f>
        <v/>
      </c>
    </row>
    <row r="119">
      <c r="A119" s="13" t="n">
        <v>115</v>
      </c>
      <c r="B119" s="14">
        <f>RAND()</f>
        <v/>
      </c>
      <c r="C119" s="16">
        <f>-$K$4*LN(1-B119)</f>
        <v/>
      </c>
      <c r="D119" s="16">
        <f>IF(B119&lt;$K$15,$K$5+SQRT(B119*($K$7-$K$5)*($K$6-$K$5)),$K$7-SQRT((1-B119)*($K$7-$K$5)*($K$7-$K$6)))</f>
        <v/>
      </c>
      <c r="E119" s="13">
        <f>INDEX($J$18:$J$22,MATCH(B119,$L$18:$L$22,1))</f>
        <v/>
      </c>
      <c r="F119" s="16">
        <f>-($K$9/$K$8)*LN(RAND()*RAND()*RAND())</f>
        <v/>
      </c>
      <c r="G119" s="16">
        <f>NORMINV(RAND(),$K$10,$K$11)</f>
        <v/>
      </c>
      <c r="H119" s="16">
        <f>IF(RAND()&lt;$K$12,-$K$13*LN(1-RAND()),-$K$14*LN(1-RAND()))</f>
        <v/>
      </c>
    </row>
    <row r="120">
      <c r="A120" s="13" t="n">
        <v>116</v>
      </c>
      <c r="B120" s="14">
        <f>RAND()</f>
        <v/>
      </c>
      <c r="C120" s="16">
        <f>-$K$4*LN(1-B120)</f>
        <v/>
      </c>
      <c r="D120" s="16">
        <f>IF(B120&lt;$K$15,$K$5+SQRT(B120*($K$7-$K$5)*($K$6-$K$5)),$K$7-SQRT((1-B120)*($K$7-$K$5)*($K$7-$K$6)))</f>
        <v/>
      </c>
      <c r="E120" s="13">
        <f>INDEX($J$18:$J$22,MATCH(B120,$L$18:$L$22,1))</f>
        <v/>
      </c>
      <c r="F120" s="16">
        <f>-($K$9/$K$8)*LN(RAND()*RAND()*RAND())</f>
        <v/>
      </c>
      <c r="G120" s="16">
        <f>NORMINV(RAND(),$K$10,$K$11)</f>
        <v/>
      </c>
      <c r="H120" s="16">
        <f>IF(RAND()&lt;$K$12,-$K$13*LN(1-RAND()),-$K$14*LN(1-RAND()))</f>
        <v/>
      </c>
    </row>
    <row r="121">
      <c r="A121" s="13" t="n">
        <v>117</v>
      </c>
      <c r="B121" s="14">
        <f>RAND()</f>
        <v/>
      </c>
      <c r="C121" s="16">
        <f>-$K$4*LN(1-B121)</f>
        <v/>
      </c>
      <c r="D121" s="16">
        <f>IF(B121&lt;$K$15,$K$5+SQRT(B121*($K$7-$K$5)*($K$6-$K$5)),$K$7-SQRT((1-B121)*($K$7-$K$5)*($K$7-$K$6)))</f>
        <v/>
      </c>
      <c r="E121" s="13">
        <f>INDEX($J$18:$J$22,MATCH(B121,$L$18:$L$22,1))</f>
        <v/>
      </c>
      <c r="F121" s="16">
        <f>-($K$9/$K$8)*LN(RAND()*RAND()*RAND())</f>
        <v/>
      </c>
      <c r="G121" s="16">
        <f>NORMINV(RAND(),$K$10,$K$11)</f>
        <v/>
      </c>
      <c r="H121" s="16">
        <f>IF(RAND()&lt;$K$12,-$K$13*LN(1-RAND()),-$K$14*LN(1-RAND()))</f>
        <v/>
      </c>
    </row>
    <row r="122">
      <c r="A122" s="13" t="n">
        <v>118</v>
      </c>
      <c r="B122" s="14">
        <f>RAND()</f>
        <v/>
      </c>
      <c r="C122" s="16">
        <f>-$K$4*LN(1-B122)</f>
        <v/>
      </c>
      <c r="D122" s="16">
        <f>IF(B122&lt;$K$15,$K$5+SQRT(B122*($K$7-$K$5)*($K$6-$K$5)),$K$7-SQRT((1-B122)*($K$7-$K$5)*($K$7-$K$6)))</f>
        <v/>
      </c>
      <c r="E122" s="13">
        <f>INDEX($J$18:$J$22,MATCH(B122,$L$18:$L$22,1))</f>
        <v/>
      </c>
      <c r="F122" s="16">
        <f>-($K$9/$K$8)*LN(RAND()*RAND()*RAND())</f>
        <v/>
      </c>
      <c r="G122" s="16">
        <f>NORMINV(RAND(),$K$10,$K$11)</f>
        <v/>
      </c>
      <c r="H122" s="16">
        <f>IF(RAND()&lt;$K$12,-$K$13*LN(1-RAND()),-$K$14*LN(1-RAND()))</f>
        <v/>
      </c>
    </row>
    <row r="123">
      <c r="A123" s="13" t="n">
        <v>119</v>
      </c>
      <c r="B123" s="14">
        <f>RAND()</f>
        <v/>
      </c>
      <c r="C123" s="16">
        <f>-$K$4*LN(1-B123)</f>
        <v/>
      </c>
      <c r="D123" s="16">
        <f>IF(B123&lt;$K$15,$K$5+SQRT(B123*($K$7-$K$5)*($K$6-$K$5)),$K$7-SQRT((1-B123)*($K$7-$K$5)*($K$7-$K$6)))</f>
        <v/>
      </c>
      <c r="E123" s="13">
        <f>INDEX($J$18:$J$22,MATCH(B123,$L$18:$L$22,1))</f>
        <v/>
      </c>
      <c r="F123" s="16">
        <f>-($K$9/$K$8)*LN(RAND()*RAND()*RAND())</f>
        <v/>
      </c>
      <c r="G123" s="16">
        <f>NORMINV(RAND(),$K$10,$K$11)</f>
        <v/>
      </c>
      <c r="H123" s="16">
        <f>IF(RAND()&lt;$K$12,-$K$13*LN(1-RAND()),-$K$14*LN(1-RAND()))</f>
        <v/>
      </c>
    </row>
    <row r="124">
      <c r="A124" s="13" t="n">
        <v>120</v>
      </c>
      <c r="B124" s="14">
        <f>RAND()</f>
        <v/>
      </c>
      <c r="C124" s="16">
        <f>-$K$4*LN(1-B124)</f>
        <v/>
      </c>
      <c r="D124" s="16">
        <f>IF(B124&lt;$K$15,$K$5+SQRT(B124*($K$7-$K$5)*($K$6-$K$5)),$K$7-SQRT((1-B124)*($K$7-$K$5)*($K$7-$K$6)))</f>
        <v/>
      </c>
      <c r="E124" s="13">
        <f>INDEX($J$18:$J$22,MATCH(B124,$L$18:$L$22,1))</f>
        <v/>
      </c>
      <c r="F124" s="16">
        <f>-($K$9/$K$8)*LN(RAND()*RAND()*RAND())</f>
        <v/>
      </c>
      <c r="G124" s="16">
        <f>NORMINV(RAND(),$K$10,$K$11)</f>
        <v/>
      </c>
      <c r="H124" s="16">
        <f>IF(RAND()&lt;$K$12,-$K$13*LN(1-RAND()),-$K$14*LN(1-RAND()))</f>
        <v/>
      </c>
    </row>
    <row r="125">
      <c r="A125" s="13" t="n">
        <v>121</v>
      </c>
      <c r="B125" s="14">
        <f>RAND()</f>
        <v/>
      </c>
      <c r="C125" s="16">
        <f>-$K$4*LN(1-B125)</f>
        <v/>
      </c>
      <c r="D125" s="16">
        <f>IF(B125&lt;$K$15,$K$5+SQRT(B125*($K$7-$K$5)*($K$6-$K$5)),$K$7-SQRT((1-B125)*($K$7-$K$5)*($K$7-$K$6)))</f>
        <v/>
      </c>
      <c r="E125" s="13">
        <f>INDEX($J$18:$J$22,MATCH(B125,$L$18:$L$22,1))</f>
        <v/>
      </c>
      <c r="F125" s="16">
        <f>-($K$9/$K$8)*LN(RAND()*RAND()*RAND())</f>
        <v/>
      </c>
      <c r="G125" s="16">
        <f>NORMINV(RAND(),$K$10,$K$11)</f>
        <v/>
      </c>
      <c r="H125" s="16">
        <f>IF(RAND()&lt;$K$12,-$K$13*LN(1-RAND()),-$K$14*LN(1-RAND()))</f>
        <v/>
      </c>
    </row>
    <row r="126">
      <c r="A126" s="13" t="n">
        <v>122</v>
      </c>
      <c r="B126" s="14">
        <f>RAND()</f>
        <v/>
      </c>
      <c r="C126" s="16">
        <f>-$K$4*LN(1-B126)</f>
        <v/>
      </c>
      <c r="D126" s="16">
        <f>IF(B126&lt;$K$15,$K$5+SQRT(B126*($K$7-$K$5)*($K$6-$K$5)),$K$7-SQRT((1-B126)*($K$7-$K$5)*($K$7-$K$6)))</f>
        <v/>
      </c>
      <c r="E126" s="13">
        <f>INDEX($J$18:$J$22,MATCH(B126,$L$18:$L$22,1))</f>
        <v/>
      </c>
      <c r="F126" s="16">
        <f>-($K$9/$K$8)*LN(RAND()*RAND()*RAND())</f>
        <v/>
      </c>
      <c r="G126" s="16">
        <f>NORMINV(RAND(),$K$10,$K$11)</f>
        <v/>
      </c>
      <c r="H126" s="16">
        <f>IF(RAND()&lt;$K$12,-$K$13*LN(1-RAND()),-$K$14*LN(1-RAND()))</f>
        <v/>
      </c>
    </row>
    <row r="127">
      <c r="A127" s="13" t="n">
        <v>123</v>
      </c>
      <c r="B127" s="14">
        <f>RAND()</f>
        <v/>
      </c>
      <c r="C127" s="16">
        <f>-$K$4*LN(1-B127)</f>
        <v/>
      </c>
      <c r="D127" s="16">
        <f>IF(B127&lt;$K$15,$K$5+SQRT(B127*($K$7-$K$5)*($K$6-$K$5)),$K$7-SQRT((1-B127)*($K$7-$K$5)*($K$7-$K$6)))</f>
        <v/>
      </c>
      <c r="E127" s="13">
        <f>INDEX($J$18:$J$22,MATCH(B127,$L$18:$L$22,1))</f>
        <v/>
      </c>
      <c r="F127" s="16">
        <f>-($K$9/$K$8)*LN(RAND()*RAND()*RAND())</f>
        <v/>
      </c>
      <c r="G127" s="16">
        <f>NORMINV(RAND(),$K$10,$K$11)</f>
        <v/>
      </c>
      <c r="H127" s="16">
        <f>IF(RAND()&lt;$K$12,-$K$13*LN(1-RAND()),-$K$14*LN(1-RAND()))</f>
        <v/>
      </c>
    </row>
    <row r="128">
      <c r="A128" s="13" t="n">
        <v>124</v>
      </c>
      <c r="B128" s="14">
        <f>RAND()</f>
        <v/>
      </c>
      <c r="C128" s="16">
        <f>-$K$4*LN(1-B128)</f>
        <v/>
      </c>
      <c r="D128" s="16">
        <f>IF(B128&lt;$K$15,$K$5+SQRT(B128*($K$7-$K$5)*($K$6-$K$5)),$K$7-SQRT((1-B128)*($K$7-$K$5)*($K$7-$K$6)))</f>
        <v/>
      </c>
      <c r="E128" s="13">
        <f>INDEX($J$18:$J$22,MATCH(B128,$L$18:$L$22,1))</f>
        <v/>
      </c>
      <c r="F128" s="16">
        <f>-($K$9/$K$8)*LN(RAND()*RAND()*RAND())</f>
        <v/>
      </c>
      <c r="G128" s="16">
        <f>NORMINV(RAND(),$K$10,$K$11)</f>
        <v/>
      </c>
      <c r="H128" s="16">
        <f>IF(RAND()&lt;$K$12,-$K$13*LN(1-RAND()),-$K$14*LN(1-RAND()))</f>
        <v/>
      </c>
    </row>
    <row r="129">
      <c r="A129" s="13" t="n">
        <v>125</v>
      </c>
      <c r="B129" s="14">
        <f>RAND()</f>
        <v/>
      </c>
      <c r="C129" s="16">
        <f>-$K$4*LN(1-B129)</f>
        <v/>
      </c>
      <c r="D129" s="16">
        <f>IF(B129&lt;$K$15,$K$5+SQRT(B129*($K$7-$K$5)*($K$6-$K$5)),$K$7-SQRT((1-B129)*($K$7-$K$5)*($K$7-$K$6)))</f>
        <v/>
      </c>
      <c r="E129" s="13">
        <f>INDEX($J$18:$J$22,MATCH(B129,$L$18:$L$22,1))</f>
        <v/>
      </c>
      <c r="F129" s="16">
        <f>-($K$9/$K$8)*LN(RAND()*RAND()*RAND())</f>
        <v/>
      </c>
      <c r="G129" s="16">
        <f>NORMINV(RAND(),$K$10,$K$11)</f>
        <v/>
      </c>
      <c r="H129" s="16">
        <f>IF(RAND()&lt;$K$12,-$K$13*LN(1-RAND()),-$K$14*LN(1-RAND()))</f>
        <v/>
      </c>
    </row>
    <row r="130">
      <c r="A130" s="13" t="n">
        <v>126</v>
      </c>
      <c r="B130" s="14">
        <f>RAND()</f>
        <v/>
      </c>
      <c r="C130" s="16">
        <f>-$K$4*LN(1-B130)</f>
        <v/>
      </c>
      <c r="D130" s="16">
        <f>IF(B130&lt;$K$15,$K$5+SQRT(B130*($K$7-$K$5)*($K$6-$K$5)),$K$7-SQRT((1-B130)*($K$7-$K$5)*($K$7-$K$6)))</f>
        <v/>
      </c>
      <c r="E130" s="13">
        <f>INDEX($J$18:$J$22,MATCH(B130,$L$18:$L$22,1))</f>
        <v/>
      </c>
      <c r="F130" s="16">
        <f>-($K$9/$K$8)*LN(RAND()*RAND()*RAND())</f>
        <v/>
      </c>
      <c r="G130" s="16">
        <f>NORMINV(RAND(),$K$10,$K$11)</f>
        <v/>
      </c>
      <c r="H130" s="16">
        <f>IF(RAND()&lt;$K$12,-$K$13*LN(1-RAND()),-$K$14*LN(1-RAND()))</f>
        <v/>
      </c>
    </row>
    <row r="131">
      <c r="A131" s="13" t="n">
        <v>127</v>
      </c>
      <c r="B131" s="14">
        <f>RAND()</f>
        <v/>
      </c>
      <c r="C131" s="16">
        <f>-$K$4*LN(1-B131)</f>
        <v/>
      </c>
      <c r="D131" s="16">
        <f>IF(B131&lt;$K$15,$K$5+SQRT(B131*($K$7-$K$5)*($K$6-$K$5)),$K$7-SQRT((1-B131)*($K$7-$K$5)*($K$7-$K$6)))</f>
        <v/>
      </c>
      <c r="E131" s="13">
        <f>INDEX($J$18:$J$22,MATCH(B131,$L$18:$L$22,1))</f>
        <v/>
      </c>
      <c r="F131" s="16">
        <f>-($K$9/$K$8)*LN(RAND()*RAND()*RAND())</f>
        <v/>
      </c>
      <c r="G131" s="16">
        <f>NORMINV(RAND(),$K$10,$K$11)</f>
        <v/>
      </c>
      <c r="H131" s="16">
        <f>IF(RAND()&lt;$K$12,-$K$13*LN(1-RAND()),-$K$14*LN(1-RAND()))</f>
        <v/>
      </c>
    </row>
    <row r="132">
      <c r="A132" s="13" t="n">
        <v>128</v>
      </c>
      <c r="B132" s="14">
        <f>RAND()</f>
        <v/>
      </c>
      <c r="C132" s="16">
        <f>-$K$4*LN(1-B132)</f>
        <v/>
      </c>
      <c r="D132" s="16">
        <f>IF(B132&lt;$K$15,$K$5+SQRT(B132*($K$7-$K$5)*($K$6-$K$5)),$K$7-SQRT((1-B132)*($K$7-$K$5)*($K$7-$K$6)))</f>
        <v/>
      </c>
      <c r="E132" s="13">
        <f>INDEX($J$18:$J$22,MATCH(B132,$L$18:$L$22,1))</f>
        <v/>
      </c>
      <c r="F132" s="16">
        <f>-($K$9/$K$8)*LN(RAND()*RAND()*RAND())</f>
        <v/>
      </c>
      <c r="G132" s="16">
        <f>NORMINV(RAND(),$K$10,$K$11)</f>
        <v/>
      </c>
      <c r="H132" s="16">
        <f>IF(RAND()&lt;$K$12,-$K$13*LN(1-RAND()),-$K$14*LN(1-RAND()))</f>
        <v/>
      </c>
    </row>
    <row r="133">
      <c r="A133" s="13" t="n">
        <v>129</v>
      </c>
      <c r="B133" s="14">
        <f>RAND()</f>
        <v/>
      </c>
      <c r="C133" s="16">
        <f>-$K$4*LN(1-B133)</f>
        <v/>
      </c>
      <c r="D133" s="16">
        <f>IF(B133&lt;$K$15,$K$5+SQRT(B133*($K$7-$K$5)*($K$6-$K$5)),$K$7-SQRT((1-B133)*($K$7-$K$5)*($K$7-$K$6)))</f>
        <v/>
      </c>
      <c r="E133" s="13">
        <f>INDEX($J$18:$J$22,MATCH(B133,$L$18:$L$22,1))</f>
        <v/>
      </c>
      <c r="F133" s="16">
        <f>-($K$9/$K$8)*LN(RAND()*RAND()*RAND())</f>
        <v/>
      </c>
      <c r="G133" s="16">
        <f>NORMINV(RAND(),$K$10,$K$11)</f>
        <v/>
      </c>
      <c r="H133" s="16">
        <f>IF(RAND()&lt;$K$12,-$K$13*LN(1-RAND()),-$K$14*LN(1-RAND()))</f>
        <v/>
      </c>
    </row>
    <row r="134">
      <c r="A134" s="13" t="n">
        <v>130</v>
      </c>
      <c r="B134" s="14">
        <f>RAND()</f>
        <v/>
      </c>
      <c r="C134" s="16">
        <f>-$K$4*LN(1-B134)</f>
        <v/>
      </c>
      <c r="D134" s="16">
        <f>IF(B134&lt;$K$15,$K$5+SQRT(B134*($K$7-$K$5)*($K$6-$K$5)),$K$7-SQRT((1-B134)*($K$7-$K$5)*($K$7-$K$6)))</f>
        <v/>
      </c>
      <c r="E134" s="13">
        <f>INDEX($J$18:$J$22,MATCH(B134,$L$18:$L$22,1))</f>
        <v/>
      </c>
      <c r="F134" s="16">
        <f>-($K$9/$K$8)*LN(RAND()*RAND()*RAND())</f>
        <v/>
      </c>
      <c r="G134" s="16">
        <f>NORMINV(RAND(),$K$10,$K$11)</f>
        <v/>
      </c>
      <c r="H134" s="16">
        <f>IF(RAND()&lt;$K$12,-$K$13*LN(1-RAND()),-$K$14*LN(1-RAND()))</f>
        <v/>
      </c>
    </row>
    <row r="135">
      <c r="A135" s="13" t="n">
        <v>131</v>
      </c>
      <c r="B135" s="14">
        <f>RAND()</f>
        <v/>
      </c>
      <c r="C135" s="16">
        <f>-$K$4*LN(1-B135)</f>
        <v/>
      </c>
      <c r="D135" s="16">
        <f>IF(B135&lt;$K$15,$K$5+SQRT(B135*($K$7-$K$5)*($K$6-$K$5)),$K$7-SQRT((1-B135)*($K$7-$K$5)*($K$7-$K$6)))</f>
        <v/>
      </c>
      <c r="E135" s="13">
        <f>INDEX($J$18:$J$22,MATCH(B135,$L$18:$L$22,1))</f>
        <v/>
      </c>
      <c r="F135" s="16">
        <f>-($K$9/$K$8)*LN(RAND()*RAND()*RAND())</f>
        <v/>
      </c>
      <c r="G135" s="16">
        <f>NORMINV(RAND(),$K$10,$K$11)</f>
        <v/>
      </c>
      <c r="H135" s="16">
        <f>IF(RAND()&lt;$K$12,-$K$13*LN(1-RAND()),-$K$14*LN(1-RAND()))</f>
        <v/>
      </c>
    </row>
    <row r="136">
      <c r="A136" s="13" t="n">
        <v>132</v>
      </c>
      <c r="B136" s="14">
        <f>RAND()</f>
        <v/>
      </c>
      <c r="C136" s="16">
        <f>-$K$4*LN(1-B136)</f>
        <v/>
      </c>
      <c r="D136" s="16">
        <f>IF(B136&lt;$K$15,$K$5+SQRT(B136*($K$7-$K$5)*($K$6-$K$5)),$K$7-SQRT((1-B136)*($K$7-$K$5)*($K$7-$K$6)))</f>
        <v/>
      </c>
      <c r="E136" s="13">
        <f>INDEX($J$18:$J$22,MATCH(B136,$L$18:$L$22,1))</f>
        <v/>
      </c>
      <c r="F136" s="16">
        <f>-($K$9/$K$8)*LN(RAND()*RAND()*RAND())</f>
        <v/>
      </c>
      <c r="G136" s="16">
        <f>NORMINV(RAND(),$K$10,$K$11)</f>
        <v/>
      </c>
      <c r="H136" s="16">
        <f>IF(RAND()&lt;$K$12,-$K$13*LN(1-RAND()),-$K$14*LN(1-RAND()))</f>
        <v/>
      </c>
    </row>
    <row r="137">
      <c r="A137" s="13" t="n">
        <v>133</v>
      </c>
      <c r="B137" s="14">
        <f>RAND()</f>
        <v/>
      </c>
      <c r="C137" s="16">
        <f>-$K$4*LN(1-B137)</f>
        <v/>
      </c>
      <c r="D137" s="16">
        <f>IF(B137&lt;$K$15,$K$5+SQRT(B137*($K$7-$K$5)*($K$6-$K$5)),$K$7-SQRT((1-B137)*($K$7-$K$5)*($K$7-$K$6)))</f>
        <v/>
      </c>
      <c r="E137" s="13">
        <f>INDEX($J$18:$J$22,MATCH(B137,$L$18:$L$22,1))</f>
        <v/>
      </c>
      <c r="F137" s="16">
        <f>-($K$9/$K$8)*LN(RAND()*RAND()*RAND())</f>
        <v/>
      </c>
      <c r="G137" s="16">
        <f>NORMINV(RAND(),$K$10,$K$11)</f>
        <v/>
      </c>
      <c r="H137" s="16">
        <f>IF(RAND()&lt;$K$12,-$K$13*LN(1-RAND()),-$K$14*LN(1-RAND()))</f>
        <v/>
      </c>
    </row>
    <row r="138">
      <c r="A138" s="13" t="n">
        <v>134</v>
      </c>
      <c r="B138" s="14">
        <f>RAND()</f>
        <v/>
      </c>
      <c r="C138" s="16">
        <f>-$K$4*LN(1-B138)</f>
        <v/>
      </c>
      <c r="D138" s="16">
        <f>IF(B138&lt;$K$15,$K$5+SQRT(B138*($K$7-$K$5)*($K$6-$K$5)),$K$7-SQRT((1-B138)*($K$7-$K$5)*($K$7-$K$6)))</f>
        <v/>
      </c>
      <c r="E138" s="13">
        <f>INDEX($J$18:$J$22,MATCH(B138,$L$18:$L$22,1))</f>
        <v/>
      </c>
      <c r="F138" s="16">
        <f>-($K$9/$K$8)*LN(RAND()*RAND()*RAND())</f>
        <v/>
      </c>
      <c r="G138" s="16">
        <f>NORMINV(RAND(),$K$10,$K$11)</f>
        <v/>
      </c>
      <c r="H138" s="16">
        <f>IF(RAND()&lt;$K$12,-$K$13*LN(1-RAND()),-$K$14*LN(1-RAND()))</f>
        <v/>
      </c>
    </row>
    <row r="139">
      <c r="A139" s="13" t="n">
        <v>135</v>
      </c>
      <c r="B139" s="14">
        <f>RAND()</f>
        <v/>
      </c>
      <c r="C139" s="16">
        <f>-$K$4*LN(1-B139)</f>
        <v/>
      </c>
      <c r="D139" s="16">
        <f>IF(B139&lt;$K$15,$K$5+SQRT(B139*($K$7-$K$5)*($K$6-$K$5)),$K$7-SQRT((1-B139)*($K$7-$K$5)*($K$7-$K$6)))</f>
        <v/>
      </c>
      <c r="E139" s="13">
        <f>INDEX($J$18:$J$22,MATCH(B139,$L$18:$L$22,1))</f>
        <v/>
      </c>
      <c r="F139" s="16">
        <f>-($K$9/$K$8)*LN(RAND()*RAND()*RAND())</f>
        <v/>
      </c>
      <c r="G139" s="16">
        <f>NORMINV(RAND(),$K$10,$K$11)</f>
        <v/>
      </c>
      <c r="H139" s="16">
        <f>IF(RAND()&lt;$K$12,-$K$13*LN(1-RAND()),-$K$14*LN(1-RAND()))</f>
        <v/>
      </c>
    </row>
    <row r="140">
      <c r="A140" s="13" t="n">
        <v>136</v>
      </c>
      <c r="B140" s="14">
        <f>RAND()</f>
        <v/>
      </c>
      <c r="C140" s="16">
        <f>-$K$4*LN(1-B140)</f>
        <v/>
      </c>
      <c r="D140" s="16">
        <f>IF(B140&lt;$K$15,$K$5+SQRT(B140*($K$7-$K$5)*($K$6-$K$5)),$K$7-SQRT((1-B140)*($K$7-$K$5)*($K$7-$K$6)))</f>
        <v/>
      </c>
      <c r="E140" s="13">
        <f>INDEX($J$18:$J$22,MATCH(B140,$L$18:$L$22,1))</f>
        <v/>
      </c>
      <c r="F140" s="16">
        <f>-($K$9/$K$8)*LN(RAND()*RAND()*RAND())</f>
        <v/>
      </c>
      <c r="G140" s="16">
        <f>NORMINV(RAND(),$K$10,$K$11)</f>
        <v/>
      </c>
      <c r="H140" s="16">
        <f>IF(RAND()&lt;$K$12,-$K$13*LN(1-RAND()),-$K$14*LN(1-RAND()))</f>
        <v/>
      </c>
    </row>
    <row r="141">
      <c r="A141" s="13" t="n">
        <v>137</v>
      </c>
      <c r="B141" s="14">
        <f>RAND()</f>
        <v/>
      </c>
      <c r="C141" s="16">
        <f>-$K$4*LN(1-B141)</f>
        <v/>
      </c>
      <c r="D141" s="16">
        <f>IF(B141&lt;$K$15,$K$5+SQRT(B141*($K$7-$K$5)*($K$6-$K$5)),$K$7-SQRT((1-B141)*($K$7-$K$5)*($K$7-$K$6)))</f>
        <v/>
      </c>
      <c r="E141" s="13">
        <f>INDEX($J$18:$J$22,MATCH(B141,$L$18:$L$22,1))</f>
        <v/>
      </c>
      <c r="F141" s="16">
        <f>-($K$9/$K$8)*LN(RAND()*RAND()*RAND())</f>
        <v/>
      </c>
      <c r="G141" s="16">
        <f>NORMINV(RAND(),$K$10,$K$11)</f>
        <v/>
      </c>
      <c r="H141" s="16">
        <f>IF(RAND()&lt;$K$12,-$K$13*LN(1-RAND()),-$K$14*LN(1-RAND()))</f>
        <v/>
      </c>
    </row>
    <row r="142">
      <c r="A142" s="13" t="n">
        <v>138</v>
      </c>
      <c r="B142" s="14">
        <f>RAND()</f>
        <v/>
      </c>
      <c r="C142" s="16">
        <f>-$K$4*LN(1-B142)</f>
        <v/>
      </c>
      <c r="D142" s="16">
        <f>IF(B142&lt;$K$15,$K$5+SQRT(B142*($K$7-$K$5)*($K$6-$K$5)),$K$7-SQRT((1-B142)*($K$7-$K$5)*($K$7-$K$6)))</f>
        <v/>
      </c>
      <c r="E142" s="13">
        <f>INDEX($J$18:$J$22,MATCH(B142,$L$18:$L$22,1))</f>
        <v/>
      </c>
      <c r="F142" s="16">
        <f>-($K$9/$K$8)*LN(RAND()*RAND()*RAND())</f>
        <v/>
      </c>
      <c r="G142" s="16">
        <f>NORMINV(RAND(),$K$10,$K$11)</f>
        <v/>
      </c>
      <c r="H142" s="16">
        <f>IF(RAND()&lt;$K$12,-$K$13*LN(1-RAND()),-$K$14*LN(1-RAND()))</f>
        <v/>
      </c>
    </row>
    <row r="143">
      <c r="A143" s="13" t="n">
        <v>139</v>
      </c>
      <c r="B143" s="14">
        <f>RAND()</f>
        <v/>
      </c>
      <c r="C143" s="16">
        <f>-$K$4*LN(1-B143)</f>
        <v/>
      </c>
      <c r="D143" s="16">
        <f>IF(B143&lt;$K$15,$K$5+SQRT(B143*($K$7-$K$5)*($K$6-$K$5)),$K$7-SQRT((1-B143)*($K$7-$K$5)*($K$7-$K$6)))</f>
        <v/>
      </c>
      <c r="E143" s="13">
        <f>INDEX($J$18:$J$22,MATCH(B143,$L$18:$L$22,1))</f>
        <v/>
      </c>
      <c r="F143" s="16">
        <f>-($K$9/$K$8)*LN(RAND()*RAND()*RAND())</f>
        <v/>
      </c>
      <c r="G143" s="16">
        <f>NORMINV(RAND(),$K$10,$K$11)</f>
        <v/>
      </c>
      <c r="H143" s="16">
        <f>IF(RAND()&lt;$K$12,-$K$13*LN(1-RAND()),-$K$14*LN(1-RAND()))</f>
        <v/>
      </c>
    </row>
    <row r="144">
      <c r="A144" s="13" t="n">
        <v>140</v>
      </c>
      <c r="B144" s="14">
        <f>RAND()</f>
        <v/>
      </c>
      <c r="C144" s="16">
        <f>-$K$4*LN(1-B144)</f>
        <v/>
      </c>
      <c r="D144" s="16">
        <f>IF(B144&lt;$K$15,$K$5+SQRT(B144*($K$7-$K$5)*($K$6-$K$5)),$K$7-SQRT((1-B144)*($K$7-$K$5)*($K$7-$K$6)))</f>
        <v/>
      </c>
      <c r="E144" s="13">
        <f>INDEX($J$18:$J$22,MATCH(B144,$L$18:$L$22,1))</f>
        <v/>
      </c>
      <c r="F144" s="16">
        <f>-($K$9/$K$8)*LN(RAND()*RAND()*RAND())</f>
        <v/>
      </c>
      <c r="G144" s="16">
        <f>NORMINV(RAND(),$K$10,$K$11)</f>
        <v/>
      </c>
      <c r="H144" s="16">
        <f>IF(RAND()&lt;$K$12,-$K$13*LN(1-RAND()),-$K$14*LN(1-RAND()))</f>
        <v/>
      </c>
    </row>
    <row r="145">
      <c r="A145" s="13" t="n">
        <v>141</v>
      </c>
      <c r="B145" s="14">
        <f>RAND()</f>
        <v/>
      </c>
      <c r="C145" s="16">
        <f>-$K$4*LN(1-B145)</f>
        <v/>
      </c>
      <c r="D145" s="16">
        <f>IF(B145&lt;$K$15,$K$5+SQRT(B145*($K$7-$K$5)*($K$6-$K$5)),$K$7-SQRT((1-B145)*($K$7-$K$5)*($K$7-$K$6)))</f>
        <v/>
      </c>
      <c r="E145" s="13">
        <f>INDEX($J$18:$J$22,MATCH(B145,$L$18:$L$22,1))</f>
        <v/>
      </c>
      <c r="F145" s="16">
        <f>-($K$9/$K$8)*LN(RAND()*RAND()*RAND())</f>
        <v/>
      </c>
      <c r="G145" s="16">
        <f>NORMINV(RAND(),$K$10,$K$11)</f>
        <v/>
      </c>
      <c r="H145" s="16">
        <f>IF(RAND()&lt;$K$12,-$K$13*LN(1-RAND()),-$K$14*LN(1-RAND()))</f>
        <v/>
      </c>
    </row>
    <row r="146">
      <c r="A146" s="13" t="n">
        <v>142</v>
      </c>
      <c r="B146" s="14">
        <f>RAND()</f>
        <v/>
      </c>
      <c r="C146" s="16">
        <f>-$K$4*LN(1-B146)</f>
        <v/>
      </c>
      <c r="D146" s="16">
        <f>IF(B146&lt;$K$15,$K$5+SQRT(B146*($K$7-$K$5)*($K$6-$K$5)),$K$7-SQRT((1-B146)*($K$7-$K$5)*($K$7-$K$6)))</f>
        <v/>
      </c>
      <c r="E146" s="13">
        <f>INDEX($J$18:$J$22,MATCH(B146,$L$18:$L$22,1))</f>
        <v/>
      </c>
      <c r="F146" s="16">
        <f>-($K$9/$K$8)*LN(RAND()*RAND()*RAND())</f>
        <v/>
      </c>
      <c r="G146" s="16">
        <f>NORMINV(RAND(),$K$10,$K$11)</f>
        <v/>
      </c>
      <c r="H146" s="16">
        <f>IF(RAND()&lt;$K$12,-$K$13*LN(1-RAND()),-$K$14*LN(1-RAND()))</f>
        <v/>
      </c>
    </row>
    <row r="147">
      <c r="A147" s="13" t="n">
        <v>143</v>
      </c>
      <c r="B147" s="14">
        <f>RAND()</f>
        <v/>
      </c>
      <c r="C147" s="16">
        <f>-$K$4*LN(1-B147)</f>
        <v/>
      </c>
      <c r="D147" s="16">
        <f>IF(B147&lt;$K$15,$K$5+SQRT(B147*($K$7-$K$5)*($K$6-$K$5)),$K$7-SQRT((1-B147)*($K$7-$K$5)*($K$7-$K$6)))</f>
        <v/>
      </c>
      <c r="E147" s="13">
        <f>INDEX($J$18:$J$22,MATCH(B147,$L$18:$L$22,1))</f>
        <v/>
      </c>
      <c r="F147" s="16">
        <f>-($K$9/$K$8)*LN(RAND()*RAND()*RAND())</f>
        <v/>
      </c>
      <c r="G147" s="16">
        <f>NORMINV(RAND(),$K$10,$K$11)</f>
        <v/>
      </c>
      <c r="H147" s="16">
        <f>IF(RAND()&lt;$K$12,-$K$13*LN(1-RAND()),-$K$14*LN(1-RAND()))</f>
        <v/>
      </c>
    </row>
    <row r="148">
      <c r="A148" s="13" t="n">
        <v>144</v>
      </c>
      <c r="B148" s="14">
        <f>RAND()</f>
        <v/>
      </c>
      <c r="C148" s="16">
        <f>-$K$4*LN(1-B148)</f>
        <v/>
      </c>
      <c r="D148" s="16">
        <f>IF(B148&lt;$K$15,$K$5+SQRT(B148*($K$7-$K$5)*($K$6-$K$5)),$K$7-SQRT((1-B148)*($K$7-$K$5)*($K$7-$K$6)))</f>
        <v/>
      </c>
      <c r="E148" s="13">
        <f>INDEX($J$18:$J$22,MATCH(B148,$L$18:$L$22,1))</f>
        <v/>
      </c>
      <c r="F148" s="16">
        <f>-($K$9/$K$8)*LN(RAND()*RAND()*RAND())</f>
        <v/>
      </c>
      <c r="G148" s="16">
        <f>NORMINV(RAND(),$K$10,$K$11)</f>
        <v/>
      </c>
      <c r="H148" s="16">
        <f>IF(RAND()&lt;$K$12,-$K$13*LN(1-RAND()),-$K$14*LN(1-RAND()))</f>
        <v/>
      </c>
    </row>
    <row r="149">
      <c r="A149" s="13" t="n">
        <v>145</v>
      </c>
      <c r="B149" s="14">
        <f>RAND()</f>
        <v/>
      </c>
      <c r="C149" s="16">
        <f>-$K$4*LN(1-B149)</f>
        <v/>
      </c>
      <c r="D149" s="16">
        <f>IF(B149&lt;$K$15,$K$5+SQRT(B149*($K$7-$K$5)*($K$6-$K$5)),$K$7-SQRT((1-B149)*($K$7-$K$5)*($K$7-$K$6)))</f>
        <v/>
      </c>
      <c r="E149" s="13">
        <f>INDEX($J$18:$J$22,MATCH(B149,$L$18:$L$22,1))</f>
        <v/>
      </c>
      <c r="F149" s="16">
        <f>-($K$9/$K$8)*LN(RAND()*RAND()*RAND())</f>
        <v/>
      </c>
      <c r="G149" s="16">
        <f>NORMINV(RAND(),$K$10,$K$11)</f>
        <v/>
      </c>
      <c r="H149" s="16">
        <f>IF(RAND()&lt;$K$12,-$K$13*LN(1-RAND()),-$K$14*LN(1-RAND()))</f>
        <v/>
      </c>
    </row>
    <row r="150">
      <c r="A150" s="13" t="n">
        <v>146</v>
      </c>
      <c r="B150" s="14">
        <f>RAND()</f>
        <v/>
      </c>
      <c r="C150" s="16">
        <f>-$K$4*LN(1-B150)</f>
        <v/>
      </c>
      <c r="D150" s="16">
        <f>IF(B150&lt;$K$15,$K$5+SQRT(B150*($K$7-$K$5)*($K$6-$K$5)),$K$7-SQRT((1-B150)*($K$7-$K$5)*($K$7-$K$6)))</f>
        <v/>
      </c>
      <c r="E150" s="13">
        <f>INDEX($J$18:$J$22,MATCH(B150,$L$18:$L$22,1))</f>
        <v/>
      </c>
      <c r="F150" s="16">
        <f>-($K$9/$K$8)*LN(RAND()*RAND()*RAND())</f>
        <v/>
      </c>
      <c r="G150" s="16">
        <f>NORMINV(RAND(),$K$10,$K$11)</f>
        <v/>
      </c>
      <c r="H150" s="16">
        <f>IF(RAND()&lt;$K$12,-$K$13*LN(1-RAND()),-$K$14*LN(1-RAND()))</f>
        <v/>
      </c>
    </row>
    <row r="151">
      <c r="A151" s="13" t="n">
        <v>147</v>
      </c>
      <c r="B151" s="14">
        <f>RAND()</f>
        <v/>
      </c>
      <c r="C151" s="16">
        <f>-$K$4*LN(1-B151)</f>
        <v/>
      </c>
      <c r="D151" s="16">
        <f>IF(B151&lt;$K$15,$K$5+SQRT(B151*($K$7-$K$5)*($K$6-$K$5)),$K$7-SQRT((1-B151)*($K$7-$K$5)*($K$7-$K$6)))</f>
        <v/>
      </c>
      <c r="E151" s="13">
        <f>INDEX($J$18:$J$22,MATCH(B151,$L$18:$L$22,1))</f>
        <v/>
      </c>
      <c r="F151" s="16">
        <f>-($K$9/$K$8)*LN(RAND()*RAND()*RAND())</f>
        <v/>
      </c>
      <c r="G151" s="16">
        <f>NORMINV(RAND(),$K$10,$K$11)</f>
        <v/>
      </c>
      <c r="H151" s="16">
        <f>IF(RAND()&lt;$K$12,-$K$13*LN(1-RAND()),-$K$14*LN(1-RAND()))</f>
        <v/>
      </c>
    </row>
    <row r="152">
      <c r="A152" s="13" t="n">
        <v>148</v>
      </c>
      <c r="B152" s="14">
        <f>RAND()</f>
        <v/>
      </c>
      <c r="C152" s="16">
        <f>-$K$4*LN(1-B152)</f>
        <v/>
      </c>
      <c r="D152" s="16">
        <f>IF(B152&lt;$K$15,$K$5+SQRT(B152*($K$7-$K$5)*($K$6-$K$5)),$K$7-SQRT((1-B152)*($K$7-$K$5)*($K$7-$K$6)))</f>
        <v/>
      </c>
      <c r="E152" s="13">
        <f>INDEX($J$18:$J$22,MATCH(B152,$L$18:$L$22,1))</f>
        <v/>
      </c>
      <c r="F152" s="16">
        <f>-($K$9/$K$8)*LN(RAND()*RAND()*RAND())</f>
        <v/>
      </c>
      <c r="G152" s="16">
        <f>NORMINV(RAND(),$K$10,$K$11)</f>
        <v/>
      </c>
      <c r="H152" s="16">
        <f>IF(RAND()&lt;$K$12,-$K$13*LN(1-RAND()),-$K$14*LN(1-RAND()))</f>
        <v/>
      </c>
    </row>
    <row r="153">
      <c r="A153" s="13" t="n">
        <v>149</v>
      </c>
      <c r="B153" s="14">
        <f>RAND()</f>
        <v/>
      </c>
      <c r="C153" s="16">
        <f>-$K$4*LN(1-B153)</f>
        <v/>
      </c>
      <c r="D153" s="16">
        <f>IF(B153&lt;$K$15,$K$5+SQRT(B153*($K$7-$K$5)*($K$6-$K$5)),$K$7-SQRT((1-B153)*($K$7-$K$5)*($K$7-$K$6)))</f>
        <v/>
      </c>
      <c r="E153" s="13">
        <f>INDEX($J$18:$J$22,MATCH(B153,$L$18:$L$22,1))</f>
        <v/>
      </c>
      <c r="F153" s="16">
        <f>-($K$9/$K$8)*LN(RAND()*RAND()*RAND())</f>
        <v/>
      </c>
      <c r="G153" s="16">
        <f>NORMINV(RAND(),$K$10,$K$11)</f>
        <v/>
      </c>
      <c r="H153" s="16">
        <f>IF(RAND()&lt;$K$12,-$K$13*LN(1-RAND()),-$K$14*LN(1-RAND()))</f>
        <v/>
      </c>
    </row>
    <row r="154">
      <c r="A154" s="13" t="n">
        <v>150</v>
      </c>
      <c r="B154" s="14">
        <f>RAND()</f>
        <v/>
      </c>
      <c r="C154" s="16">
        <f>-$K$4*LN(1-B154)</f>
        <v/>
      </c>
      <c r="D154" s="16">
        <f>IF(B154&lt;$K$15,$K$5+SQRT(B154*($K$7-$K$5)*($K$6-$K$5)),$K$7-SQRT((1-B154)*($K$7-$K$5)*($K$7-$K$6)))</f>
        <v/>
      </c>
      <c r="E154" s="13">
        <f>INDEX($J$18:$J$22,MATCH(B154,$L$18:$L$22,1))</f>
        <v/>
      </c>
      <c r="F154" s="16">
        <f>-($K$9/$K$8)*LN(RAND()*RAND()*RAND())</f>
        <v/>
      </c>
      <c r="G154" s="16">
        <f>NORMINV(RAND(),$K$10,$K$11)</f>
        <v/>
      </c>
      <c r="H154" s="16">
        <f>IF(RAND()&lt;$K$12,-$K$13*LN(1-RAND()),-$K$14*LN(1-RAND()))</f>
        <v/>
      </c>
    </row>
    <row r="155">
      <c r="A155" s="13" t="n">
        <v>151</v>
      </c>
      <c r="B155" s="14">
        <f>RAND()</f>
        <v/>
      </c>
      <c r="C155" s="16">
        <f>-$K$4*LN(1-B155)</f>
        <v/>
      </c>
      <c r="D155" s="16">
        <f>IF(B155&lt;$K$15,$K$5+SQRT(B155*($K$7-$K$5)*($K$6-$K$5)),$K$7-SQRT((1-B155)*($K$7-$K$5)*($K$7-$K$6)))</f>
        <v/>
      </c>
      <c r="E155" s="13">
        <f>INDEX($J$18:$J$22,MATCH(B155,$L$18:$L$22,1))</f>
        <v/>
      </c>
      <c r="F155" s="16">
        <f>-($K$9/$K$8)*LN(RAND()*RAND()*RAND())</f>
        <v/>
      </c>
      <c r="G155" s="16">
        <f>NORMINV(RAND(),$K$10,$K$11)</f>
        <v/>
      </c>
      <c r="H155" s="16">
        <f>IF(RAND()&lt;$K$12,-$K$13*LN(1-RAND()),-$K$14*LN(1-RAND()))</f>
        <v/>
      </c>
    </row>
    <row r="156">
      <c r="A156" s="13" t="n">
        <v>152</v>
      </c>
      <c r="B156" s="14">
        <f>RAND()</f>
        <v/>
      </c>
      <c r="C156" s="16">
        <f>-$K$4*LN(1-B156)</f>
        <v/>
      </c>
      <c r="D156" s="16">
        <f>IF(B156&lt;$K$15,$K$5+SQRT(B156*($K$7-$K$5)*($K$6-$K$5)),$K$7-SQRT((1-B156)*($K$7-$K$5)*($K$7-$K$6)))</f>
        <v/>
      </c>
      <c r="E156" s="13">
        <f>INDEX($J$18:$J$22,MATCH(B156,$L$18:$L$22,1))</f>
        <v/>
      </c>
      <c r="F156" s="16">
        <f>-($K$9/$K$8)*LN(RAND()*RAND()*RAND())</f>
        <v/>
      </c>
      <c r="G156" s="16">
        <f>NORMINV(RAND(),$K$10,$K$11)</f>
        <v/>
      </c>
      <c r="H156" s="16">
        <f>IF(RAND()&lt;$K$12,-$K$13*LN(1-RAND()),-$K$14*LN(1-RAND()))</f>
        <v/>
      </c>
    </row>
    <row r="157">
      <c r="A157" s="13" t="n">
        <v>153</v>
      </c>
      <c r="B157" s="14">
        <f>RAND()</f>
        <v/>
      </c>
      <c r="C157" s="16">
        <f>-$K$4*LN(1-B157)</f>
        <v/>
      </c>
      <c r="D157" s="16">
        <f>IF(B157&lt;$K$15,$K$5+SQRT(B157*($K$7-$K$5)*($K$6-$K$5)),$K$7-SQRT((1-B157)*($K$7-$K$5)*($K$7-$K$6)))</f>
        <v/>
      </c>
      <c r="E157" s="13">
        <f>INDEX($J$18:$J$22,MATCH(B157,$L$18:$L$22,1))</f>
        <v/>
      </c>
      <c r="F157" s="16">
        <f>-($K$9/$K$8)*LN(RAND()*RAND()*RAND())</f>
        <v/>
      </c>
      <c r="G157" s="16">
        <f>NORMINV(RAND(),$K$10,$K$11)</f>
        <v/>
      </c>
      <c r="H157" s="16">
        <f>IF(RAND()&lt;$K$12,-$K$13*LN(1-RAND()),-$K$14*LN(1-RAND()))</f>
        <v/>
      </c>
    </row>
    <row r="158">
      <c r="A158" s="13" t="n">
        <v>154</v>
      </c>
      <c r="B158" s="14">
        <f>RAND()</f>
        <v/>
      </c>
      <c r="C158" s="16">
        <f>-$K$4*LN(1-B158)</f>
        <v/>
      </c>
      <c r="D158" s="16">
        <f>IF(B158&lt;$K$15,$K$5+SQRT(B158*($K$7-$K$5)*($K$6-$K$5)),$K$7-SQRT((1-B158)*($K$7-$K$5)*($K$7-$K$6)))</f>
        <v/>
      </c>
      <c r="E158" s="13">
        <f>INDEX($J$18:$J$22,MATCH(B158,$L$18:$L$22,1))</f>
        <v/>
      </c>
      <c r="F158" s="16">
        <f>-($K$9/$K$8)*LN(RAND()*RAND()*RAND())</f>
        <v/>
      </c>
      <c r="G158" s="16">
        <f>NORMINV(RAND(),$K$10,$K$11)</f>
        <v/>
      </c>
      <c r="H158" s="16">
        <f>IF(RAND()&lt;$K$12,-$K$13*LN(1-RAND()),-$K$14*LN(1-RAND()))</f>
        <v/>
      </c>
    </row>
    <row r="159">
      <c r="A159" s="13" t="n">
        <v>155</v>
      </c>
      <c r="B159" s="14">
        <f>RAND()</f>
        <v/>
      </c>
      <c r="C159" s="16">
        <f>-$K$4*LN(1-B159)</f>
        <v/>
      </c>
      <c r="D159" s="16">
        <f>IF(B159&lt;$K$15,$K$5+SQRT(B159*($K$7-$K$5)*($K$6-$K$5)),$K$7-SQRT((1-B159)*($K$7-$K$5)*($K$7-$K$6)))</f>
        <v/>
      </c>
      <c r="E159" s="13">
        <f>INDEX($J$18:$J$22,MATCH(B159,$L$18:$L$22,1))</f>
        <v/>
      </c>
      <c r="F159" s="16">
        <f>-($K$9/$K$8)*LN(RAND()*RAND()*RAND())</f>
        <v/>
      </c>
      <c r="G159" s="16">
        <f>NORMINV(RAND(),$K$10,$K$11)</f>
        <v/>
      </c>
      <c r="H159" s="16">
        <f>IF(RAND()&lt;$K$12,-$K$13*LN(1-RAND()),-$K$14*LN(1-RAND()))</f>
        <v/>
      </c>
    </row>
    <row r="160">
      <c r="A160" s="13" t="n">
        <v>156</v>
      </c>
      <c r="B160" s="14">
        <f>RAND()</f>
        <v/>
      </c>
      <c r="C160" s="16">
        <f>-$K$4*LN(1-B160)</f>
        <v/>
      </c>
      <c r="D160" s="16">
        <f>IF(B160&lt;$K$15,$K$5+SQRT(B160*($K$7-$K$5)*($K$6-$K$5)),$K$7-SQRT((1-B160)*($K$7-$K$5)*($K$7-$K$6)))</f>
        <v/>
      </c>
      <c r="E160" s="13">
        <f>INDEX($J$18:$J$22,MATCH(B160,$L$18:$L$22,1))</f>
        <v/>
      </c>
      <c r="F160" s="16">
        <f>-($K$9/$K$8)*LN(RAND()*RAND()*RAND())</f>
        <v/>
      </c>
      <c r="G160" s="16">
        <f>NORMINV(RAND(),$K$10,$K$11)</f>
        <v/>
      </c>
      <c r="H160" s="16">
        <f>IF(RAND()&lt;$K$12,-$K$13*LN(1-RAND()),-$K$14*LN(1-RAND()))</f>
        <v/>
      </c>
    </row>
    <row r="161">
      <c r="A161" s="13" t="n">
        <v>157</v>
      </c>
      <c r="B161" s="14">
        <f>RAND()</f>
        <v/>
      </c>
      <c r="C161" s="16">
        <f>-$K$4*LN(1-B161)</f>
        <v/>
      </c>
      <c r="D161" s="16">
        <f>IF(B161&lt;$K$15,$K$5+SQRT(B161*($K$7-$K$5)*($K$6-$K$5)),$K$7-SQRT((1-B161)*($K$7-$K$5)*($K$7-$K$6)))</f>
        <v/>
      </c>
      <c r="E161" s="13">
        <f>INDEX($J$18:$J$22,MATCH(B161,$L$18:$L$22,1))</f>
        <v/>
      </c>
      <c r="F161" s="16">
        <f>-($K$9/$K$8)*LN(RAND()*RAND()*RAND())</f>
        <v/>
      </c>
      <c r="G161" s="16">
        <f>NORMINV(RAND(),$K$10,$K$11)</f>
        <v/>
      </c>
      <c r="H161" s="16">
        <f>IF(RAND()&lt;$K$12,-$K$13*LN(1-RAND()),-$K$14*LN(1-RAND()))</f>
        <v/>
      </c>
    </row>
    <row r="162">
      <c r="A162" s="13" t="n">
        <v>158</v>
      </c>
      <c r="B162" s="14">
        <f>RAND()</f>
        <v/>
      </c>
      <c r="C162" s="16">
        <f>-$K$4*LN(1-B162)</f>
        <v/>
      </c>
      <c r="D162" s="16">
        <f>IF(B162&lt;$K$15,$K$5+SQRT(B162*($K$7-$K$5)*($K$6-$K$5)),$K$7-SQRT((1-B162)*($K$7-$K$5)*($K$7-$K$6)))</f>
        <v/>
      </c>
      <c r="E162" s="13">
        <f>INDEX($J$18:$J$22,MATCH(B162,$L$18:$L$22,1))</f>
        <v/>
      </c>
      <c r="F162" s="16">
        <f>-($K$9/$K$8)*LN(RAND()*RAND()*RAND())</f>
        <v/>
      </c>
      <c r="G162" s="16">
        <f>NORMINV(RAND(),$K$10,$K$11)</f>
        <v/>
      </c>
      <c r="H162" s="16">
        <f>IF(RAND()&lt;$K$12,-$K$13*LN(1-RAND()),-$K$14*LN(1-RAND()))</f>
        <v/>
      </c>
    </row>
    <row r="163">
      <c r="A163" s="13" t="n">
        <v>159</v>
      </c>
      <c r="B163" s="14">
        <f>RAND()</f>
        <v/>
      </c>
      <c r="C163" s="16">
        <f>-$K$4*LN(1-B163)</f>
        <v/>
      </c>
      <c r="D163" s="16">
        <f>IF(B163&lt;$K$15,$K$5+SQRT(B163*($K$7-$K$5)*($K$6-$K$5)),$K$7-SQRT((1-B163)*($K$7-$K$5)*($K$7-$K$6)))</f>
        <v/>
      </c>
      <c r="E163" s="13">
        <f>INDEX($J$18:$J$22,MATCH(B163,$L$18:$L$22,1))</f>
        <v/>
      </c>
      <c r="F163" s="16">
        <f>-($K$9/$K$8)*LN(RAND()*RAND()*RAND())</f>
        <v/>
      </c>
      <c r="G163" s="16">
        <f>NORMINV(RAND(),$K$10,$K$11)</f>
        <v/>
      </c>
      <c r="H163" s="16">
        <f>IF(RAND()&lt;$K$12,-$K$13*LN(1-RAND()),-$K$14*LN(1-RAND()))</f>
        <v/>
      </c>
    </row>
    <row r="164">
      <c r="A164" s="13" t="n">
        <v>160</v>
      </c>
      <c r="B164" s="14">
        <f>RAND()</f>
        <v/>
      </c>
      <c r="C164" s="16">
        <f>-$K$4*LN(1-B164)</f>
        <v/>
      </c>
      <c r="D164" s="16">
        <f>IF(B164&lt;$K$15,$K$5+SQRT(B164*($K$7-$K$5)*($K$6-$K$5)),$K$7-SQRT((1-B164)*($K$7-$K$5)*($K$7-$K$6)))</f>
        <v/>
      </c>
      <c r="E164" s="13">
        <f>INDEX($J$18:$J$22,MATCH(B164,$L$18:$L$22,1))</f>
        <v/>
      </c>
      <c r="F164" s="16">
        <f>-($K$9/$K$8)*LN(RAND()*RAND()*RAND())</f>
        <v/>
      </c>
      <c r="G164" s="16">
        <f>NORMINV(RAND(),$K$10,$K$11)</f>
        <v/>
      </c>
      <c r="H164" s="16">
        <f>IF(RAND()&lt;$K$12,-$K$13*LN(1-RAND()),-$K$14*LN(1-RAND()))</f>
        <v/>
      </c>
    </row>
    <row r="165">
      <c r="A165" s="13" t="n">
        <v>161</v>
      </c>
      <c r="B165" s="14">
        <f>RAND()</f>
        <v/>
      </c>
      <c r="C165" s="16">
        <f>-$K$4*LN(1-B165)</f>
        <v/>
      </c>
      <c r="D165" s="16">
        <f>IF(B165&lt;$K$15,$K$5+SQRT(B165*($K$7-$K$5)*($K$6-$K$5)),$K$7-SQRT((1-B165)*($K$7-$K$5)*($K$7-$K$6)))</f>
        <v/>
      </c>
      <c r="E165" s="13">
        <f>INDEX($J$18:$J$22,MATCH(B165,$L$18:$L$22,1))</f>
        <v/>
      </c>
      <c r="F165" s="16">
        <f>-($K$9/$K$8)*LN(RAND()*RAND()*RAND())</f>
        <v/>
      </c>
      <c r="G165" s="16">
        <f>NORMINV(RAND(),$K$10,$K$11)</f>
        <v/>
      </c>
      <c r="H165" s="16">
        <f>IF(RAND()&lt;$K$12,-$K$13*LN(1-RAND()),-$K$14*LN(1-RAND()))</f>
        <v/>
      </c>
    </row>
    <row r="166">
      <c r="A166" s="13" t="n">
        <v>162</v>
      </c>
      <c r="B166" s="14">
        <f>RAND()</f>
        <v/>
      </c>
      <c r="C166" s="16">
        <f>-$K$4*LN(1-B166)</f>
        <v/>
      </c>
      <c r="D166" s="16">
        <f>IF(B166&lt;$K$15,$K$5+SQRT(B166*($K$7-$K$5)*($K$6-$K$5)),$K$7-SQRT((1-B166)*($K$7-$K$5)*($K$7-$K$6)))</f>
        <v/>
      </c>
      <c r="E166" s="13">
        <f>INDEX($J$18:$J$22,MATCH(B166,$L$18:$L$22,1))</f>
        <v/>
      </c>
      <c r="F166" s="16">
        <f>-($K$9/$K$8)*LN(RAND()*RAND()*RAND())</f>
        <v/>
      </c>
      <c r="G166" s="16">
        <f>NORMINV(RAND(),$K$10,$K$11)</f>
        <v/>
      </c>
      <c r="H166" s="16">
        <f>IF(RAND()&lt;$K$12,-$K$13*LN(1-RAND()),-$K$14*LN(1-RAND()))</f>
        <v/>
      </c>
    </row>
    <row r="167">
      <c r="A167" s="13" t="n">
        <v>163</v>
      </c>
      <c r="B167" s="14">
        <f>RAND()</f>
        <v/>
      </c>
      <c r="C167" s="16">
        <f>-$K$4*LN(1-B167)</f>
        <v/>
      </c>
      <c r="D167" s="16">
        <f>IF(B167&lt;$K$15,$K$5+SQRT(B167*($K$7-$K$5)*($K$6-$K$5)),$K$7-SQRT((1-B167)*($K$7-$K$5)*($K$7-$K$6)))</f>
        <v/>
      </c>
      <c r="E167" s="13">
        <f>INDEX($J$18:$J$22,MATCH(B167,$L$18:$L$22,1))</f>
        <v/>
      </c>
      <c r="F167" s="16">
        <f>-($K$9/$K$8)*LN(RAND()*RAND()*RAND())</f>
        <v/>
      </c>
      <c r="G167" s="16">
        <f>NORMINV(RAND(),$K$10,$K$11)</f>
        <v/>
      </c>
      <c r="H167" s="16">
        <f>IF(RAND()&lt;$K$12,-$K$13*LN(1-RAND()),-$K$14*LN(1-RAND()))</f>
        <v/>
      </c>
    </row>
    <row r="168">
      <c r="A168" s="13" t="n">
        <v>164</v>
      </c>
      <c r="B168" s="14">
        <f>RAND()</f>
        <v/>
      </c>
      <c r="C168" s="16">
        <f>-$K$4*LN(1-B168)</f>
        <v/>
      </c>
      <c r="D168" s="16">
        <f>IF(B168&lt;$K$15,$K$5+SQRT(B168*($K$7-$K$5)*($K$6-$K$5)),$K$7-SQRT((1-B168)*($K$7-$K$5)*($K$7-$K$6)))</f>
        <v/>
      </c>
      <c r="E168" s="13">
        <f>INDEX($J$18:$J$22,MATCH(B168,$L$18:$L$22,1))</f>
        <v/>
      </c>
      <c r="F168" s="16">
        <f>-($K$9/$K$8)*LN(RAND()*RAND()*RAND())</f>
        <v/>
      </c>
      <c r="G168" s="16">
        <f>NORMINV(RAND(),$K$10,$K$11)</f>
        <v/>
      </c>
      <c r="H168" s="16">
        <f>IF(RAND()&lt;$K$12,-$K$13*LN(1-RAND()),-$K$14*LN(1-RAND()))</f>
        <v/>
      </c>
    </row>
    <row r="169">
      <c r="A169" s="13" t="n">
        <v>165</v>
      </c>
      <c r="B169" s="14">
        <f>RAND()</f>
        <v/>
      </c>
      <c r="C169" s="16">
        <f>-$K$4*LN(1-B169)</f>
        <v/>
      </c>
      <c r="D169" s="16">
        <f>IF(B169&lt;$K$15,$K$5+SQRT(B169*($K$7-$K$5)*($K$6-$K$5)),$K$7-SQRT((1-B169)*($K$7-$K$5)*($K$7-$K$6)))</f>
        <v/>
      </c>
      <c r="E169" s="13">
        <f>INDEX($J$18:$J$22,MATCH(B169,$L$18:$L$22,1))</f>
        <v/>
      </c>
      <c r="F169" s="16">
        <f>-($K$9/$K$8)*LN(RAND()*RAND()*RAND())</f>
        <v/>
      </c>
      <c r="G169" s="16">
        <f>NORMINV(RAND(),$K$10,$K$11)</f>
        <v/>
      </c>
      <c r="H169" s="16">
        <f>IF(RAND()&lt;$K$12,-$K$13*LN(1-RAND()),-$K$14*LN(1-RAND()))</f>
        <v/>
      </c>
    </row>
    <row r="170">
      <c r="A170" s="13" t="n">
        <v>166</v>
      </c>
      <c r="B170" s="14">
        <f>RAND()</f>
        <v/>
      </c>
      <c r="C170" s="16">
        <f>-$K$4*LN(1-B170)</f>
        <v/>
      </c>
      <c r="D170" s="16">
        <f>IF(B170&lt;$K$15,$K$5+SQRT(B170*($K$7-$K$5)*($K$6-$K$5)),$K$7-SQRT((1-B170)*($K$7-$K$5)*($K$7-$K$6)))</f>
        <v/>
      </c>
      <c r="E170" s="13">
        <f>INDEX($J$18:$J$22,MATCH(B170,$L$18:$L$22,1))</f>
        <v/>
      </c>
      <c r="F170" s="16">
        <f>-($K$9/$K$8)*LN(RAND()*RAND()*RAND())</f>
        <v/>
      </c>
      <c r="G170" s="16">
        <f>NORMINV(RAND(),$K$10,$K$11)</f>
        <v/>
      </c>
      <c r="H170" s="16">
        <f>IF(RAND()&lt;$K$12,-$K$13*LN(1-RAND()),-$K$14*LN(1-RAND()))</f>
        <v/>
      </c>
    </row>
    <row r="171">
      <c r="A171" s="13" t="n">
        <v>167</v>
      </c>
      <c r="B171" s="14">
        <f>RAND()</f>
        <v/>
      </c>
      <c r="C171" s="16">
        <f>-$K$4*LN(1-B171)</f>
        <v/>
      </c>
      <c r="D171" s="16">
        <f>IF(B171&lt;$K$15,$K$5+SQRT(B171*($K$7-$K$5)*($K$6-$K$5)),$K$7-SQRT((1-B171)*($K$7-$K$5)*($K$7-$K$6)))</f>
        <v/>
      </c>
      <c r="E171" s="13">
        <f>INDEX($J$18:$J$22,MATCH(B171,$L$18:$L$22,1))</f>
        <v/>
      </c>
      <c r="F171" s="16">
        <f>-($K$9/$K$8)*LN(RAND()*RAND()*RAND())</f>
        <v/>
      </c>
      <c r="G171" s="16">
        <f>NORMINV(RAND(),$K$10,$K$11)</f>
        <v/>
      </c>
      <c r="H171" s="16">
        <f>IF(RAND()&lt;$K$12,-$K$13*LN(1-RAND()),-$K$14*LN(1-RAND()))</f>
        <v/>
      </c>
    </row>
    <row r="172">
      <c r="A172" s="13" t="n">
        <v>168</v>
      </c>
      <c r="B172" s="14">
        <f>RAND()</f>
        <v/>
      </c>
      <c r="C172" s="16">
        <f>-$K$4*LN(1-B172)</f>
        <v/>
      </c>
      <c r="D172" s="16">
        <f>IF(B172&lt;$K$15,$K$5+SQRT(B172*($K$7-$K$5)*($K$6-$K$5)),$K$7-SQRT((1-B172)*($K$7-$K$5)*($K$7-$K$6)))</f>
        <v/>
      </c>
      <c r="E172" s="13">
        <f>INDEX($J$18:$J$22,MATCH(B172,$L$18:$L$22,1))</f>
        <v/>
      </c>
      <c r="F172" s="16">
        <f>-($K$9/$K$8)*LN(RAND()*RAND()*RAND())</f>
        <v/>
      </c>
      <c r="G172" s="16">
        <f>NORMINV(RAND(),$K$10,$K$11)</f>
        <v/>
      </c>
      <c r="H172" s="16">
        <f>IF(RAND()&lt;$K$12,-$K$13*LN(1-RAND()),-$K$14*LN(1-RAND()))</f>
        <v/>
      </c>
    </row>
    <row r="173">
      <c r="A173" s="13" t="n">
        <v>169</v>
      </c>
      <c r="B173" s="14">
        <f>RAND()</f>
        <v/>
      </c>
      <c r="C173" s="16">
        <f>-$K$4*LN(1-B173)</f>
        <v/>
      </c>
      <c r="D173" s="16">
        <f>IF(B173&lt;$K$15,$K$5+SQRT(B173*($K$7-$K$5)*($K$6-$K$5)),$K$7-SQRT((1-B173)*($K$7-$K$5)*($K$7-$K$6)))</f>
        <v/>
      </c>
      <c r="E173" s="13">
        <f>INDEX($J$18:$J$22,MATCH(B173,$L$18:$L$22,1))</f>
        <v/>
      </c>
      <c r="F173" s="16">
        <f>-($K$9/$K$8)*LN(RAND()*RAND()*RAND())</f>
        <v/>
      </c>
      <c r="G173" s="16">
        <f>NORMINV(RAND(),$K$10,$K$11)</f>
        <v/>
      </c>
      <c r="H173" s="16">
        <f>IF(RAND()&lt;$K$12,-$K$13*LN(1-RAND()),-$K$14*LN(1-RAND()))</f>
        <v/>
      </c>
    </row>
    <row r="174">
      <c r="A174" s="13" t="n">
        <v>170</v>
      </c>
      <c r="B174" s="14">
        <f>RAND()</f>
        <v/>
      </c>
      <c r="C174" s="16">
        <f>-$K$4*LN(1-B174)</f>
        <v/>
      </c>
      <c r="D174" s="16">
        <f>IF(B174&lt;$K$15,$K$5+SQRT(B174*($K$7-$K$5)*($K$6-$K$5)),$K$7-SQRT((1-B174)*($K$7-$K$5)*($K$7-$K$6)))</f>
        <v/>
      </c>
      <c r="E174" s="13">
        <f>INDEX($J$18:$J$22,MATCH(B174,$L$18:$L$22,1))</f>
        <v/>
      </c>
      <c r="F174" s="16">
        <f>-($K$9/$K$8)*LN(RAND()*RAND()*RAND())</f>
        <v/>
      </c>
      <c r="G174" s="16">
        <f>NORMINV(RAND(),$K$10,$K$11)</f>
        <v/>
      </c>
      <c r="H174" s="16">
        <f>IF(RAND()&lt;$K$12,-$K$13*LN(1-RAND()),-$K$14*LN(1-RAND()))</f>
        <v/>
      </c>
    </row>
    <row r="175">
      <c r="A175" s="13" t="n">
        <v>171</v>
      </c>
      <c r="B175" s="14">
        <f>RAND()</f>
        <v/>
      </c>
      <c r="C175" s="16">
        <f>-$K$4*LN(1-B175)</f>
        <v/>
      </c>
      <c r="D175" s="16">
        <f>IF(B175&lt;$K$15,$K$5+SQRT(B175*($K$7-$K$5)*($K$6-$K$5)),$K$7-SQRT((1-B175)*($K$7-$K$5)*($K$7-$K$6)))</f>
        <v/>
      </c>
      <c r="E175" s="13">
        <f>INDEX($J$18:$J$22,MATCH(B175,$L$18:$L$22,1))</f>
        <v/>
      </c>
      <c r="F175" s="16">
        <f>-($K$9/$K$8)*LN(RAND()*RAND()*RAND())</f>
        <v/>
      </c>
      <c r="G175" s="16">
        <f>NORMINV(RAND(),$K$10,$K$11)</f>
        <v/>
      </c>
      <c r="H175" s="16">
        <f>IF(RAND()&lt;$K$12,-$K$13*LN(1-RAND()),-$K$14*LN(1-RAND()))</f>
        <v/>
      </c>
    </row>
    <row r="176">
      <c r="A176" s="13" t="n">
        <v>172</v>
      </c>
      <c r="B176" s="14">
        <f>RAND()</f>
        <v/>
      </c>
      <c r="C176" s="16">
        <f>-$K$4*LN(1-B176)</f>
        <v/>
      </c>
      <c r="D176" s="16">
        <f>IF(B176&lt;$K$15,$K$5+SQRT(B176*($K$7-$K$5)*($K$6-$K$5)),$K$7-SQRT((1-B176)*($K$7-$K$5)*($K$7-$K$6)))</f>
        <v/>
      </c>
      <c r="E176" s="13">
        <f>INDEX($J$18:$J$22,MATCH(B176,$L$18:$L$22,1))</f>
        <v/>
      </c>
      <c r="F176" s="16">
        <f>-($K$9/$K$8)*LN(RAND()*RAND()*RAND())</f>
        <v/>
      </c>
      <c r="G176" s="16">
        <f>NORMINV(RAND(),$K$10,$K$11)</f>
        <v/>
      </c>
      <c r="H176" s="16">
        <f>IF(RAND()&lt;$K$12,-$K$13*LN(1-RAND()),-$K$14*LN(1-RAND()))</f>
        <v/>
      </c>
    </row>
    <row r="177">
      <c r="A177" s="13" t="n">
        <v>173</v>
      </c>
      <c r="B177" s="14">
        <f>RAND()</f>
        <v/>
      </c>
      <c r="C177" s="16">
        <f>-$K$4*LN(1-B177)</f>
        <v/>
      </c>
      <c r="D177" s="16">
        <f>IF(B177&lt;$K$15,$K$5+SQRT(B177*($K$7-$K$5)*($K$6-$K$5)),$K$7-SQRT((1-B177)*($K$7-$K$5)*($K$7-$K$6)))</f>
        <v/>
      </c>
      <c r="E177" s="13">
        <f>INDEX($J$18:$J$22,MATCH(B177,$L$18:$L$22,1))</f>
        <v/>
      </c>
      <c r="F177" s="16">
        <f>-($K$9/$K$8)*LN(RAND()*RAND()*RAND())</f>
        <v/>
      </c>
      <c r="G177" s="16">
        <f>NORMINV(RAND(),$K$10,$K$11)</f>
        <v/>
      </c>
      <c r="H177" s="16">
        <f>IF(RAND()&lt;$K$12,-$K$13*LN(1-RAND()),-$K$14*LN(1-RAND()))</f>
        <v/>
      </c>
    </row>
    <row r="178">
      <c r="A178" s="13" t="n">
        <v>174</v>
      </c>
      <c r="B178" s="14">
        <f>RAND()</f>
        <v/>
      </c>
      <c r="C178" s="16">
        <f>-$K$4*LN(1-B178)</f>
        <v/>
      </c>
      <c r="D178" s="16">
        <f>IF(B178&lt;$K$15,$K$5+SQRT(B178*($K$7-$K$5)*($K$6-$K$5)),$K$7-SQRT((1-B178)*($K$7-$K$5)*($K$7-$K$6)))</f>
        <v/>
      </c>
      <c r="E178" s="13">
        <f>INDEX($J$18:$J$22,MATCH(B178,$L$18:$L$22,1))</f>
        <v/>
      </c>
      <c r="F178" s="16">
        <f>-($K$9/$K$8)*LN(RAND()*RAND()*RAND())</f>
        <v/>
      </c>
      <c r="G178" s="16">
        <f>NORMINV(RAND(),$K$10,$K$11)</f>
        <v/>
      </c>
      <c r="H178" s="16">
        <f>IF(RAND()&lt;$K$12,-$K$13*LN(1-RAND()),-$K$14*LN(1-RAND()))</f>
        <v/>
      </c>
    </row>
    <row r="179">
      <c r="A179" s="13" t="n">
        <v>175</v>
      </c>
      <c r="B179" s="14">
        <f>RAND()</f>
        <v/>
      </c>
      <c r="C179" s="16">
        <f>-$K$4*LN(1-B179)</f>
        <v/>
      </c>
      <c r="D179" s="16">
        <f>IF(B179&lt;$K$15,$K$5+SQRT(B179*($K$7-$K$5)*($K$6-$K$5)),$K$7-SQRT((1-B179)*($K$7-$K$5)*($K$7-$K$6)))</f>
        <v/>
      </c>
      <c r="E179" s="13">
        <f>INDEX($J$18:$J$22,MATCH(B179,$L$18:$L$22,1))</f>
        <v/>
      </c>
      <c r="F179" s="16">
        <f>-($K$9/$K$8)*LN(RAND()*RAND()*RAND())</f>
        <v/>
      </c>
      <c r="G179" s="16">
        <f>NORMINV(RAND(),$K$10,$K$11)</f>
        <v/>
      </c>
      <c r="H179" s="16">
        <f>IF(RAND()&lt;$K$12,-$K$13*LN(1-RAND()),-$K$14*LN(1-RAND()))</f>
        <v/>
      </c>
    </row>
    <row r="180">
      <c r="A180" s="13" t="n">
        <v>176</v>
      </c>
      <c r="B180" s="14">
        <f>RAND()</f>
        <v/>
      </c>
      <c r="C180" s="16">
        <f>-$K$4*LN(1-B180)</f>
        <v/>
      </c>
      <c r="D180" s="16">
        <f>IF(B180&lt;$K$15,$K$5+SQRT(B180*($K$7-$K$5)*($K$6-$K$5)),$K$7-SQRT((1-B180)*($K$7-$K$5)*($K$7-$K$6)))</f>
        <v/>
      </c>
      <c r="E180" s="13">
        <f>INDEX($J$18:$J$22,MATCH(B180,$L$18:$L$22,1))</f>
        <v/>
      </c>
      <c r="F180" s="16">
        <f>-($K$9/$K$8)*LN(RAND()*RAND()*RAND())</f>
        <v/>
      </c>
      <c r="G180" s="16">
        <f>NORMINV(RAND(),$K$10,$K$11)</f>
        <v/>
      </c>
      <c r="H180" s="16">
        <f>IF(RAND()&lt;$K$12,-$K$13*LN(1-RAND()),-$K$14*LN(1-RAND()))</f>
        <v/>
      </c>
    </row>
    <row r="181">
      <c r="A181" s="13" t="n">
        <v>177</v>
      </c>
      <c r="B181" s="14">
        <f>RAND()</f>
        <v/>
      </c>
      <c r="C181" s="16">
        <f>-$K$4*LN(1-B181)</f>
        <v/>
      </c>
      <c r="D181" s="16">
        <f>IF(B181&lt;$K$15,$K$5+SQRT(B181*($K$7-$K$5)*($K$6-$K$5)),$K$7-SQRT((1-B181)*($K$7-$K$5)*($K$7-$K$6)))</f>
        <v/>
      </c>
      <c r="E181" s="13">
        <f>INDEX($J$18:$J$22,MATCH(B181,$L$18:$L$22,1))</f>
        <v/>
      </c>
      <c r="F181" s="16">
        <f>-($K$9/$K$8)*LN(RAND()*RAND()*RAND())</f>
        <v/>
      </c>
      <c r="G181" s="16">
        <f>NORMINV(RAND(),$K$10,$K$11)</f>
        <v/>
      </c>
      <c r="H181" s="16">
        <f>IF(RAND()&lt;$K$12,-$K$13*LN(1-RAND()),-$K$14*LN(1-RAND()))</f>
        <v/>
      </c>
    </row>
    <row r="182">
      <c r="A182" s="13" t="n">
        <v>178</v>
      </c>
      <c r="B182" s="14">
        <f>RAND()</f>
        <v/>
      </c>
      <c r="C182" s="16">
        <f>-$K$4*LN(1-B182)</f>
        <v/>
      </c>
      <c r="D182" s="16">
        <f>IF(B182&lt;$K$15,$K$5+SQRT(B182*($K$7-$K$5)*($K$6-$K$5)),$K$7-SQRT((1-B182)*($K$7-$K$5)*($K$7-$K$6)))</f>
        <v/>
      </c>
      <c r="E182" s="13">
        <f>INDEX($J$18:$J$22,MATCH(B182,$L$18:$L$22,1))</f>
        <v/>
      </c>
      <c r="F182" s="16">
        <f>-($K$9/$K$8)*LN(RAND()*RAND()*RAND())</f>
        <v/>
      </c>
      <c r="G182" s="16">
        <f>NORMINV(RAND(),$K$10,$K$11)</f>
        <v/>
      </c>
      <c r="H182" s="16">
        <f>IF(RAND()&lt;$K$12,-$K$13*LN(1-RAND()),-$K$14*LN(1-RAND()))</f>
        <v/>
      </c>
    </row>
    <row r="183">
      <c r="A183" s="13" t="n">
        <v>179</v>
      </c>
      <c r="B183" s="14">
        <f>RAND()</f>
        <v/>
      </c>
      <c r="C183" s="16">
        <f>-$K$4*LN(1-B183)</f>
        <v/>
      </c>
      <c r="D183" s="16">
        <f>IF(B183&lt;$K$15,$K$5+SQRT(B183*($K$7-$K$5)*($K$6-$K$5)),$K$7-SQRT((1-B183)*($K$7-$K$5)*($K$7-$K$6)))</f>
        <v/>
      </c>
      <c r="E183" s="13">
        <f>INDEX($J$18:$J$22,MATCH(B183,$L$18:$L$22,1))</f>
        <v/>
      </c>
      <c r="F183" s="16">
        <f>-($K$9/$K$8)*LN(RAND()*RAND()*RAND())</f>
        <v/>
      </c>
      <c r="G183" s="16">
        <f>NORMINV(RAND(),$K$10,$K$11)</f>
        <v/>
      </c>
      <c r="H183" s="16">
        <f>IF(RAND()&lt;$K$12,-$K$13*LN(1-RAND()),-$K$14*LN(1-RAND()))</f>
        <v/>
      </c>
    </row>
    <row r="184">
      <c r="A184" s="13" t="n">
        <v>180</v>
      </c>
      <c r="B184" s="14">
        <f>RAND()</f>
        <v/>
      </c>
      <c r="C184" s="16">
        <f>-$K$4*LN(1-B184)</f>
        <v/>
      </c>
      <c r="D184" s="16">
        <f>IF(B184&lt;$K$15,$K$5+SQRT(B184*($K$7-$K$5)*($K$6-$K$5)),$K$7-SQRT((1-B184)*($K$7-$K$5)*($K$7-$K$6)))</f>
        <v/>
      </c>
      <c r="E184" s="13">
        <f>INDEX($J$18:$J$22,MATCH(B184,$L$18:$L$22,1))</f>
        <v/>
      </c>
      <c r="F184" s="16">
        <f>-($K$9/$K$8)*LN(RAND()*RAND()*RAND())</f>
        <v/>
      </c>
      <c r="G184" s="16">
        <f>NORMINV(RAND(),$K$10,$K$11)</f>
        <v/>
      </c>
      <c r="H184" s="16">
        <f>IF(RAND()&lt;$K$12,-$K$13*LN(1-RAND()),-$K$14*LN(1-RAND()))</f>
        <v/>
      </c>
    </row>
    <row r="185">
      <c r="A185" s="13" t="n">
        <v>181</v>
      </c>
      <c r="B185" s="14">
        <f>RAND()</f>
        <v/>
      </c>
      <c r="C185" s="16">
        <f>-$K$4*LN(1-B185)</f>
        <v/>
      </c>
      <c r="D185" s="16">
        <f>IF(B185&lt;$K$15,$K$5+SQRT(B185*($K$7-$K$5)*($K$6-$K$5)),$K$7-SQRT((1-B185)*($K$7-$K$5)*($K$7-$K$6)))</f>
        <v/>
      </c>
      <c r="E185" s="13">
        <f>INDEX($J$18:$J$22,MATCH(B185,$L$18:$L$22,1))</f>
        <v/>
      </c>
      <c r="F185" s="16">
        <f>-($K$9/$K$8)*LN(RAND()*RAND()*RAND())</f>
        <v/>
      </c>
      <c r="G185" s="16">
        <f>NORMINV(RAND(),$K$10,$K$11)</f>
        <v/>
      </c>
      <c r="H185" s="16">
        <f>IF(RAND()&lt;$K$12,-$K$13*LN(1-RAND()),-$K$14*LN(1-RAND()))</f>
        <v/>
      </c>
    </row>
    <row r="186">
      <c r="A186" s="13" t="n">
        <v>182</v>
      </c>
      <c r="B186" s="14">
        <f>RAND()</f>
        <v/>
      </c>
      <c r="C186" s="16">
        <f>-$K$4*LN(1-B186)</f>
        <v/>
      </c>
      <c r="D186" s="16">
        <f>IF(B186&lt;$K$15,$K$5+SQRT(B186*($K$7-$K$5)*($K$6-$K$5)),$K$7-SQRT((1-B186)*($K$7-$K$5)*($K$7-$K$6)))</f>
        <v/>
      </c>
      <c r="E186" s="13">
        <f>INDEX($J$18:$J$22,MATCH(B186,$L$18:$L$22,1))</f>
        <v/>
      </c>
      <c r="F186" s="16">
        <f>-($K$9/$K$8)*LN(RAND()*RAND()*RAND())</f>
        <v/>
      </c>
      <c r="G186" s="16">
        <f>NORMINV(RAND(),$K$10,$K$11)</f>
        <v/>
      </c>
      <c r="H186" s="16">
        <f>IF(RAND()&lt;$K$12,-$K$13*LN(1-RAND()),-$K$14*LN(1-RAND()))</f>
        <v/>
      </c>
    </row>
    <row r="187">
      <c r="A187" s="13" t="n">
        <v>183</v>
      </c>
      <c r="B187" s="14">
        <f>RAND()</f>
        <v/>
      </c>
      <c r="C187" s="16">
        <f>-$K$4*LN(1-B187)</f>
        <v/>
      </c>
      <c r="D187" s="16">
        <f>IF(B187&lt;$K$15,$K$5+SQRT(B187*($K$7-$K$5)*($K$6-$K$5)),$K$7-SQRT((1-B187)*($K$7-$K$5)*($K$7-$K$6)))</f>
        <v/>
      </c>
      <c r="E187" s="13">
        <f>INDEX($J$18:$J$22,MATCH(B187,$L$18:$L$22,1))</f>
        <v/>
      </c>
      <c r="F187" s="16">
        <f>-($K$9/$K$8)*LN(RAND()*RAND()*RAND())</f>
        <v/>
      </c>
      <c r="G187" s="16">
        <f>NORMINV(RAND(),$K$10,$K$11)</f>
        <v/>
      </c>
      <c r="H187" s="16">
        <f>IF(RAND()&lt;$K$12,-$K$13*LN(1-RAND()),-$K$14*LN(1-RAND()))</f>
        <v/>
      </c>
    </row>
    <row r="188">
      <c r="A188" s="13" t="n">
        <v>184</v>
      </c>
      <c r="B188" s="14">
        <f>RAND()</f>
        <v/>
      </c>
      <c r="C188" s="16">
        <f>-$K$4*LN(1-B188)</f>
        <v/>
      </c>
      <c r="D188" s="16">
        <f>IF(B188&lt;$K$15,$K$5+SQRT(B188*($K$7-$K$5)*($K$6-$K$5)),$K$7-SQRT((1-B188)*($K$7-$K$5)*($K$7-$K$6)))</f>
        <v/>
      </c>
      <c r="E188" s="13">
        <f>INDEX($J$18:$J$22,MATCH(B188,$L$18:$L$22,1))</f>
        <v/>
      </c>
      <c r="F188" s="16">
        <f>-($K$9/$K$8)*LN(RAND()*RAND()*RAND())</f>
        <v/>
      </c>
      <c r="G188" s="16">
        <f>NORMINV(RAND(),$K$10,$K$11)</f>
        <v/>
      </c>
      <c r="H188" s="16">
        <f>IF(RAND()&lt;$K$12,-$K$13*LN(1-RAND()),-$K$14*LN(1-RAND()))</f>
        <v/>
      </c>
    </row>
    <row r="189">
      <c r="A189" s="13" t="n">
        <v>185</v>
      </c>
      <c r="B189" s="14">
        <f>RAND()</f>
        <v/>
      </c>
      <c r="C189" s="16">
        <f>-$K$4*LN(1-B189)</f>
        <v/>
      </c>
      <c r="D189" s="16">
        <f>IF(B189&lt;$K$15,$K$5+SQRT(B189*($K$7-$K$5)*($K$6-$K$5)),$K$7-SQRT((1-B189)*($K$7-$K$5)*($K$7-$K$6)))</f>
        <v/>
      </c>
      <c r="E189" s="13">
        <f>INDEX($J$18:$J$22,MATCH(B189,$L$18:$L$22,1))</f>
        <v/>
      </c>
      <c r="F189" s="16">
        <f>-($K$9/$K$8)*LN(RAND()*RAND()*RAND())</f>
        <v/>
      </c>
      <c r="G189" s="16">
        <f>NORMINV(RAND(),$K$10,$K$11)</f>
        <v/>
      </c>
      <c r="H189" s="16">
        <f>IF(RAND()&lt;$K$12,-$K$13*LN(1-RAND()),-$K$14*LN(1-RAND()))</f>
        <v/>
      </c>
    </row>
    <row r="190">
      <c r="A190" s="13" t="n">
        <v>186</v>
      </c>
      <c r="B190" s="14">
        <f>RAND()</f>
        <v/>
      </c>
      <c r="C190" s="16">
        <f>-$K$4*LN(1-B190)</f>
        <v/>
      </c>
      <c r="D190" s="16">
        <f>IF(B190&lt;$K$15,$K$5+SQRT(B190*($K$7-$K$5)*($K$6-$K$5)),$K$7-SQRT((1-B190)*($K$7-$K$5)*($K$7-$K$6)))</f>
        <v/>
      </c>
      <c r="E190" s="13">
        <f>INDEX($J$18:$J$22,MATCH(B190,$L$18:$L$22,1))</f>
        <v/>
      </c>
      <c r="F190" s="16">
        <f>-($K$9/$K$8)*LN(RAND()*RAND()*RAND())</f>
        <v/>
      </c>
      <c r="G190" s="16">
        <f>NORMINV(RAND(),$K$10,$K$11)</f>
        <v/>
      </c>
      <c r="H190" s="16">
        <f>IF(RAND()&lt;$K$12,-$K$13*LN(1-RAND()),-$K$14*LN(1-RAND()))</f>
        <v/>
      </c>
    </row>
    <row r="191">
      <c r="A191" s="13" t="n">
        <v>187</v>
      </c>
      <c r="B191" s="14">
        <f>RAND()</f>
        <v/>
      </c>
      <c r="C191" s="16">
        <f>-$K$4*LN(1-B191)</f>
        <v/>
      </c>
      <c r="D191" s="16">
        <f>IF(B191&lt;$K$15,$K$5+SQRT(B191*($K$7-$K$5)*($K$6-$K$5)),$K$7-SQRT((1-B191)*($K$7-$K$5)*($K$7-$K$6)))</f>
        <v/>
      </c>
      <c r="E191" s="13">
        <f>INDEX($J$18:$J$22,MATCH(B191,$L$18:$L$22,1))</f>
        <v/>
      </c>
      <c r="F191" s="16">
        <f>-($K$9/$K$8)*LN(RAND()*RAND()*RAND())</f>
        <v/>
      </c>
      <c r="G191" s="16">
        <f>NORMINV(RAND(),$K$10,$K$11)</f>
        <v/>
      </c>
      <c r="H191" s="16">
        <f>IF(RAND()&lt;$K$12,-$K$13*LN(1-RAND()),-$K$14*LN(1-RAND()))</f>
        <v/>
      </c>
    </row>
    <row r="192">
      <c r="A192" s="13" t="n">
        <v>188</v>
      </c>
      <c r="B192" s="14">
        <f>RAND()</f>
        <v/>
      </c>
      <c r="C192" s="16">
        <f>-$K$4*LN(1-B192)</f>
        <v/>
      </c>
      <c r="D192" s="16">
        <f>IF(B192&lt;$K$15,$K$5+SQRT(B192*($K$7-$K$5)*($K$6-$K$5)),$K$7-SQRT((1-B192)*($K$7-$K$5)*($K$7-$K$6)))</f>
        <v/>
      </c>
      <c r="E192" s="13">
        <f>INDEX($J$18:$J$22,MATCH(B192,$L$18:$L$22,1))</f>
        <v/>
      </c>
      <c r="F192" s="16">
        <f>-($K$9/$K$8)*LN(RAND()*RAND()*RAND())</f>
        <v/>
      </c>
      <c r="G192" s="16">
        <f>NORMINV(RAND(),$K$10,$K$11)</f>
        <v/>
      </c>
      <c r="H192" s="16">
        <f>IF(RAND()&lt;$K$12,-$K$13*LN(1-RAND()),-$K$14*LN(1-RAND()))</f>
        <v/>
      </c>
    </row>
    <row r="193">
      <c r="A193" s="13" t="n">
        <v>189</v>
      </c>
      <c r="B193" s="14">
        <f>RAND()</f>
        <v/>
      </c>
      <c r="C193" s="16">
        <f>-$K$4*LN(1-B193)</f>
        <v/>
      </c>
      <c r="D193" s="16">
        <f>IF(B193&lt;$K$15,$K$5+SQRT(B193*($K$7-$K$5)*($K$6-$K$5)),$K$7-SQRT((1-B193)*($K$7-$K$5)*($K$7-$K$6)))</f>
        <v/>
      </c>
      <c r="E193" s="13">
        <f>INDEX($J$18:$J$22,MATCH(B193,$L$18:$L$22,1))</f>
        <v/>
      </c>
      <c r="F193" s="16">
        <f>-($K$9/$K$8)*LN(RAND()*RAND()*RAND())</f>
        <v/>
      </c>
      <c r="G193" s="16">
        <f>NORMINV(RAND(),$K$10,$K$11)</f>
        <v/>
      </c>
      <c r="H193" s="16">
        <f>IF(RAND()&lt;$K$12,-$K$13*LN(1-RAND()),-$K$14*LN(1-RAND()))</f>
        <v/>
      </c>
    </row>
    <row r="194">
      <c r="A194" s="13" t="n">
        <v>190</v>
      </c>
      <c r="B194" s="14">
        <f>RAND()</f>
        <v/>
      </c>
      <c r="C194" s="16">
        <f>-$K$4*LN(1-B194)</f>
        <v/>
      </c>
      <c r="D194" s="16">
        <f>IF(B194&lt;$K$15,$K$5+SQRT(B194*($K$7-$K$5)*($K$6-$K$5)),$K$7-SQRT((1-B194)*($K$7-$K$5)*($K$7-$K$6)))</f>
        <v/>
      </c>
      <c r="E194" s="13">
        <f>INDEX($J$18:$J$22,MATCH(B194,$L$18:$L$22,1))</f>
        <v/>
      </c>
      <c r="F194" s="16">
        <f>-($K$9/$K$8)*LN(RAND()*RAND()*RAND())</f>
        <v/>
      </c>
      <c r="G194" s="16">
        <f>NORMINV(RAND(),$K$10,$K$11)</f>
        <v/>
      </c>
      <c r="H194" s="16">
        <f>IF(RAND()&lt;$K$12,-$K$13*LN(1-RAND()),-$K$14*LN(1-RAND()))</f>
        <v/>
      </c>
    </row>
    <row r="195">
      <c r="A195" s="13" t="n">
        <v>191</v>
      </c>
      <c r="B195" s="14">
        <f>RAND()</f>
        <v/>
      </c>
      <c r="C195" s="16">
        <f>-$K$4*LN(1-B195)</f>
        <v/>
      </c>
      <c r="D195" s="16">
        <f>IF(B195&lt;$K$15,$K$5+SQRT(B195*($K$7-$K$5)*($K$6-$K$5)),$K$7-SQRT((1-B195)*($K$7-$K$5)*($K$7-$K$6)))</f>
        <v/>
      </c>
      <c r="E195" s="13">
        <f>INDEX($J$18:$J$22,MATCH(B195,$L$18:$L$22,1))</f>
        <v/>
      </c>
      <c r="F195" s="16">
        <f>-($K$9/$K$8)*LN(RAND()*RAND()*RAND())</f>
        <v/>
      </c>
      <c r="G195" s="16">
        <f>NORMINV(RAND(),$K$10,$K$11)</f>
        <v/>
      </c>
      <c r="H195" s="16">
        <f>IF(RAND()&lt;$K$12,-$K$13*LN(1-RAND()),-$K$14*LN(1-RAND()))</f>
        <v/>
      </c>
    </row>
    <row r="196">
      <c r="A196" s="13" t="n">
        <v>192</v>
      </c>
      <c r="B196" s="14">
        <f>RAND()</f>
        <v/>
      </c>
      <c r="C196" s="16">
        <f>-$K$4*LN(1-B196)</f>
        <v/>
      </c>
      <c r="D196" s="16">
        <f>IF(B196&lt;$K$15,$K$5+SQRT(B196*($K$7-$K$5)*($K$6-$K$5)),$K$7-SQRT((1-B196)*($K$7-$K$5)*($K$7-$K$6)))</f>
        <v/>
      </c>
      <c r="E196" s="13">
        <f>INDEX($J$18:$J$22,MATCH(B196,$L$18:$L$22,1))</f>
        <v/>
      </c>
      <c r="F196" s="16">
        <f>-($K$9/$K$8)*LN(RAND()*RAND()*RAND())</f>
        <v/>
      </c>
      <c r="G196" s="16">
        <f>NORMINV(RAND(),$K$10,$K$11)</f>
        <v/>
      </c>
      <c r="H196" s="16">
        <f>IF(RAND()&lt;$K$12,-$K$13*LN(1-RAND()),-$K$14*LN(1-RAND()))</f>
        <v/>
      </c>
    </row>
    <row r="197">
      <c r="A197" s="13" t="n">
        <v>193</v>
      </c>
      <c r="B197" s="14">
        <f>RAND()</f>
        <v/>
      </c>
      <c r="C197" s="16">
        <f>-$K$4*LN(1-B197)</f>
        <v/>
      </c>
      <c r="D197" s="16">
        <f>IF(B197&lt;$K$15,$K$5+SQRT(B197*($K$7-$K$5)*($K$6-$K$5)),$K$7-SQRT((1-B197)*($K$7-$K$5)*($K$7-$K$6)))</f>
        <v/>
      </c>
      <c r="E197" s="13">
        <f>INDEX($J$18:$J$22,MATCH(B197,$L$18:$L$22,1))</f>
        <v/>
      </c>
      <c r="F197" s="16">
        <f>-($K$9/$K$8)*LN(RAND()*RAND()*RAND())</f>
        <v/>
      </c>
      <c r="G197" s="16">
        <f>NORMINV(RAND(),$K$10,$K$11)</f>
        <v/>
      </c>
      <c r="H197" s="16">
        <f>IF(RAND()&lt;$K$12,-$K$13*LN(1-RAND()),-$K$14*LN(1-RAND()))</f>
        <v/>
      </c>
    </row>
    <row r="198">
      <c r="A198" s="13" t="n">
        <v>194</v>
      </c>
      <c r="B198" s="14">
        <f>RAND()</f>
        <v/>
      </c>
      <c r="C198" s="16">
        <f>-$K$4*LN(1-B198)</f>
        <v/>
      </c>
      <c r="D198" s="16">
        <f>IF(B198&lt;$K$15,$K$5+SQRT(B198*($K$7-$K$5)*($K$6-$K$5)),$K$7-SQRT((1-B198)*($K$7-$K$5)*($K$7-$K$6)))</f>
        <v/>
      </c>
      <c r="E198" s="13">
        <f>INDEX($J$18:$J$22,MATCH(B198,$L$18:$L$22,1))</f>
        <v/>
      </c>
      <c r="F198" s="16">
        <f>-($K$9/$K$8)*LN(RAND()*RAND()*RAND())</f>
        <v/>
      </c>
      <c r="G198" s="16">
        <f>NORMINV(RAND(),$K$10,$K$11)</f>
        <v/>
      </c>
      <c r="H198" s="16">
        <f>IF(RAND()&lt;$K$12,-$K$13*LN(1-RAND()),-$K$14*LN(1-RAND()))</f>
        <v/>
      </c>
    </row>
    <row r="199">
      <c r="A199" s="13" t="n">
        <v>195</v>
      </c>
      <c r="B199" s="14">
        <f>RAND()</f>
        <v/>
      </c>
      <c r="C199" s="16">
        <f>-$K$4*LN(1-B199)</f>
        <v/>
      </c>
      <c r="D199" s="16">
        <f>IF(B199&lt;$K$15,$K$5+SQRT(B199*($K$7-$K$5)*($K$6-$K$5)),$K$7-SQRT((1-B199)*($K$7-$K$5)*($K$7-$K$6)))</f>
        <v/>
      </c>
      <c r="E199" s="13">
        <f>INDEX($J$18:$J$22,MATCH(B199,$L$18:$L$22,1))</f>
        <v/>
      </c>
      <c r="F199" s="16">
        <f>-($K$9/$K$8)*LN(RAND()*RAND()*RAND())</f>
        <v/>
      </c>
      <c r="G199" s="16">
        <f>NORMINV(RAND(),$K$10,$K$11)</f>
        <v/>
      </c>
      <c r="H199" s="16">
        <f>IF(RAND()&lt;$K$12,-$K$13*LN(1-RAND()),-$K$14*LN(1-RAND()))</f>
        <v/>
      </c>
    </row>
    <row r="200">
      <c r="A200" s="13" t="n">
        <v>196</v>
      </c>
      <c r="B200" s="14">
        <f>RAND()</f>
        <v/>
      </c>
      <c r="C200" s="16">
        <f>-$K$4*LN(1-B200)</f>
        <v/>
      </c>
      <c r="D200" s="16">
        <f>IF(B200&lt;$K$15,$K$5+SQRT(B200*($K$7-$K$5)*($K$6-$K$5)),$K$7-SQRT((1-B200)*($K$7-$K$5)*($K$7-$K$6)))</f>
        <v/>
      </c>
      <c r="E200" s="13">
        <f>INDEX($J$18:$J$22,MATCH(B200,$L$18:$L$22,1))</f>
        <v/>
      </c>
      <c r="F200" s="16">
        <f>-($K$9/$K$8)*LN(RAND()*RAND()*RAND())</f>
        <v/>
      </c>
      <c r="G200" s="16">
        <f>NORMINV(RAND(),$K$10,$K$11)</f>
        <v/>
      </c>
      <c r="H200" s="16">
        <f>IF(RAND()&lt;$K$12,-$K$13*LN(1-RAND()),-$K$14*LN(1-RAND()))</f>
        <v/>
      </c>
    </row>
    <row r="201">
      <c r="A201" s="13" t="n">
        <v>197</v>
      </c>
      <c r="B201" s="14">
        <f>RAND()</f>
        <v/>
      </c>
      <c r="C201" s="16">
        <f>-$K$4*LN(1-B201)</f>
        <v/>
      </c>
      <c r="D201" s="16">
        <f>IF(B201&lt;$K$15,$K$5+SQRT(B201*($K$7-$K$5)*($K$6-$K$5)),$K$7-SQRT((1-B201)*($K$7-$K$5)*($K$7-$K$6)))</f>
        <v/>
      </c>
      <c r="E201" s="13">
        <f>INDEX($J$18:$J$22,MATCH(B201,$L$18:$L$22,1))</f>
        <v/>
      </c>
      <c r="F201" s="16">
        <f>-($K$9/$K$8)*LN(RAND()*RAND()*RAND())</f>
        <v/>
      </c>
      <c r="G201" s="16">
        <f>NORMINV(RAND(),$K$10,$K$11)</f>
        <v/>
      </c>
      <c r="H201" s="16">
        <f>IF(RAND()&lt;$K$12,-$K$13*LN(1-RAND()),-$K$14*LN(1-RAND()))</f>
        <v/>
      </c>
    </row>
    <row r="202">
      <c r="A202" s="13" t="n">
        <v>198</v>
      </c>
      <c r="B202" s="14">
        <f>RAND()</f>
        <v/>
      </c>
      <c r="C202" s="16">
        <f>-$K$4*LN(1-B202)</f>
        <v/>
      </c>
      <c r="D202" s="16">
        <f>IF(B202&lt;$K$15,$K$5+SQRT(B202*($K$7-$K$5)*($K$6-$K$5)),$K$7-SQRT((1-B202)*($K$7-$K$5)*($K$7-$K$6)))</f>
        <v/>
      </c>
      <c r="E202" s="13">
        <f>INDEX($J$18:$J$22,MATCH(B202,$L$18:$L$22,1))</f>
        <v/>
      </c>
      <c r="F202" s="16">
        <f>-($K$9/$K$8)*LN(RAND()*RAND()*RAND())</f>
        <v/>
      </c>
      <c r="G202" s="16">
        <f>NORMINV(RAND(),$K$10,$K$11)</f>
        <v/>
      </c>
      <c r="H202" s="16">
        <f>IF(RAND()&lt;$K$12,-$K$13*LN(1-RAND()),-$K$14*LN(1-RAND()))</f>
        <v/>
      </c>
    </row>
    <row r="203">
      <c r="A203" s="13" t="n">
        <v>199</v>
      </c>
      <c r="B203" s="14">
        <f>RAND()</f>
        <v/>
      </c>
      <c r="C203" s="16">
        <f>-$K$4*LN(1-B203)</f>
        <v/>
      </c>
      <c r="D203" s="16">
        <f>IF(B203&lt;$K$15,$K$5+SQRT(B203*($K$7-$K$5)*($K$6-$K$5)),$K$7-SQRT((1-B203)*($K$7-$K$5)*($K$7-$K$6)))</f>
        <v/>
      </c>
      <c r="E203" s="13">
        <f>INDEX($J$18:$J$22,MATCH(B203,$L$18:$L$22,1))</f>
        <v/>
      </c>
      <c r="F203" s="16">
        <f>-($K$9/$K$8)*LN(RAND()*RAND()*RAND())</f>
        <v/>
      </c>
      <c r="G203" s="16">
        <f>NORMINV(RAND(),$K$10,$K$11)</f>
        <v/>
      </c>
      <c r="H203" s="16">
        <f>IF(RAND()&lt;$K$12,-$K$13*LN(1-RAND()),-$K$14*LN(1-RAND()))</f>
        <v/>
      </c>
    </row>
    <row r="204">
      <c r="A204" s="13" t="n">
        <v>200</v>
      </c>
      <c r="B204" s="14">
        <f>RAND()</f>
        <v/>
      </c>
      <c r="C204" s="16">
        <f>-$K$4*LN(1-B204)</f>
        <v/>
      </c>
      <c r="D204" s="16">
        <f>IF(B204&lt;$K$15,$K$5+SQRT(B204*($K$7-$K$5)*($K$6-$K$5)),$K$7-SQRT((1-B204)*($K$7-$K$5)*($K$7-$K$6)))</f>
        <v/>
      </c>
      <c r="E204" s="13">
        <f>INDEX($J$18:$J$22,MATCH(B204,$L$18:$L$22,1))</f>
        <v/>
      </c>
      <c r="F204" s="16">
        <f>-($K$9/$K$8)*LN(RAND()*RAND()*RAND())</f>
        <v/>
      </c>
      <c r="G204" s="16">
        <f>NORMINV(RAND(),$K$10,$K$11)</f>
        <v/>
      </c>
      <c r="H204" s="16">
        <f>IF(RAND()&lt;$K$12,-$K$13*LN(1-RAND()),-$K$14*LN(1-RAND()))</f>
        <v/>
      </c>
    </row>
    <row r="205">
      <c r="A205" s="13" t="n">
        <v>201</v>
      </c>
      <c r="B205" s="14">
        <f>RAND()</f>
        <v/>
      </c>
      <c r="C205" s="16">
        <f>-$K$4*LN(1-B205)</f>
        <v/>
      </c>
      <c r="D205" s="16">
        <f>IF(B205&lt;$K$15,$K$5+SQRT(B205*($K$7-$K$5)*($K$6-$K$5)),$K$7-SQRT((1-B205)*($K$7-$K$5)*($K$7-$K$6)))</f>
        <v/>
      </c>
      <c r="E205" s="13">
        <f>INDEX($J$18:$J$22,MATCH(B205,$L$18:$L$22,1))</f>
        <v/>
      </c>
      <c r="F205" s="16">
        <f>-($K$9/$K$8)*LN(RAND()*RAND()*RAND())</f>
        <v/>
      </c>
      <c r="G205" s="16">
        <f>NORMINV(RAND(),$K$10,$K$11)</f>
        <v/>
      </c>
      <c r="H205" s="16">
        <f>IF(RAND()&lt;$K$12,-$K$13*LN(1-RAND()),-$K$14*LN(1-RAND()))</f>
        <v/>
      </c>
    </row>
    <row r="206">
      <c r="A206" s="13" t="n">
        <v>202</v>
      </c>
      <c r="B206" s="14">
        <f>RAND()</f>
        <v/>
      </c>
      <c r="C206" s="16">
        <f>-$K$4*LN(1-B206)</f>
        <v/>
      </c>
      <c r="D206" s="16">
        <f>IF(B206&lt;$K$15,$K$5+SQRT(B206*($K$7-$K$5)*($K$6-$K$5)),$K$7-SQRT((1-B206)*($K$7-$K$5)*($K$7-$K$6)))</f>
        <v/>
      </c>
      <c r="E206" s="13">
        <f>INDEX($J$18:$J$22,MATCH(B206,$L$18:$L$22,1))</f>
        <v/>
      </c>
      <c r="F206" s="16">
        <f>-($K$9/$K$8)*LN(RAND()*RAND()*RAND())</f>
        <v/>
      </c>
      <c r="G206" s="16">
        <f>NORMINV(RAND(),$K$10,$K$11)</f>
        <v/>
      </c>
      <c r="H206" s="16">
        <f>IF(RAND()&lt;$K$12,-$K$13*LN(1-RAND()),-$K$14*LN(1-RAND()))</f>
        <v/>
      </c>
    </row>
    <row r="207">
      <c r="A207" s="13" t="n">
        <v>203</v>
      </c>
      <c r="B207" s="14">
        <f>RAND()</f>
        <v/>
      </c>
      <c r="C207" s="16">
        <f>-$K$4*LN(1-B207)</f>
        <v/>
      </c>
      <c r="D207" s="16">
        <f>IF(B207&lt;$K$15,$K$5+SQRT(B207*($K$7-$K$5)*($K$6-$K$5)),$K$7-SQRT((1-B207)*($K$7-$K$5)*($K$7-$K$6)))</f>
        <v/>
      </c>
      <c r="E207" s="13">
        <f>INDEX($J$18:$J$22,MATCH(B207,$L$18:$L$22,1))</f>
        <v/>
      </c>
      <c r="F207" s="16">
        <f>-($K$9/$K$8)*LN(RAND()*RAND()*RAND())</f>
        <v/>
      </c>
      <c r="G207" s="16">
        <f>NORMINV(RAND(),$K$10,$K$11)</f>
        <v/>
      </c>
      <c r="H207" s="16">
        <f>IF(RAND()&lt;$K$12,-$K$13*LN(1-RAND()),-$K$14*LN(1-RAND()))</f>
        <v/>
      </c>
    </row>
    <row r="208">
      <c r="A208" s="13" t="n">
        <v>204</v>
      </c>
      <c r="B208" s="14">
        <f>RAND()</f>
        <v/>
      </c>
      <c r="C208" s="16">
        <f>-$K$4*LN(1-B208)</f>
        <v/>
      </c>
      <c r="D208" s="16">
        <f>IF(B208&lt;$K$15,$K$5+SQRT(B208*($K$7-$K$5)*($K$6-$K$5)),$K$7-SQRT((1-B208)*($K$7-$K$5)*($K$7-$K$6)))</f>
        <v/>
      </c>
      <c r="E208" s="13">
        <f>INDEX($J$18:$J$22,MATCH(B208,$L$18:$L$22,1))</f>
        <v/>
      </c>
      <c r="F208" s="16">
        <f>-($K$9/$K$8)*LN(RAND()*RAND()*RAND())</f>
        <v/>
      </c>
      <c r="G208" s="16">
        <f>NORMINV(RAND(),$K$10,$K$11)</f>
        <v/>
      </c>
      <c r="H208" s="16">
        <f>IF(RAND()&lt;$K$12,-$K$13*LN(1-RAND()),-$K$14*LN(1-RAND()))</f>
        <v/>
      </c>
    </row>
    <row r="209">
      <c r="A209" s="13" t="n">
        <v>205</v>
      </c>
      <c r="B209" s="14">
        <f>RAND()</f>
        <v/>
      </c>
      <c r="C209" s="16">
        <f>-$K$4*LN(1-B209)</f>
        <v/>
      </c>
      <c r="D209" s="16">
        <f>IF(B209&lt;$K$15,$K$5+SQRT(B209*($K$7-$K$5)*($K$6-$K$5)),$K$7-SQRT((1-B209)*($K$7-$K$5)*($K$7-$K$6)))</f>
        <v/>
      </c>
      <c r="E209" s="13">
        <f>INDEX($J$18:$J$22,MATCH(B209,$L$18:$L$22,1))</f>
        <v/>
      </c>
      <c r="F209" s="16">
        <f>-($K$9/$K$8)*LN(RAND()*RAND()*RAND())</f>
        <v/>
      </c>
      <c r="G209" s="16">
        <f>NORMINV(RAND(),$K$10,$K$11)</f>
        <v/>
      </c>
      <c r="H209" s="16">
        <f>IF(RAND()&lt;$K$12,-$K$13*LN(1-RAND()),-$K$14*LN(1-RAND()))</f>
        <v/>
      </c>
    </row>
    <row r="210">
      <c r="A210" s="13" t="n">
        <v>206</v>
      </c>
      <c r="B210" s="14">
        <f>RAND()</f>
        <v/>
      </c>
      <c r="C210" s="16">
        <f>-$K$4*LN(1-B210)</f>
        <v/>
      </c>
      <c r="D210" s="16">
        <f>IF(B210&lt;$K$15,$K$5+SQRT(B210*($K$7-$K$5)*($K$6-$K$5)),$K$7-SQRT((1-B210)*($K$7-$K$5)*($K$7-$K$6)))</f>
        <v/>
      </c>
      <c r="E210" s="13">
        <f>INDEX($J$18:$J$22,MATCH(B210,$L$18:$L$22,1))</f>
        <v/>
      </c>
      <c r="F210" s="16">
        <f>-($K$9/$K$8)*LN(RAND()*RAND()*RAND())</f>
        <v/>
      </c>
      <c r="G210" s="16">
        <f>NORMINV(RAND(),$K$10,$K$11)</f>
        <v/>
      </c>
      <c r="H210" s="16">
        <f>IF(RAND()&lt;$K$12,-$K$13*LN(1-RAND()),-$K$14*LN(1-RAND()))</f>
        <v/>
      </c>
    </row>
    <row r="211">
      <c r="A211" s="13" t="n">
        <v>207</v>
      </c>
      <c r="B211" s="14">
        <f>RAND()</f>
        <v/>
      </c>
      <c r="C211" s="16">
        <f>-$K$4*LN(1-B211)</f>
        <v/>
      </c>
      <c r="D211" s="16">
        <f>IF(B211&lt;$K$15,$K$5+SQRT(B211*($K$7-$K$5)*($K$6-$K$5)),$K$7-SQRT((1-B211)*($K$7-$K$5)*($K$7-$K$6)))</f>
        <v/>
      </c>
      <c r="E211" s="13">
        <f>INDEX($J$18:$J$22,MATCH(B211,$L$18:$L$22,1))</f>
        <v/>
      </c>
      <c r="F211" s="16">
        <f>-($K$9/$K$8)*LN(RAND()*RAND()*RAND())</f>
        <v/>
      </c>
      <c r="G211" s="16">
        <f>NORMINV(RAND(),$K$10,$K$11)</f>
        <v/>
      </c>
      <c r="H211" s="16">
        <f>IF(RAND()&lt;$K$12,-$K$13*LN(1-RAND()),-$K$14*LN(1-RAND()))</f>
        <v/>
      </c>
    </row>
    <row r="212">
      <c r="A212" s="13" t="n">
        <v>208</v>
      </c>
      <c r="B212" s="14">
        <f>RAND()</f>
        <v/>
      </c>
      <c r="C212" s="16">
        <f>-$K$4*LN(1-B212)</f>
        <v/>
      </c>
      <c r="D212" s="16">
        <f>IF(B212&lt;$K$15,$K$5+SQRT(B212*($K$7-$K$5)*($K$6-$K$5)),$K$7-SQRT((1-B212)*($K$7-$K$5)*($K$7-$K$6)))</f>
        <v/>
      </c>
      <c r="E212" s="13">
        <f>INDEX($J$18:$J$22,MATCH(B212,$L$18:$L$22,1))</f>
        <v/>
      </c>
      <c r="F212" s="16">
        <f>-($K$9/$K$8)*LN(RAND()*RAND()*RAND())</f>
        <v/>
      </c>
      <c r="G212" s="16">
        <f>NORMINV(RAND(),$K$10,$K$11)</f>
        <v/>
      </c>
      <c r="H212" s="16">
        <f>IF(RAND()&lt;$K$12,-$K$13*LN(1-RAND()),-$K$14*LN(1-RAND()))</f>
        <v/>
      </c>
    </row>
    <row r="213">
      <c r="A213" s="13" t="n">
        <v>209</v>
      </c>
      <c r="B213" s="14">
        <f>RAND()</f>
        <v/>
      </c>
      <c r="C213" s="16">
        <f>-$K$4*LN(1-B213)</f>
        <v/>
      </c>
      <c r="D213" s="16">
        <f>IF(B213&lt;$K$15,$K$5+SQRT(B213*($K$7-$K$5)*($K$6-$K$5)),$K$7-SQRT((1-B213)*($K$7-$K$5)*($K$7-$K$6)))</f>
        <v/>
      </c>
      <c r="E213" s="13">
        <f>INDEX($J$18:$J$22,MATCH(B213,$L$18:$L$22,1))</f>
        <v/>
      </c>
      <c r="F213" s="16">
        <f>-($K$9/$K$8)*LN(RAND()*RAND()*RAND())</f>
        <v/>
      </c>
      <c r="G213" s="16">
        <f>NORMINV(RAND(),$K$10,$K$11)</f>
        <v/>
      </c>
      <c r="H213" s="16">
        <f>IF(RAND()&lt;$K$12,-$K$13*LN(1-RAND()),-$K$14*LN(1-RAND()))</f>
        <v/>
      </c>
    </row>
    <row r="214">
      <c r="A214" s="13" t="n">
        <v>210</v>
      </c>
      <c r="B214" s="14">
        <f>RAND()</f>
        <v/>
      </c>
      <c r="C214" s="16">
        <f>-$K$4*LN(1-B214)</f>
        <v/>
      </c>
      <c r="D214" s="16">
        <f>IF(B214&lt;$K$15,$K$5+SQRT(B214*($K$7-$K$5)*($K$6-$K$5)),$K$7-SQRT((1-B214)*($K$7-$K$5)*($K$7-$K$6)))</f>
        <v/>
      </c>
      <c r="E214" s="13">
        <f>INDEX($J$18:$J$22,MATCH(B214,$L$18:$L$22,1))</f>
        <v/>
      </c>
      <c r="F214" s="16">
        <f>-($K$9/$K$8)*LN(RAND()*RAND()*RAND())</f>
        <v/>
      </c>
      <c r="G214" s="16">
        <f>NORMINV(RAND(),$K$10,$K$11)</f>
        <v/>
      </c>
      <c r="H214" s="16">
        <f>IF(RAND()&lt;$K$12,-$K$13*LN(1-RAND()),-$K$14*LN(1-RAND()))</f>
        <v/>
      </c>
    </row>
    <row r="215">
      <c r="A215" s="13" t="n">
        <v>211</v>
      </c>
      <c r="B215" s="14">
        <f>RAND()</f>
        <v/>
      </c>
      <c r="C215" s="16">
        <f>-$K$4*LN(1-B215)</f>
        <v/>
      </c>
      <c r="D215" s="16">
        <f>IF(B215&lt;$K$15,$K$5+SQRT(B215*($K$7-$K$5)*($K$6-$K$5)),$K$7-SQRT((1-B215)*($K$7-$K$5)*($K$7-$K$6)))</f>
        <v/>
      </c>
      <c r="E215" s="13">
        <f>INDEX($J$18:$J$22,MATCH(B215,$L$18:$L$22,1))</f>
        <v/>
      </c>
      <c r="F215" s="16">
        <f>-($K$9/$K$8)*LN(RAND()*RAND()*RAND())</f>
        <v/>
      </c>
      <c r="G215" s="16">
        <f>NORMINV(RAND(),$K$10,$K$11)</f>
        <v/>
      </c>
      <c r="H215" s="16">
        <f>IF(RAND()&lt;$K$12,-$K$13*LN(1-RAND()),-$K$14*LN(1-RAND()))</f>
        <v/>
      </c>
    </row>
    <row r="216">
      <c r="A216" s="13" t="n">
        <v>212</v>
      </c>
      <c r="B216" s="14">
        <f>RAND()</f>
        <v/>
      </c>
      <c r="C216" s="16">
        <f>-$K$4*LN(1-B216)</f>
        <v/>
      </c>
      <c r="D216" s="16">
        <f>IF(B216&lt;$K$15,$K$5+SQRT(B216*($K$7-$K$5)*($K$6-$K$5)),$K$7-SQRT((1-B216)*($K$7-$K$5)*($K$7-$K$6)))</f>
        <v/>
      </c>
      <c r="E216" s="13">
        <f>INDEX($J$18:$J$22,MATCH(B216,$L$18:$L$22,1))</f>
        <v/>
      </c>
      <c r="F216" s="16">
        <f>-($K$9/$K$8)*LN(RAND()*RAND()*RAND())</f>
        <v/>
      </c>
      <c r="G216" s="16">
        <f>NORMINV(RAND(),$K$10,$K$11)</f>
        <v/>
      </c>
      <c r="H216" s="16">
        <f>IF(RAND()&lt;$K$12,-$K$13*LN(1-RAND()),-$K$14*LN(1-RAND()))</f>
        <v/>
      </c>
    </row>
    <row r="217">
      <c r="A217" s="13" t="n">
        <v>213</v>
      </c>
      <c r="B217" s="14">
        <f>RAND()</f>
        <v/>
      </c>
      <c r="C217" s="16">
        <f>-$K$4*LN(1-B217)</f>
        <v/>
      </c>
      <c r="D217" s="16">
        <f>IF(B217&lt;$K$15,$K$5+SQRT(B217*($K$7-$K$5)*($K$6-$K$5)),$K$7-SQRT((1-B217)*($K$7-$K$5)*($K$7-$K$6)))</f>
        <v/>
      </c>
      <c r="E217" s="13">
        <f>INDEX($J$18:$J$22,MATCH(B217,$L$18:$L$22,1))</f>
        <v/>
      </c>
      <c r="F217" s="16">
        <f>-($K$9/$K$8)*LN(RAND()*RAND()*RAND())</f>
        <v/>
      </c>
      <c r="G217" s="16">
        <f>NORMINV(RAND(),$K$10,$K$11)</f>
        <v/>
      </c>
      <c r="H217" s="16">
        <f>IF(RAND()&lt;$K$12,-$K$13*LN(1-RAND()),-$K$14*LN(1-RAND()))</f>
        <v/>
      </c>
    </row>
    <row r="218">
      <c r="A218" s="13" t="n">
        <v>214</v>
      </c>
      <c r="B218" s="14">
        <f>RAND()</f>
        <v/>
      </c>
      <c r="C218" s="16">
        <f>-$K$4*LN(1-B218)</f>
        <v/>
      </c>
      <c r="D218" s="16">
        <f>IF(B218&lt;$K$15,$K$5+SQRT(B218*($K$7-$K$5)*($K$6-$K$5)),$K$7-SQRT((1-B218)*($K$7-$K$5)*($K$7-$K$6)))</f>
        <v/>
      </c>
      <c r="E218" s="13">
        <f>INDEX($J$18:$J$22,MATCH(B218,$L$18:$L$22,1))</f>
        <v/>
      </c>
      <c r="F218" s="16">
        <f>-($K$9/$K$8)*LN(RAND()*RAND()*RAND())</f>
        <v/>
      </c>
      <c r="G218" s="16">
        <f>NORMINV(RAND(),$K$10,$K$11)</f>
        <v/>
      </c>
      <c r="H218" s="16">
        <f>IF(RAND()&lt;$K$12,-$K$13*LN(1-RAND()),-$K$14*LN(1-RAND()))</f>
        <v/>
      </c>
    </row>
    <row r="219">
      <c r="A219" s="13" t="n">
        <v>215</v>
      </c>
      <c r="B219" s="14">
        <f>RAND()</f>
        <v/>
      </c>
      <c r="C219" s="16">
        <f>-$K$4*LN(1-B219)</f>
        <v/>
      </c>
      <c r="D219" s="16">
        <f>IF(B219&lt;$K$15,$K$5+SQRT(B219*($K$7-$K$5)*($K$6-$K$5)),$K$7-SQRT((1-B219)*($K$7-$K$5)*($K$7-$K$6)))</f>
        <v/>
      </c>
      <c r="E219" s="13">
        <f>INDEX($J$18:$J$22,MATCH(B219,$L$18:$L$22,1))</f>
        <v/>
      </c>
      <c r="F219" s="16">
        <f>-($K$9/$K$8)*LN(RAND()*RAND()*RAND())</f>
        <v/>
      </c>
      <c r="G219" s="16">
        <f>NORMINV(RAND(),$K$10,$K$11)</f>
        <v/>
      </c>
      <c r="H219" s="16">
        <f>IF(RAND()&lt;$K$12,-$K$13*LN(1-RAND()),-$K$14*LN(1-RAND()))</f>
        <v/>
      </c>
    </row>
    <row r="220">
      <c r="A220" s="13" t="n">
        <v>216</v>
      </c>
      <c r="B220" s="14">
        <f>RAND()</f>
        <v/>
      </c>
      <c r="C220" s="16">
        <f>-$K$4*LN(1-B220)</f>
        <v/>
      </c>
      <c r="D220" s="16">
        <f>IF(B220&lt;$K$15,$K$5+SQRT(B220*($K$7-$K$5)*($K$6-$K$5)),$K$7-SQRT((1-B220)*($K$7-$K$5)*($K$7-$K$6)))</f>
        <v/>
      </c>
      <c r="E220" s="13">
        <f>INDEX($J$18:$J$22,MATCH(B220,$L$18:$L$22,1))</f>
        <v/>
      </c>
      <c r="F220" s="16">
        <f>-($K$9/$K$8)*LN(RAND()*RAND()*RAND())</f>
        <v/>
      </c>
      <c r="G220" s="16">
        <f>NORMINV(RAND(),$K$10,$K$11)</f>
        <v/>
      </c>
      <c r="H220" s="16">
        <f>IF(RAND()&lt;$K$12,-$K$13*LN(1-RAND()),-$K$14*LN(1-RAND()))</f>
        <v/>
      </c>
    </row>
    <row r="221">
      <c r="A221" s="13" t="n">
        <v>217</v>
      </c>
      <c r="B221" s="14">
        <f>RAND()</f>
        <v/>
      </c>
      <c r="C221" s="16">
        <f>-$K$4*LN(1-B221)</f>
        <v/>
      </c>
      <c r="D221" s="16">
        <f>IF(B221&lt;$K$15,$K$5+SQRT(B221*($K$7-$K$5)*($K$6-$K$5)),$K$7-SQRT((1-B221)*($K$7-$K$5)*($K$7-$K$6)))</f>
        <v/>
      </c>
      <c r="E221" s="13">
        <f>INDEX($J$18:$J$22,MATCH(B221,$L$18:$L$22,1))</f>
        <v/>
      </c>
      <c r="F221" s="16">
        <f>-($K$9/$K$8)*LN(RAND()*RAND()*RAND())</f>
        <v/>
      </c>
      <c r="G221" s="16">
        <f>NORMINV(RAND(),$K$10,$K$11)</f>
        <v/>
      </c>
      <c r="H221" s="16">
        <f>IF(RAND()&lt;$K$12,-$K$13*LN(1-RAND()),-$K$14*LN(1-RAND()))</f>
        <v/>
      </c>
    </row>
    <row r="222">
      <c r="A222" s="13" t="n">
        <v>218</v>
      </c>
      <c r="B222" s="14">
        <f>RAND()</f>
        <v/>
      </c>
      <c r="C222" s="16">
        <f>-$K$4*LN(1-B222)</f>
        <v/>
      </c>
      <c r="D222" s="16">
        <f>IF(B222&lt;$K$15,$K$5+SQRT(B222*($K$7-$K$5)*($K$6-$K$5)),$K$7-SQRT((1-B222)*($K$7-$K$5)*($K$7-$K$6)))</f>
        <v/>
      </c>
      <c r="E222" s="13">
        <f>INDEX($J$18:$J$22,MATCH(B222,$L$18:$L$22,1))</f>
        <v/>
      </c>
      <c r="F222" s="16">
        <f>-($K$9/$K$8)*LN(RAND()*RAND()*RAND())</f>
        <v/>
      </c>
      <c r="G222" s="16">
        <f>NORMINV(RAND(),$K$10,$K$11)</f>
        <v/>
      </c>
      <c r="H222" s="16">
        <f>IF(RAND()&lt;$K$12,-$K$13*LN(1-RAND()),-$K$14*LN(1-RAND()))</f>
        <v/>
      </c>
    </row>
    <row r="223">
      <c r="A223" s="13" t="n">
        <v>219</v>
      </c>
      <c r="B223" s="14">
        <f>RAND()</f>
        <v/>
      </c>
      <c r="C223" s="16">
        <f>-$K$4*LN(1-B223)</f>
        <v/>
      </c>
      <c r="D223" s="16">
        <f>IF(B223&lt;$K$15,$K$5+SQRT(B223*($K$7-$K$5)*($K$6-$K$5)),$K$7-SQRT((1-B223)*($K$7-$K$5)*($K$7-$K$6)))</f>
        <v/>
      </c>
      <c r="E223" s="13">
        <f>INDEX($J$18:$J$22,MATCH(B223,$L$18:$L$22,1))</f>
        <v/>
      </c>
      <c r="F223" s="16">
        <f>-($K$9/$K$8)*LN(RAND()*RAND()*RAND())</f>
        <v/>
      </c>
      <c r="G223" s="16">
        <f>NORMINV(RAND(),$K$10,$K$11)</f>
        <v/>
      </c>
      <c r="H223" s="16">
        <f>IF(RAND()&lt;$K$12,-$K$13*LN(1-RAND()),-$K$14*LN(1-RAND()))</f>
        <v/>
      </c>
    </row>
    <row r="224">
      <c r="A224" s="13" t="n">
        <v>220</v>
      </c>
      <c r="B224" s="14">
        <f>RAND()</f>
        <v/>
      </c>
      <c r="C224" s="16">
        <f>-$K$4*LN(1-B224)</f>
        <v/>
      </c>
      <c r="D224" s="16">
        <f>IF(B224&lt;$K$15,$K$5+SQRT(B224*($K$7-$K$5)*($K$6-$K$5)),$K$7-SQRT((1-B224)*($K$7-$K$5)*($K$7-$K$6)))</f>
        <v/>
      </c>
      <c r="E224" s="13">
        <f>INDEX($J$18:$J$22,MATCH(B224,$L$18:$L$22,1))</f>
        <v/>
      </c>
      <c r="F224" s="16">
        <f>-($K$9/$K$8)*LN(RAND()*RAND()*RAND())</f>
        <v/>
      </c>
      <c r="G224" s="16">
        <f>NORMINV(RAND(),$K$10,$K$11)</f>
        <v/>
      </c>
      <c r="H224" s="16">
        <f>IF(RAND()&lt;$K$12,-$K$13*LN(1-RAND()),-$K$14*LN(1-RAND()))</f>
        <v/>
      </c>
    </row>
    <row r="225">
      <c r="A225" s="13" t="n">
        <v>221</v>
      </c>
      <c r="B225" s="14">
        <f>RAND()</f>
        <v/>
      </c>
      <c r="C225" s="16">
        <f>-$K$4*LN(1-B225)</f>
        <v/>
      </c>
      <c r="D225" s="16">
        <f>IF(B225&lt;$K$15,$K$5+SQRT(B225*($K$7-$K$5)*($K$6-$K$5)),$K$7-SQRT((1-B225)*($K$7-$K$5)*($K$7-$K$6)))</f>
        <v/>
      </c>
      <c r="E225" s="13">
        <f>INDEX($J$18:$J$22,MATCH(B225,$L$18:$L$22,1))</f>
        <v/>
      </c>
      <c r="F225" s="16">
        <f>-($K$9/$K$8)*LN(RAND()*RAND()*RAND())</f>
        <v/>
      </c>
      <c r="G225" s="16">
        <f>NORMINV(RAND(),$K$10,$K$11)</f>
        <v/>
      </c>
      <c r="H225" s="16">
        <f>IF(RAND()&lt;$K$12,-$K$13*LN(1-RAND()),-$K$14*LN(1-RAND()))</f>
        <v/>
      </c>
    </row>
    <row r="226">
      <c r="A226" s="13" t="n">
        <v>222</v>
      </c>
      <c r="B226" s="14">
        <f>RAND()</f>
        <v/>
      </c>
      <c r="C226" s="16">
        <f>-$K$4*LN(1-B226)</f>
        <v/>
      </c>
      <c r="D226" s="16">
        <f>IF(B226&lt;$K$15,$K$5+SQRT(B226*($K$7-$K$5)*($K$6-$K$5)),$K$7-SQRT((1-B226)*($K$7-$K$5)*($K$7-$K$6)))</f>
        <v/>
      </c>
      <c r="E226" s="13">
        <f>INDEX($J$18:$J$22,MATCH(B226,$L$18:$L$22,1))</f>
        <v/>
      </c>
      <c r="F226" s="16">
        <f>-($K$9/$K$8)*LN(RAND()*RAND()*RAND())</f>
        <v/>
      </c>
      <c r="G226" s="16">
        <f>NORMINV(RAND(),$K$10,$K$11)</f>
        <v/>
      </c>
      <c r="H226" s="16">
        <f>IF(RAND()&lt;$K$12,-$K$13*LN(1-RAND()),-$K$14*LN(1-RAND()))</f>
        <v/>
      </c>
    </row>
    <row r="227">
      <c r="A227" s="13" t="n">
        <v>223</v>
      </c>
      <c r="B227" s="14">
        <f>RAND()</f>
        <v/>
      </c>
      <c r="C227" s="16">
        <f>-$K$4*LN(1-B227)</f>
        <v/>
      </c>
      <c r="D227" s="16">
        <f>IF(B227&lt;$K$15,$K$5+SQRT(B227*($K$7-$K$5)*($K$6-$K$5)),$K$7-SQRT((1-B227)*($K$7-$K$5)*($K$7-$K$6)))</f>
        <v/>
      </c>
      <c r="E227" s="13">
        <f>INDEX($J$18:$J$22,MATCH(B227,$L$18:$L$22,1))</f>
        <v/>
      </c>
      <c r="F227" s="16">
        <f>-($K$9/$K$8)*LN(RAND()*RAND()*RAND())</f>
        <v/>
      </c>
      <c r="G227" s="16">
        <f>NORMINV(RAND(),$K$10,$K$11)</f>
        <v/>
      </c>
      <c r="H227" s="16">
        <f>IF(RAND()&lt;$K$12,-$K$13*LN(1-RAND()),-$K$14*LN(1-RAND()))</f>
        <v/>
      </c>
    </row>
    <row r="228">
      <c r="A228" s="13" t="n">
        <v>224</v>
      </c>
      <c r="B228" s="14">
        <f>RAND()</f>
        <v/>
      </c>
      <c r="C228" s="16">
        <f>-$K$4*LN(1-B228)</f>
        <v/>
      </c>
      <c r="D228" s="16">
        <f>IF(B228&lt;$K$15,$K$5+SQRT(B228*($K$7-$K$5)*($K$6-$K$5)),$K$7-SQRT((1-B228)*($K$7-$K$5)*($K$7-$K$6)))</f>
        <v/>
      </c>
      <c r="E228" s="13">
        <f>INDEX($J$18:$J$22,MATCH(B228,$L$18:$L$22,1))</f>
        <v/>
      </c>
      <c r="F228" s="16">
        <f>-($K$9/$K$8)*LN(RAND()*RAND()*RAND())</f>
        <v/>
      </c>
      <c r="G228" s="16">
        <f>NORMINV(RAND(),$K$10,$K$11)</f>
        <v/>
      </c>
      <c r="H228" s="16">
        <f>IF(RAND()&lt;$K$12,-$K$13*LN(1-RAND()),-$K$14*LN(1-RAND()))</f>
        <v/>
      </c>
    </row>
    <row r="229">
      <c r="A229" s="13" t="n">
        <v>225</v>
      </c>
      <c r="B229" s="14">
        <f>RAND()</f>
        <v/>
      </c>
      <c r="C229" s="16">
        <f>-$K$4*LN(1-B229)</f>
        <v/>
      </c>
      <c r="D229" s="16">
        <f>IF(B229&lt;$K$15,$K$5+SQRT(B229*($K$7-$K$5)*($K$6-$K$5)),$K$7-SQRT((1-B229)*($K$7-$K$5)*($K$7-$K$6)))</f>
        <v/>
      </c>
      <c r="E229" s="13">
        <f>INDEX($J$18:$J$22,MATCH(B229,$L$18:$L$22,1))</f>
        <v/>
      </c>
      <c r="F229" s="16">
        <f>-($K$9/$K$8)*LN(RAND()*RAND()*RAND())</f>
        <v/>
      </c>
      <c r="G229" s="16">
        <f>NORMINV(RAND(),$K$10,$K$11)</f>
        <v/>
      </c>
      <c r="H229" s="16">
        <f>IF(RAND()&lt;$K$12,-$K$13*LN(1-RAND()),-$K$14*LN(1-RAND()))</f>
        <v/>
      </c>
    </row>
    <row r="230">
      <c r="A230" s="13" t="n">
        <v>226</v>
      </c>
      <c r="B230" s="14">
        <f>RAND()</f>
        <v/>
      </c>
      <c r="C230" s="16">
        <f>-$K$4*LN(1-B230)</f>
        <v/>
      </c>
      <c r="D230" s="16">
        <f>IF(B230&lt;$K$15,$K$5+SQRT(B230*($K$7-$K$5)*($K$6-$K$5)),$K$7-SQRT((1-B230)*($K$7-$K$5)*($K$7-$K$6)))</f>
        <v/>
      </c>
      <c r="E230" s="13">
        <f>INDEX($J$18:$J$22,MATCH(B230,$L$18:$L$22,1))</f>
        <v/>
      </c>
      <c r="F230" s="16">
        <f>-($K$9/$K$8)*LN(RAND()*RAND()*RAND())</f>
        <v/>
      </c>
      <c r="G230" s="16">
        <f>NORMINV(RAND(),$K$10,$K$11)</f>
        <v/>
      </c>
      <c r="H230" s="16">
        <f>IF(RAND()&lt;$K$12,-$K$13*LN(1-RAND()),-$K$14*LN(1-RAND()))</f>
        <v/>
      </c>
    </row>
    <row r="231">
      <c r="A231" s="13" t="n">
        <v>227</v>
      </c>
      <c r="B231" s="14">
        <f>RAND()</f>
        <v/>
      </c>
      <c r="C231" s="16">
        <f>-$K$4*LN(1-B231)</f>
        <v/>
      </c>
      <c r="D231" s="16">
        <f>IF(B231&lt;$K$15,$K$5+SQRT(B231*($K$7-$K$5)*($K$6-$K$5)),$K$7-SQRT((1-B231)*($K$7-$K$5)*($K$7-$K$6)))</f>
        <v/>
      </c>
      <c r="E231" s="13">
        <f>INDEX($J$18:$J$22,MATCH(B231,$L$18:$L$22,1))</f>
        <v/>
      </c>
      <c r="F231" s="16">
        <f>-($K$9/$K$8)*LN(RAND()*RAND()*RAND())</f>
        <v/>
      </c>
      <c r="G231" s="16">
        <f>NORMINV(RAND(),$K$10,$K$11)</f>
        <v/>
      </c>
      <c r="H231" s="16">
        <f>IF(RAND()&lt;$K$12,-$K$13*LN(1-RAND()),-$K$14*LN(1-RAND()))</f>
        <v/>
      </c>
    </row>
    <row r="232">
      <c r="A232" s="13" t="n">
        <v>228</v>
      </c>
      <c r="B232" s="14">
        <f>RAND()</f>
        <v/>
      </c>
      <c r="C232" s="16">
        <f>-$K$4*LN(1-B232)</f>
        <v/>
      </c>
      <c r="D232" s="16">
        <f>IF(B232&lt;$K$15,$K$5+SQRT(B232*($K$7-$K$5)*($K$6-$K$5)),$K$7-SQRT((1-B232)*($K$7-$K$5)*($K$7-$K$6)))</f>
        <v/>
      </c>
      <c r="E232" s="13">
        <f>INDEX($J$18:$J$22,MATCH(B232,$L$18:$L$22,1))</f>
        <v/>
      </c>
      <c r="F232" s="16">
        <f>-($K$9/$K$8)*LN(RAND()*RAND()*RAND())</f>
        <v/>
      </c>
      <c r="G232" s="16">
        <f>NORMINV(RAND(),$K$10,$K$11)</f>
        <v/>
      </c>
      <c r="H232" s="16">
        <f>IF(RAND()&lt;$K$12,-$K$13*LN(1-RAND()),-$K$14*LN(1-RAND()))</f>
        <v/>
      </c>
    </row>
    <row r="233">
      <c r="A233" s="13" t="n">
        <v>229</v>
      </c>
      <c r="B233" s="14">
        <f>RAND()</f>
        <v/>
      </c>
      <c r="C233" s="16">
        <f>-$K$4*LN(1-B233)</f>
        <v/>
      </c>
      <c r="D233" s="16">
        <f>IF(B233&lt;$K$15,$K$5+SQRT(B233*($K$7-$K$5)*($K$6-$K$5)),$K$7-SQRT((1-B233)*($K$7-$K$5)*($K$7-$K$6)))</f>
        <v/>
      </c>
      <c r="E233" s="13">
        <f>INDEX($J$18:$J$22,MATCH(B233,$L$18:$L$22,1))</f>
        <v/>
      </c>
      <c r="F233" s="16">
        <f>-($K$9/$K$8)*LN(RAND()*RAND()*RAND())</f>
        <v/>
      </c>
      <c r="G233" s="16">
        <f>NORMINV(RAND(),$K$10,$K$11)</f>
        <v/>
      </c>
      <c r="H233" s="16">
        <f>IF(RAND()&lt;$K$12,-$K$13*LN(1-RAND()),-$K$14*LN(1-RAND()))</f>
        <v/>
      </c>
    </row>
    <row r="234">
      <c r="A234" s="13" t="n">
        <v>230</v>
      </c>
      <c r="B234" s="14">
        <f>RAND()</f>
        <v/>
      </c>
      <c r="C234" s="16">
        <f>-$K$4*LN(1-B234)</f>
        <v/>
      </c>
      <c r="D234" s="16">
        <f>IF(B234&lt;$K$15,$K$5+SQRT(B234*($K$7-$K$5)*($K$6-$K$5)),$K$7-SQRT((1-B234)*($K$7-$K$5)*($K$7-$K$6)))</f>
        <v/>
      </c>
      <c r="E234" s="13">
        <f>INDEX($J$18:$J$22,MATCH(B234,$L$18:$L$22,1))</f>
        <v/>
      </c>
      <c r="F234" s="16">
        <f>-($K$9/$K$8)*LN(RAND()*RAND()*RAND())</f>
        <v/>
      </c>
      <c r="G234" s="16">
        <f>NORMINV(RAND(),$K$10,$K$11)</f>
        <v/>
      </c>
      <c r="H234" s="16">
        <f>IF(RAND()&lt;$K$12,-$K$13*LN(1-RAND()),-$K$14*LN(1-RAND()))</f>
        <v/>
      </c>
    </row>
    <row r="235">
      <c r="A235" s="13" t="n">
        <v>231</v>
      </c>
      <c r="B235" s="14">
        <f>RAND()</f>
        <v/>
      </c>
      <c r="C235" s="16">
        <f>-$K$4*LN(1-B235)</f>
        <v/>
      </c>
      <c r="D235" s="16">
        <f>IF(B235&lt;$K$15,$K$5+SQRT(B235*($K$7-$K$5)*($K$6-$K$5)),$K$7-SQRT((1-B235)*($K$7-$K$5)*($K$7-$K$6)))</f>
        <v/>
      </c>
      <c r="E235" s="13">
        <f>INDEX($J$18:$J$22,MATCH(B235,$L$18:$L$22,1))</f>
        <v/>
      </c>
      <c r="F235" s="16">
        <f>-($K$9/$K$8)*LN(RAND()*RAND()*RAND())</f>
        <v/>
      </c>
      <c r="G235" s="16">
        <f>NORMINV(RAND(),$K$10,$K$11)</f>
        <v/>
      </c>
      <c r="H235" s="16">
        <f>IF(RAND()&lt;$K$12,-$K$13*LN(1-RAND()),-$K$14*LN(1-RAND()))</f>
        <v/>
      </c>
    </row>
    <row r="236">
      <c r="A236" s="13" t="n">
        <v>232</v>
      </c>
      <c r="B236" s="14">
        <f>RAND()</f>
        <v/>
      </c>
      <c r="C236" s="16">
        <f>-$K$4*LN(1-B236)</f>
        <v/>
      </c>
      <c r="D236" s="16">
        <f>IF(B236&lt;$K$15,$K$5+SQRT(B236*($K$7-$K$5)*($K$6-$K$5)),$K$7-SQRT((1-B236)*($K$7-$K$5)*($K$7-$K$6)))</f>
        <v/>
      </c>
      <c r="E236" s="13">
        <f>INDEX($J$18:$J$22,MATCH(B236,$L$18:$L$22,1))</f>
        <v/>
      </c>
      <c r="F236" s="16">
        <f>-($K$9/$K$8)*LN(RAND()*RAND()*RAND())</f>
        <v/>
      </c>
      <c r="G236" s="16">
        <f>NORMINV(RAND(),$K$10,$K$11)</f>
        <v/>
      </c>
      <c r="H236" s="16">
        <f>IF(RAND()&lt;$K$12,-$K$13*LN(1-RAND()),-$K$14*LN(1-RAND()))</f>
        <v/>
      </c>
    </row>
    <row r="237">
      <c r="A237" s="13" t="n">
        <v>233</v>
      </c>
      <c r="B237" s="14">
        <f>RAND()</f>
        <v/>
      </c>
      <c r="C237" s="16">
        <f>-$K$4*LN(1-B237)</f>
        <v/>
      </c>
      <c r="D237" s="16">
        <f>IF(B237&lt;$K$15,$K$5+SQRT(B237*($K$7-$K$5)*($K$6-$K$5)),$K$7-SQRT((1-B237)*($K$7-$K$5)*($K$7-$K$6)))</f>
        <v/>
      </c>
      <c r="E237" s="13">
        <f>INDEX($J$18:$J$22,MATCH(B237,$L$18:$L$22,1))</f>
        <v/>
      </c>
      <c r="F237" s="16">
        <f>-($K$9/$K$8)*LN(RAND()*RAND()*RAND())</f>
        <v/>
      </c>
      <c r="G237" s="16">
        <f>NORMINV(RAND(),$K$10,$K$11)</f>
        <v/>
      </c>
      <c r="H237" s="16">
        <f>IF(RAND()&lt;$K$12,-$K$13*LN(1-RAND()),-$K$14*LN(1-RAND()))</f>
        <v/>
      </c>
    </row>
    <row r="238">
      <c r="A238" s="13" t="n">
        <v>234</v>
      </c>
      <c r="B238" s="14">
        <f>RAND()</f>
        <v/>
      </c>
      <c r="C238" s="16">
        <f>-$K$4*LN(1-B238)</f>
        <v/>
      </c>
      <c r="D238" s="16">
        <f>IF(B238&lt;$K$15,$K$5+SQRT(B238*($K$7-$K$5)*($K$6-$K$5)),$K$7-SQRT((1-B238)*($K$7-$K$5)*($K$7-$K$6)))</f>
        <v/>
      </c>
      <c r="E238" s="13">
        <f>INDEX($J$18:$J$22,MATCH(B238,$L$18:$L$22,1))</f>
        <v/>
      </c>
      <c r="F238" s="16">
        <f>-($K$9/$K$8)*LN(RAND()*RAND()*RAND())</f>
        <v/>
      </c>
      <c r="G238" s="16">
        <f>NORMINV(RAND(),$K$10,$K$11)</f>
        <v/>
      </c>
      <c r="H238" s="16">
        <f>IF(RAND()&lt;$K$12,-$K$13*LN(1-RAND()),-$K$14*LN(1-RAND()))</f>
        <v/>
      </c>
    </row>
    <row r="239">
      <c r="A239" s="13" t="n">
        <v>235</v>
      </c>
      <c r="B239" s="14">
        <f>RAND()</f>
        <v/>
      </c>
      <c r="C239" s="16">
        <f>-$K$4*LN(1-B239)</f>
        <v/>
      </c>
      <c r="D239" s="16">
        <f>IF(B239&lt;$K$15,$K$5+SQRT(B239*($K$7-$K$5)*($K$6-$K$5)),$K$7-SQRT((1-B239)*($K$7-$K$5)*($K$7-$K$6)))</f>
        <v/>
      </c>
      <c r="E239" s="13">
        <f>INDEX($J$18:$J$22,MATCH(B239,$L$18:$L$22,1))</f>
        <v/>
      </c>
      <c r="F239" s="16">
        <f>-($K$9/$K$8)*LN(RAND()*RAND()*RAND())</f>
        <v/>
      </c>
      <c r="G239" s="16">
        <f>NORMINV(RAND(),$K$10,$K$11)</f>
        <v/>
      </c>
      <c r="H239" s="16">
        <f>IF(RAND()&lt;$K$12,-$K$13*LN(1-RAND()),-$K$14*LN(1-RAND()))</f>
        <v/>
      </c>
    </row>
    <row r="240">
      <c r="A240" s="13" t="n">
        <v>236</v>
      </c>
      <c r="B240" s="14">
        <f>RAND()</f>
        <v/>
      </c>
      <c r="C240" s="16">
        <f>-$K$4*LN(1-B240)</f>
        <v/>
      </c>
      <c r="D240" s="16">
        <f>IF(B240&lt;$K$15,$K$5+SQRT(B240*($K$7-$K$5)*($K$6-$K$5)),$K$7-SQRT((1-B240)*($K$7-$K$5)*($K$7-$K$6)))</f>
        <v/>
      </c>
      <c r="E240" s="13">
        <f>INDEX($J$18:$J$22,MATCH(B240,$L$18:$L$22,1))</f>
        <v/>
      </c>
      <c r="F240" s="16">
        <f>-($K$9/$K$8)*LN(RAND()*RAND()*RAND())</f>
        <v/>
      </c>
      <c r="G240" s="16">
        <f>NORMINV(RAND(),$K$10,$K$11)</f>
        <v/>
      </c>
      <c r="H240" s="16">
        <f>IF(RAND()&lt;$K$12,-$K$13*LN(1-RAND()),-$K$14*LN(1-RAND()))</f>
        <v/>
      </c>
    </row>
    <row r="241">
      <c r="A241" s="13" t="n">
        <v>237</v>
      </c>
      <c r="B241" s="14">
        <f>RAND()</f>
        <v/>
      </c>
      <c r="C241" s="16">
        <f>-$K$4*LN(1-B241)</f>
        <v/>
      </c>
      <c r="D241" s="16">
        <f>IF(B241&lt;$K$15,$K$5+SQRT(B241*($K$7-$K$5)*($K$6-$K$5)),$K$7-SQRT((1-B241)*($K$7-$K$5)*($K$7-$K$6)))</f>
        <v/>
      </c>
      <c r="E241" s="13">
        <f>INDEX($J$18:$J$22,MATCH(B241,$L$18:$L$22,1))</f>
        <v/>
      </c>
      <c r="F241" s="16">
        <f>-($K$9/$K$8)*LN(RAND()*RAND()*RAND())</f>
        <v/>
      </c>
      <c r="G241" s="16">
        <f>NORMINV(RAND(),$K$10,$K$11)</f>
        <v/>
      </c>
      <c r="H241" s="16">
        <f>IF(RAND()&lt;$K$12,-$K$13*LN(1-RAND()),-$K$14*LN(1-RAND()))</f>
        <v/>
      </c>
    </row>
    <row r="242">
      <c r="A242" s="13" t="n">
        <v>238</v>
      </c>
      <c r="B242" s="14">
        <f>RAND()</f>
        <v/>
      </c>
      <c r="C242" s="16">
        <f>-$K$4*LN(1-B242)</f>
        <v/>
      </c>
      <c r="D242" s="16">
        <f>IF(B242&lt;$K$15,$K$5+SQRT(B242*($K$7-$K$5)*($K$6-$K$5)),$K$7-SQRT((1-B242)*($K$7-$K$5)*($K$7-$K$6)))</f>
        <v/>
      </c>
      <c r="E242" s="13">
        <f>INDEX($J$18:$J$22,MATCH(B242,$L$18:$L$22,1))</f>
        <v/>
      </c>
      <c r="F242" s="16">
        <f>-($K$9/$K$8)*LN(RAND()*RAND()*RAND())</f>
        <v/>
      </c>
      <c r="G242" s="16">
        <f>NORMINV(RAND(),$K$10,$K$11)</f>
        <v/>
      </c>
      <c r="H242" s="16">
        <f>IF(RAND()&lt;$K$12,-$K$13*LN(1-RAND()),-$K$14*LN(1-RAND()))</f>
        <v/>
      </c>
    </row>
    <row r="243">
      <c r="A243" s="13" t="n">
        <v>239</v>
      </c>
      <c r="B243" s="14">
        <f>RAND()</f>
        <v/>
      </c>
      <c r="C243" s="16">
        <f>-$K$4*LN(1-B243)</f>
        <v/>
      </c>
      <c r="D243" s="16">
        <f>IF(B243&lt;$K$15,$K$5+SQRT(B243*($K$7-$K$5)*($K$6-$K$5)),$K$7-SQRT((1-B243)*($K$7-$K$5)*($K$7-$K$6)))</f>
        <v/>
      </c>
      <c r="E243" s="13">
        <f>INDEX($J$18:$J$22,MATCH(B243,$L$18:$L$22,1))</f>
        <v/>
      </c>
      <c r="F243" s="16">
        <f>-($K$9/$K$8)*LN(RAND()*RAND()*RAND())</f>
        <v/>
      </c>
      <c r="G243" s="16">
        <f>NORMINV(RAND(),$K$10,$K$11)</f>
        <v/>
      </c>
      <c r="H243" s="16">
        <f>IF(RAND()&lt;$K$12,-$K$13*LN(1-RAND()),-$K$14*LN(1-RAND()))</f>
        <v/>
      </c>
    </row>
    <row r="244">
      <c r="A244" s="13" t="n">
        <v>240</v>
      </c>
      <c r="B244" s="14">
        <f>RAND()</f>
        <v/>
      </c>
      <c r="C244" s="16">
        <f>-$K$4*LN(1-B244)</f>
        <v/>
      </c>
      <c r="D244" s="16">
        <f>IF(B244&lt;$K$15,$K$5+SQRT(B244*($K$7-$K$5)*($K$6-$K$5)),$K$7-SQRT((1-B244)*($K$7-$K$5)*($K$7-$K$6)))</f>
        <v/>
      </c>
      <c r="E244" s="13">
        <f>INDEX($J$18:$J$22,MATCH(B244,$L$18:$L$22,1))</f>
        <v/>
      </c>
      <c r="F244" s="16">
        <f>-($K$9/$K$8)*LN(RAND()*RAND()*RAND())</f>
        <v/>
      </c>
      <c r="G244" s="16">
        <f>NORMINV(RAND(),$K$10,$K$11)</f>
        <v/>
      </c>
      <c r="H244" s="16">
        <f>IF(RAND()&lt;$K$12,-$K$13*LN(1-RAND()),-$K$14*LN(1-RAND()))</f>
        <v/>
      </c>
    </row>
    <row r="245">
      <c r="A245" s="13" t="n">
        <v>241</v>
      </c>
      <c r="B245" s="14">
        <f>RAND()</f>
        <v/>
      </c>
      <c r="C245" s="16">
        <f>-$K$4*LN(1-B245)</f>
        <v/>
      </c>
      <c r="D245" s="16">
        <f>IF(B245&lt;$K$15,$K$5+SQRT(B245*($K$7-$K$5)*($K$6-$K$5)),$K$7-SQRT((1-B245)*($K$7-$K$5)*($K$7-$K$6)))</f>
        <v/>
      </c>
      <c r="E245" s="13">
        <f>INDEX($J$18:$J$22,MATCH(B245,$L$18:$L$22,1))</f>
        <v/>
      </c>
      <c r="F245" s="16">
        <f>-($K$9/$K$8)*LN(RAND()*RAND()*RAND())</f>
        <v/>
      </c>
      <c r="G245" s="16">
        <f>NORMINV(RAND(),$K$10,$K$11)</f>
        <v/>
      </c>
      <c r="H245" s="16">
        <f>IF(RAND()&lt;$K$12,-$K$13*LN(1-RAND()),-$K$14*LN(1-RAND()))</f>
        <v/>
      </c>
    </row>
    <row r="246">
      <c r="A246" s="13" t="n">
        <v>242</v>
      </c>
      <c r="B246" s="14">
        <f>RAND()</f>
        <v/>
      </c>
      <c r="C246" s="16">
        <f>-$K$4*LN(1-B246)</f>
        <v/>
      </c>
      <c r="D246" s="16">
        <f>IF(B246&lt;$K$15,$K$5+SQRT(B246*($K$7-$K$5)*($K$6-$K$5)),$K$7-SQRT((1-B246)*($K$7-$K$5)*($K$7-$K$6)))</f>
        <v/>
      </c>
      <c r="E246" s="13">
        <f>INDEX($J$18:$J$22,MATCH(B246,$L$18:$L$22,1))</f>
        <v/>
      </c>
      <c r="F246" s="16">
        <f>-($K$9/$K$8)*LN(RAND()*RAND()*RAND())</f>
        <v/>
      </c>
      <c r="G246" s="16">
        <f>NORMINV(RAND(),$K$10,$K$11)</f>
        <v/>
      </c>
      <c r="H246" s="16">
        <f>IF(RAND()&lt;$K$12,-$K$13*LN(1-RAND()),-$K$14*LN(1-RAND()))</f>
        <v/>
      </c>
    </row>
    <row r="247">
      <c r="A247" s="13" t="n">
        <v>243</v>
      </c>
      <c r="B247" s="14">
        <f>RAND()</f>
        <v/>
      </c>
      <c r="C247" s="16">
        <f>-$K$4*LN(1-B247)</f>
        <v/>
      </c>
      <c r="D247" s="16">
        <f>IF(B247&lt;$K$15,$K$5+SQRT(B247*($K$7-$K$5)*($K$6-$K$5)),$K$7-SQRT((1-B247)*($K$7-$K$5)*($K$7-$K$6)))</f>
        <v/>
      </c>
      <c r="E247" s="13">
        <f>INDEX($J$18:$J$22,MATCH(B247,$L$18:$L$22,1))</f>
        <v/>
      </c>
      <c r="F247" s="16">
        <f>-($K$9/$K$8)*LN(RAND()*RAND()*RAND())</f>
        <v/>
      </c>
      <c r="G247" s="16">
        <f>NORMINV(RAND(),$K$10,$K$11)</f>
        <v/>
      </c>
      <c r="H247" s="16">
        <f>IF(RAND()&lt;$K$12,-$K$13*LN(1-RAND()),-$K$14*LN(1-RAND()))</f>
        <v/>
      </c>
    </row>
    <row r="248">
      <c r="A248" s="13" t="n">
        <v>244</v>
      </c>
      <c r="B248" s="14">
        <f>RAND()</f>
        <v/>
      </c>
      <c r="C248" s="16">
        <f>-$K$4*LN(1-B248)</f>
        <v/>
      </c>
      <c r="D248" s="16">
        <f>IF(B248&lt;$K$15,$K$5+SQRT(B248*($K$7-$K$5)*($K$6-$K$5)),$K$7-SQRT((1-B248)*($K$7-$K$5)*($K$7-$K$6)))</f>
        <v/>
      </c>
      <c r="E248" s="13">
        <f>INDEX($J$18:$J$22,MATCH(B248,$L$18:$L$22,1))</f>
        <v/>
      </c>
      <c r="F248" s="16">
        <f>-($K$9/$K$8)*LN(RAND()*RAND()*RAND())</f>
        <v/>
      </c>
      <c r="G248" s="16">
        <f>NORMINV(RAND(),$K$10,$K$11)</f>
        <v/>
      </c>
      <c r="H248" s="16">
        <f>IF(RAND()&lt;$K$12,-$K$13*LN(1-RAND()),-$K$14*LN(1-RAND()))</f>
        <v/>
      </c>
    </row>
    <row r="249">
      <c r="A249" s="13" t="n">
        <v>245</v>
      </c>
      <c r="B249" s="14">
        <f>RAND()</f>
        <v/>
      </c>
      <c r="C249" s="16">
        <f>-$K$4*LN(1-B249)</f>
        <v/>
      </c>
      <c r="D249" s="16">
        <f>IF(B249&lt;$K$15,$K$5+SQRT(B249*($K$7-$K$5)*($K$6-$K$5)),$K$7-SQRT((1-B249)*($K$7-$K$5)*($K$7-$K$6)))</f>
        <v/>
      </c>
      <c r="E249" s="13">
        <f>INDEX($J$18:$J$22,MATCH(B249,$L$18:$L$22,1))</f>
        <v/>
      </c>
      <c r="F249" s="16">
        <f>-($K$9/$K$8)*LN(RAND()*RAND()*RAND())</f>
        <v/>
      </c>
      <c r="G249" s="16">
        <f>NORMINV(RAND(),$K$10,$K$11)</f>
        <v/>
      </c>
      <c r="H249" s="16">
        <f>IF(RAND()&lt;$K$12,-$K$13*LN(1-RAND()),-$K$14*LN(1-RAND()))</f>
        <v/>
      </c>
    </row>
    <row r="250">
      <c r="A250" s="13" t="n">
        <v>246</v>
      </c>
      <c r="B250" s="14">
        <f>RAND()</f>
        <v/>
      </c>
      <c r="C250" s="16">
        <f>-$K$4*LN(1-B250)</f>
        <v/>
      </c>
      <c r="D250" s="16">
        <f>IF(B250&lt;$K$15,$K$5+SQRT(B250*($K$7-$K$5)*($K$6-$K$5)),$K$7-SQRT((1-B250)*($K$7-$K$5)*($K$7-$K$6)))</f>
        <v/>
      </c>
      <c r="E250" s="13">
        <f>INDEX($J$18:$J$22,MATCH(B250,$L$18:$L$22,1))</f>
        <v/>
      </c>
      <c r="F250" s="16">
        <f>-($K$9/$K$8)*LN(RAND()*RAND()*RAND())</f>
        <v/>
      </c>
      <c r="G250" s="16">
        <f>NORMINV(RAND(),$K$10,$K$11)</f>
        <v/>
      </c>
      <c r="H250" s="16">
        <f>IF(RAND()&lt;$K$12,-$K$13*LN(1-RAND()),-$K$14*LN(1-RAND()))</f>
        <v/>
      </c>
    </row>
    <row r="251">
      <c r="A251" s="13" t="n">
        <v>247</v>
      </c>
      <c r="B251" s="14">
        <f>RAND()</f>
        <v/>
      </c>
      <c r="C251" s="16">
        <f>-$K$4*LN(1-B251)</f>
        <v/>
      </c>
      <c r="D251" s="16">
        <f>IF(B251&lt;$K$15,$K$5+SQRT(B251*($K$7-$K$5)*($K$6-$K$5)),$K$7-SQRT((1-B251)*($K$7-$K$5)*($K$7-$K$6)))</f>
        <v/>
      </c>
      <c r="E251" s="13">
        <f>INDEX($J$18:$J$22,MATCH(B251,$L$18:$L$22,1))</f>
        <v/>
      </c>
      <c r="F251" s="16">
        <f>-($K$9/$K$8)*LN(RAND()*RAND()*RAND())</f>
        <v/>
      </c>
      <c r="G251" s="16">
        <f>NORMINV(RAND(),$K$10,$K$11)</f>
        <v/>
      </c>
      <c r="H251" s="16">
        <f>IF(RAND()&lt;$K$12,-$K$13*LN(1-RAND()),-$K$14*LN(1-RAND()))</f>
        <v/>
      </c>
    </row>
    <row r="252">
      <c r="A252" s="13" t="n">
        <v>248</v>
      </c>
      <c r="B252" s="14">
        <f>RAND()</f>
        <v/>
      </c>
      <c r="C252" s="16">
        <f>-$K$4*LN(1-B252)</f>
        <v/>
      </c>
      <c r="D252" s="16">
        <f>IF(B252&lt;$K$15,$K$5+SQRT(B252*($K$7-$K$5)*($K$6-$K$5)),$K$7-SQRT((1-B252)*($K$7-$K$5)*($K$7-$K$6)))</f>
        <v/>
      </c>
      <c r="E252" s="13">
        <f>INDEX($J$18:$J$22,MATCH(B252,$L$18:$L$22,1))</f>
        <v/>
      </c>
      <c r="F252" s="16">
        <f>-($K$9/$K$8)*LN(RAND()*RAND()*RAND())</f>
        <v/>
      </c>
      <c r="G252" s="16">
        <f>NORMINV(RAND(),$K$10,$K$11)</f>
        <v/>
      </c>
      <c r="H252" s="16">
        <f>IF(RAND()&lt;$K$12,-$K$13*LN(1-RAND()),-$K$14*LN(1-RAND()))</f>
        <v/>
      </c>
    </row>
    <row r="253">
      <c r="A253" s="13" t="n">
        <v>249</v>
      </c>
      <c r="B253" s="14">
        <f>RAND()</f>
        <v/>
      </c>
      <c r="C253" s="16">
        <f>-$K$4*LN(1-B253)</f>
        <v/>
      </c>
      <c r="D253" s="16">
        <f>IF(B253&lt;$K$15,$K$5+SQRT(B253*($K$7-$K$5)*($K$6-$K$5)),$K$7-SQRT((1-B253)*($K$7-$K$5)*($K$7-$K$6)))</f>
        <v/>
      </c>
      <c r="E253" s="13">
        <f>INDEX($J$18:$J$22,MATCH(B253,$L$18:$L$22,1))</f>
        <v/>
      </c>
      <c r="F253" s="16">
        <f>-($K$9/$K$8)*LN(RAND()*RAND()*RAND())</f>
        <v/>
      </c>
      <c r="G253" s="16">
        <f>NORMINV(RAND(),$K$10,$K$11)</f>
        <v/>
      </c>
      <c r="H253" s="16">
        <f>IF(RAND()&lt;$K$12,-$K$13*LN(1-RAND()),-$K$14*LN(1-RAND()))</f>
        <v/>
      </c>
    </row>
    <row r="254">
      <c r="A254" s="13" t="n">
        <v>250</v>
      </c>
      <c r="B254" s="14">
        <f>RAND()</f>
        <v/>
      </c>
      <c r="C254" s="16">
        <f>-$K$4*LN(1-B254)</f>
        <v/>
      </c>
      <c r="D254" s="16">
        <f>IF(B254&lt;$K$15,$K$5+SQRT(B254*($K$7-$K$5)*($K$6-$K$5)),$K$7-SQRT((1-B254)*($K$7-$K$5)*($K$7-$K$6)))</f>
        <v/>
      </c>
      <c r="E254" s="13">
        <f>INDEX($J$18:$J$22,MATCH(B254,$L$18:$L$22,1))</f>
        <v/>
      </c>
      <c r="F254" s="16">
        <f>-($K$9/$K$8)*LN(RAND()*RAND()*RAND())</f>
        <v/>
      </c>
      <c r="G254" s="16">
        <f>NORMINV(RAND(),$K$10,$K$11)</f>
        <v/>
      </c>
      <c r="H254" s="16">
        <f>IF(RAND()&lt;$K$12,-$K$13*LN(1-RAND()),-$K$14*LN(1-RAND()))</f>
        <v/>
      </c>
    </row>
    <row r="255">
      <c r="A255" s="13" t="n">
        <v>251</v>
      </c>
      <c r="B255" s="14">
        <f>RAND()</f>
        <v/>
      </c>
      <c r="C255" s="16">
        <f>-$K$4*LN(1-B255)</f>
        <v/>
      </c>
      <c r="D255" s="16">
        <f>IF(B255&lt;$K$15,$K$5+SQRT(B255*($K$7-$K$5)*($K$6-$K$5)),$K$7-SQRT((1-B255)*($K$7-$K$5)*($K$7-$K$6)))</f>
        <v/>
      </c>
      <c r="E255" s="13">
        <f>INDEX($J$18:$J$22,MATCH(B255,$L$18:$L$22,1))</f>
        <v/>
      </c>
      <c r="F255" s="16">
        <f>-($K$9/$K$8)*LN(RAND()*RAND()*RAND())</f>
        <v/>
      </c>
      <c r="G255" s="16">
        <f>NORMINV(RAND(),$K$10,$K$11)</f>
        <v/>
      </c>
      <c r="H255" s="16">
        <f>IF(RAND()&lt;$K$12,-$K$13*LN(1-RAND()),-$K$14*LN(1-RAND()))</f>
        <v/>
      </c>
    </row>
    <row r="256">
      <c r="A256" s="13" t="n">
        <v>252</v>
      </c>
      <c r="B256" s="14">
        <f>RAND()</f>
        <v/>
      </c>
      <c r="C256" s="16">
        <f>-$K$4*LN(1-B256)</f>
        <v/>
      </c>
      <c r="D256" s="16">
        <f>IF(B256&lt;$K$15,$K$5+SQRT(B256*($K$7-$K$5)*($K$6-$K$5)),$K$7-SQRT((1-B256)*($K$7-$K$5)*($K$7-$K$6)))</f>
        <v/>
      </c>
      <c r="E256" s="13">
        <f>INDEX($J$18:$J$22,MATCH(B256,$L$18:$L$22,1))</f>
        <v/>
      </c>
      <c r="F256" s="16">
        <f>-($K$9/$K$8)*LN(RAND()*RAND()*RAND())</f>
        <v/>
      </c>
      <c r="G256" s="16">
        <f>NORMINV(RAND(),$K$10,$K$11)</f>
        <v/>
      </c>
      <c r="H256" s="16">
        <f>IF(RAND()&lt;$K$12,-$K$13*LN(1-RAND()),-$K$14*LN(1-RAND()))</f>
        <v/>
      </c>
    </row>
    <row r="257">
      <c r="A257" s="13" t="n">
        <v>253</v>
      </c>
      <c r="B257" s="14">
        <f>RAND()</f>
        <v/>
      </c>
      <c r="C257" s="16">
        <f>-$K$4*LN(1-B257)</f>
        <v/>
      </c>
      <c r="D257" s="16">
        <f>IF(B257&lt;$K$15,$K$5+SQRT(B257*($K$7-$K$5)*($K$6-$K$5)),$K$7-SQRT((1-B257)*($K$7-$K$5)*($K$7-$K$6)))</f>
        <v/>
      </c>
      <c r="E257" s="13">
        <f>INDEX($J$18:$J$22,MATCH(B257,$L$18:$L$22,1))</f>
        <v/>
      </c>
      <c r="F257" s="16">
        <f>-($K$9/$K$8)*LN(RAND()*RAND()*RAND())</f>
        <v/>
      </c>
      <c r="G257" s="16">
        <f>NORMINV(RAND(),$K$10,$K$11)</f>
        <v/>
      </c>
      <c r="H257" s="16">
        <f>IF(RAND()&lt;$K$12,-$K$13*LN(1-RAND()),-$K$14*LN(1-RAND()))</f>
        <v/>
      </c>
    </row>
    <row r="258">
      <c r="A258" s="13" t="n">
        <v>254</v>
      </c>
      <c r="B258" s="14">
        <f>RAND()</f>
        <v/>
      </c>
      <c r="C258" s="16">
        <f>-$K$4*LN(1-B258)</f>
        <v/>
      </c>
      <c r="D258" s="16">
        <f>IF(B258&lt;$K$15,$K$5+SQRT(B258*($K$7-$K$5)*($K$6-$K$5)),$K$7-SQRT((1-B258)*($K$7-$K$5)*($K$7-$K$6)))</f>
        <v/>
      </c>
      <c r="E258" s="13">
        <f>INDEX($J$18:$J$22,MATCH(B258,$L$18:$L$22,1))</f>
        <v/>
      </c>
      <c r="F258" s="16">
        <f>-($K$9/$K$8)*LN(RAND()*RAND()*RAND())</f>
        <v/>
      </c>
      <c r="G258" s="16">
        <f>NORMINV(RAND(),$K$10,$K$11)</f>
        <v/>
      </c>
      <c r="H258" s="16">
        <f>IF(RAND()&lt;$K$12,-$K$13*LN(1-RAND()),-$K$14*LN(1-RAND()))</f>
        <v/>
      </c>
    </row>
    <row r="259">
      <c r="A259" s="13" t="n">
        <v>255</v>
      </c>
      <c r="B259" s="14">
        <f>RAND()</f>
        <v/>
      </c>
      <c r="C259" s="16">
        <f>-$K$4*LN(1-B259)</f>
        <v/>
      </c>
      <c r="D259" s="16">
        <f>IF(B259&lt;$K$15,$K$5+SQRT(B259*($K$7-$K$5)*($K$6-$K$5)),$K$7-SQRT((1-B259)*($K$7-$K$5)*($K$7-$K$6)))</f>
        <v/>
      </c>
      <c r="E259" s="13">
        <f>INDEX($J$18:$J$22,MATCH(B259,$L$18:$L$22,1))</f>
        <v/>
      </c>
      <c r="F259" s="16">
        <f>-($K$9/$K$8)*LN(RAND()*RAND()*RAND())</f>
        <v/>
      </c>
      <c r="G259" s="16">
        <f>NORMINV(RAND(),$K$10,$K$11)</f>
        <v/>
      </c>
      <c r="H259" s="16">
        <f>IF(RAND()&lt;$K$12,-$K$13*LN(1-RAND()),-$K$14*LN(1-RAND()))</f>
        <v/>
      </c>
    </row>
    <row r="260">
      <c r="A260" s="13" t="n">
        <v>256</v>
      </c>
      <c r="B260" s="14">
        <f>RAND()</f>
        <v/>
      </c>
      <c r="C260" s="16">
        <f>-$K$4*LN(1-B260)</f>
        <v/>
      </c>
      <c r="D260" s="16">
        <f>IF(B260&lt;$K$15,$K$5+SQRT(B260*($K$7-$K$5)*($K$6-$K$5)),$K$7-SQRT((1-B260)*($K$7-$K$5)*($K$7-$K$6)))</f>
        <v/>
      </c>
      <c r="E260" s="13">
        <f>INDEX($J$18:$J$22,MATCH(B260,$L$18:$L$22,1))</f>
        <v/>
      </c>
      <c r="F260" s="16">
        <f>-($K$9/$K$8)*LN(RAND()*RAND()*RAND())</f>
        <v/>
      </c>
      <c r="G260" s="16">
        <f>NORMINV(RAND(),$K$10,$K$11)</f>
        <v/>
      </c>
      <c r="H260" s="16">
        <f>IF(RAND()&lt;$K$12,-$K$13*LN(1-RAND()),-$K$14*LN(1-RAND()))</f>
        <v/>
      </c>
    </row>
    <row r="261">
      <c r="A261" s="13" t="n">
        <v>257</v>
      </c>
      <c r="B261" s="14">
        <f>RAND()</f>
        <v/>
      </c>
      <c r="C261" s="16">
        <f>-$K$4*LN(1-B261)</f>
        <v/>
      </c>
      <c r="D261" s="16">
        <f>IF(B261&lt;$K$15,$K$5+SQRT(B261*($K$7-$K$5)*($K$6-$K$5)),$K$7-SQRT((1-B261)*($K$7-$K$5)*($K$7-$K$6)))</f>
        <v/>
      </c>
      <c r="E261" s="13">
        <f>INDEX($J$18:$J$22,MATCH(B261,$L$18:$L$22,1))</f>
        <v/>
      </c>
      <c r="F261" s="16">
        <f>-($K$9/$K$8)*LN(RAND()*RAND()*RAND())</f>
        <v/>
      </c>
      <c r="G261" s="16">
        <f>NORMINV(RAND(),$K$10,$K$11)</f>
        <v/>
      </c>
      <c r="H261" s="16">
        <f>IF(RAND()&lt;$K$12,-$K$13*LN(1-RAND()),-$K$14*LN(1-RAND()))</f>
        <v/>
      </c>
    </row>
    <row r="262">
      <c r="A262" s="13" t="n">
        <v>258</v>
      </c>
      <c r="B262" s="14">
        <f>RAND()</f>
        <v/>
      </c>
      <c r="C262" s="16">
        <f>-$K$4*LN(1-B262)</f>
        <v/>
      </c>
      <c r="D262" s="16">
        <f>IF(B262&lt;$K$15,$K$5+SQRT(B262*($K$7-$K$5)*($K$6-$K$5)),$K$7-SQRT((1-B262)*($K$7-$K$5)*($K$7-$K$6)))</f>
        <v/>
      </c>
      <c r="E262" s="13">
        <f>INDEX($J$18:$J$22,MATCH(B262,$L$18:$L$22,1))</f>
        <v/>
      </c>
      <c r="F262" s="16">
        <f>-($K$9/$K$8)*LN(RAND()*RAND()*RAND())</f>
        <v/>
      </c>
      <c r="G262" s="16">
        <f>NORMINV(RAND(),$K$10,$K$11)</f>
        <v/>
      </c>
      <c r="H262" s="16">
        <f>IF(RAND()&lt;$K$12,-$K$13*LN(1-RAND()),-$K$14*LN(1-RAND()))</f>
        <v/>
      </c>
    </row>
    <row r="263">
      <c r="A263" s="13" t="n">
        <v>259</v>
      </c>
      <c r="B263" s="14">
        <f>RAND()</f>
        <v/>
      </c>
      <c r="C263" s="16">
        <f>-$K$4*LN(1-B263)</f>
        <v/>
      </c>
      <c r="D263" s="16">
        <f>IF(B263&lt;$K$15,$K$5+SQRT(B263*($K$7-$K$5)*($K$6-$K$5)),$K$7-SQRT((1-B263)*($K$7-$K$5)*($K$7-$K$6)))</f>
        <v/>
      </c>
      <c r="E263" s="13">
        <f>INDEX($J$18:$J$22,MATCH(B263,$L$18:$L$22,1))</f>
        <v/>
      </c>
      <c r="F263" s="16">
        <f>-($K$9/$K$8)*LN(RAND()*RAND()*RAND())</f>
        <v/>
      </c>
      <c r="G263" s="16">
        <f>NORMINV(RAND(),$K$10,$K$11)</f>
        <v/>
      </c>
      <c r="H263" s="16">
        <f>IF(RAND()&lt;$K$12,-$K$13*LN(1-RAND()),-$K$14*LN(1-RAND()))</f>
        <v/>
      </c>
    </row>
    <row r="264">
      <c r="A264" s="13" t="n">
        <v>260</v>
      </c>
      <c r="B264" s="14">
        <f>RAND()</f>
        <v/>
      </c>
      <c r="C264" s="16">
        <f>-$K$4*LN(1-B264)</f>
        <v/>
      </c>
      <c r="D264" s="16">
        <f>IF(B264&lt;$K$15,$K$5+SQRT(B264*($K$7-$K$5)*($K$6-$K$5)),$K$7-SQRT((1-B264)*($K$7-$K$5)*($K$7-$K$6)))</f>
        <v/>
      </c>
      <c r="E264" s="13">
        <f>INDEX($J$18:$J$22,MATCH(B264,$L$18:$L$22,1))</f>
        <v/>
      </c>
      <c r="F264" s="16">
        <f>-($K$9/$K$8)*LN(RAND()*RAND()*RAND())</f>
        <v/>
      </c>
      <c r="G264" s="16">
        <f>NORMINV(RAND(),$K$10,$K$11)</f>
        <v/>
      </c>
      <c r="H264" s="16">
        <f>IF(RAND()&lt;$K$12,-$K$13*LN(1-RAND()),-$K$14*LN(1-RAND()))</f>
        <v/>
      </c>
    </row>
    <row r="265">
      <c r="A265" s="13" t="n">
        <v>261</v>
      </c>
      <c r="B265" s="14">
        <f>RAND()</f>
        <v/>
      </c>
      <c r="C265" s="16">
        <f>-$K$4*LN(1-B265)</f>
        <v/>
      </c>
      <c r="D265" s="16">
        <f>IF(B265&lt;$K$15,$K$5+SQRT(B265*($K$7-$K$5)*($K$6-$K$5)),$K$7-SQRT((1-B265)*($K$7-$K$5)*($K$7-$K$6)))</f>
        <v/>
      </c>
      <c r="E265" s="13">
        <f>INDEX($J$18:$J$22,MATCH(B265,$L$18:$L$22,1))</f>
        <v/>
      </c>
      <c r="F265" s="16">
        <f>-($K$9/$K$8)*LN(RAND()*RAND()*RAND())</f>
        <v/>
      </c>
      <c r="G265" s="16">
        <f>NORMINV(RAND(),$K$10,$K$11)</f>
        <v/>
      </c>
      <c r="H265" s="16">
        <f>IF(RAND()&lt;$K$12,-$K$13*LN(1-RAND()),-$K$14*LN(1-RAND()))</f>
        <v/>
      </c>
    </row>
    <row r="266">
      <c r="A266" s="13" t="n">
        <v>262</v>
      </c>
      <c r="B266" s="14">
        <f>RAND()</f>
        <v/>
      </c>
      <c r="C266" s="16">
        <f>-$K$4*LN(1-B266)</f>
        <v/>
      </c>
      <c r="D266" s="16">
        <f>IF(B266&lt;$K$15,$K$5+SQRT(B266*($K$7-$K$5)*($K$6-$K$5)),$K$7-SQRT((1-B266)*($K$7-$K$5)*($K$7-$K$6)))</f>
        <v/>
      </c>
      <c r="E266" s="13">
        <f>INDEX($J$18:$J$22,MATCH(B266,$L$18:$L$22,1))</f>
        <v/>
      </c>
      <c r="F266" s="16">
        <f>-($K$9/$K$8)*LN(RAND()*RAND()*RAND())</f>
        <v/>
      </c>
      <c r="G266" s="16">
        <f>NORMINV(RAND(),$K$10,$K$11)</f>
        <v/>
      </c>
      <c r="H266" s="16">
        <f>IF(RAND()&lt;$K$12,-$K$13*LN(1-RAND()),-$K$14*LN(1-RAND()))</f>
        <v/>
      </c>
    </row>
    <row r="267">
      <c r="A267" s="13" t="n">
        <v>263</v>
      </c>
      <c r="B267" s="14">
        <f>RAND()</f>
        <v/>
      </c>
      <c r="C267" s="16">
        <f>-$K$4*LN(1-B267)</f>
        <v/>
      </c>
      <c r="D267" s="16">
        <f>IF(B267&lt;$K$15,$K$5+SQRT(B267*($K$7-$K$5)*($K$6-$K$5)),$K$7-SQRT((1-B267)*($K$7-$K$5)*($K$7-$K$6)))</f>
        <v/>
      </c>
      <c r="E267" s="13">
        <f>INDEX($J$18:$J$22,MATCH(B267,$L$18:$L$22,1))</f>
        <v/>
      </c>
      <c r="F267" s="16">
        <f>-($K$9/$K$8)*LN(RAND()*RAND()*RAND())</f>
        <v/>
      </c>
      <c r="G267" s="16">
        <f>NORMINV(RAND(),$K$10,$K$11)</f>
        <v/>
      </c>
      <c r="H267" s="16">
        <f>IF(RAND()&lt;$K$12,-$K$13*LN(1-RAND()),-$K$14*LN(1-RAND()))</f>
        <v/>
      </c>
    </row>
    <row r="268">
      <c r="A268" s="13" t="n">
        <v>264</v>
      </c>
      <c r="B268" s="14">
        <f>RAND()</f>
        <v/>
      </c>
      <c r="C268" s="16">
        <f>-$K$4*LN(1-B268)</f>
        <v/>
      </c>
      <c r="D268" s="16">
        <f>IF(B268&lt;$K$15,$K$5+SQRT(B268*($K$7-$K$5)*($K$6-$K$5)),$K$7-SQRT((1-B268)*($K$7-$K$5)*($K$7-$K$6)))</f>
        <v/>
      </c>
      <c r="E268" s="13">
        <f>INDEX($J$18:$J$22,MATCH(B268,$L$18:$L$22,1))</f>
        <v/>
      </c>
      <c r="F268" s="16">
        <f>-($K$9/$K$8)*LN(RAND()*RAND()*RAND())</f>
        <v/>
      </c>
      <c r="G268" s="16">
        <f>NORMINV(RAND(),$K$10,$K$11)</f>
        <v/>
      </c>
      <c r="H268" s="16">
        <f>IF(RAND()&lt;$K$12,-$K$13*LN(1-RAND()),-$K$14*LN(1-RAND()))</f>
        <v/>
      </c>
    </row>
    <row r="269">
      <c r="A269" s="13" t="n">
        <v>265</v>
      </c>
      <c r="B269" s="14">
        <f>RAND()</f>
        <v/>
      </c>
      <c r="C269" s="16">
        <f>-$K$4*LN(1-B269)</f>
        <v/>
      </c>
      <c r="D269" s="16">
        <f>IF(B269&lt;$K$15,$K$5+SQRT(B269*($K$7-$K$5)*($K$6-$K$5)),$K$7-SQRT((1-B269)*($K$7-$K$5)*($K$7-$K$6)))</f>
        <v/>
      </c>
      <c r="E269" s="13">
        <f>INDEX($J$18:$J$22,MATCH(B269,$L$18:$L$22,1))</f>
        <v/>
      </c>
      <c r="F269" s="16">
        <f>-($K$9/$K$8)*LN(RAND()*RAND()*RAND())</f>
        <v/>
      </c>
      <c r="G269" s="16">
        <f>NORMINV(RAND(),$K$10,$K$11)</f>
        <v/>
      </c>
      <c r="H269" s="16">
        <f>IF(RAND()&lt;$K$12,-$K$13*LN(1-RAND()),-$K$14*LN(1-RAND()))</f>
        <v/>
      </c>
    </row>
    <row r="270">
      <c r="A270" s="13" t="n">
        <v>266</v>
      </c>
      <c r="B270" s="14">
        <f>RAND()</f>
        <v/>
      </c>
      <c r="C270" s="16">
        <f>-$K$4*LN(1-B270)</f>
        <v/>
      </c>
      <c r="D270" s="16">
        <f>IF(B270&lt;$K$15,$K$5+SQRT(B270*($K$7-$K$5)*($K$6-$K$5)),$K$7-SQRT((1-B270)*($K$7-$K$5)*($K$7-$K$6)))</f>
        <v/>
      </c>
      <c r="E270" s="13">
        <f>INDEX($J$18:$J$22,MATCH(B270,$L$18:$L$22,1))</f>
        <v/>
      </c>
      <c r="F270" s="16">
        <f>-($K$9/$K$8)*LN(RAND()*RAND()*RAND())</f>
        <v/>
      </c>
      <c r="G270" s="16">
        <f>NORMINV(RAND(),$K$10,$K$11)</f>
        <v/>
      </c>
      <c r="H270" s="16">
        <f>IF(RAND()&lt;$K$12,-$K$13*LN(1-RAND()),-$K$14*LN(1-RAND()))</f>
        <v/>
      </c>
    </row>
    <row r="271">
      <c r="A271" s="13" t="n">
        <v>267</v>
      </c>
      <c r="B271" s="14">
        <f>RAND()</f>
        <v/>
      </c>
      <c r="C271" s="16">
        <f>-$K$4*LN(1-B271)</f>
        <v/>
      </c>
      <c r="D271" s="16">
        <f>IF(B271&lt;$K$15,$K$5+SQRT(B271*($K$7-$K$5)*($K$6-$K$5)),$K$7-SQRT((1-B271)*($K$7-$K$5)*($K$7-$K$6)))</f>
        <v/>
      </c>
      <c r="E271" s="13">
        <f>INDEX($J$18:$J$22,MATCH(B271,$L$18:$L$22,1))</f>
        <v/>
      </c>
      <c r="F271" s="16">
        <f>-($K$9/$K$8)*LN(RAND()*RAND()*RAND())</f>
        <v/>
      </c>
      <c r="G271" s="16">
        <f>NORMINV(RAND(),$K$10,$K$11)</f>
        <v/>
      </c>
      <c r="H271" s="16">
        <f>IF(RAND()&lt;$K$12,-$K$13*LN(1-RAND()),-$K$14*LN(1-RAND()))</f>
        <v/>
      </c>
    </row>
    <row r="272">
      <c r="A272" s="13" t="n">
        <v>268</v>
      </c>
      <c r="B272" s="14">
        <f>RAND()</f>
        <v/>
      </c>
      <c r="C272" s="16">
        <f>-$K$4*LN(1-B272)</f>
        <v/>
      </c>
      <c r="D272" s="16">
        <f>IF(B272&lt;$K$15,$K$5+SQRT(B272*($K$7-$K$5)*($K$6-$K$5)),$K$7-SQRT((1-B272)*($K$7-$K$5)*($K$7-$K$6)))</f>
        <v/>
      </c>
      <c r="E272" s="13">
        <f>INDEX($J$18:$J$22,MATCH(B272,$L$18:$L$22,1))</f>
        <v/>
      </c>
      <c r="F272" s="16">
        <f>-($K$9/$K$8)*LN(RAND()*RAND()*RAND())</f>
        <v/>
      </c>
      <c r="G272" s="16">
        <f>NORMINV(RAND(),$K$10,$K$11)</f>
        <v/>
      </c>
      <c r="H272" s="16">
        <f>IF(RAND()&lt;$K$12,-$K$13*LN(1-RAND()),-$K$14*LN(1-RAND()))</f>
        <v/>
      </c>
    </row>
    <row r="273">
      <c r="A273" s="13" t="n">
        <v>269</v>
      </c>
      <c r="B273" s="14">
        <f>RAND()</f>
        <v/>
      </c>
      <c r="C273" s="16">
        <f>-$K$4*LN(1-B273)</f>
        <v/>
      </c>
      <c r="D273" s="16">
        <f>IF(B273&lt;$K$15,$K$5+SQRT(B273*($K$7-$K$5)*($K$6-$K$5)),$K$7-SQRT((1-B273)*($K$7-$K$5)*($K$7-$K$6)))</f>
        <v/>
      </c>
      <c r="E273" s="13">
        <f>INDEX($J$18:$J$22,MATCH(B273,$L$18:$L$22,1))</f>
        <v/>
      </c>
      <c r="F273" s="16">
        <f>-($K$9/$K$8)*LN(RAND()*RAND()*RAND())</f>
        <v/>
      </c>
      <c r="G273" s="16">
        <f>NORMINV(RAND(),$K$10,$K$11)</f>
        <v/>
      </c>
      <c r="H273" s="16">
        <f>IF(RAND()&lt;$K$12,-$K$13*LN(1-RAND()),-$K$14*LN(1-RAND()))</f>
        <v/>
      </c>
    </row>
    <row r="274">
      <c r="A274" s="13" t="n">
        <v>270</v>
      </c>
      <c r="B274" s="14">
        <f>RAND()</f>
        <v/>
      </c>
      <c r="C274" s="16">
        <f>-$K$4*LN(1-B274)</f>
        <v/>
      </c>
      <c r="D274" s="16">
        <f>IF(B274&lt;$K$15,$K$5+SQRT(B274*($K$7-$K$5)*($K$6-$K$5)),$K$7-SQRT((1-B274)*($K$7-$K$5)*($K$7-$K$6)))</f>
        <v/>
      </c>
      <c r="E274" s="13">
        <f>INDEX($J$18:$J$22,MATCH(B274,$L$18:$L$22,1))</f>
        <v/>
      </c>
      <c r="F274" s="16">
        <f>-($K$9/$K$8)*LN(RAND()*RAND()*RAND())</f>
        <v/>
      </c>
      <c r="G274" s="16">
        <f>NORMINV(RAND(),$K$10,$K$11)</f>
        <v/>
      </c>
      <c r="H274" s="16">
        <f>IF(RAND()&lt;$K$12,-$K$13*LN(1-RAND()),-$K$14*LN(1-RAND()))</f>
        <v/>
      </c>
    </row>
    <row r="275">
      <c r="A275" s="13" t="n">
        <v>271</v>
      </c>
      <c r="B275" s="14">
        <f>RAND()</f>
        <v/>
      </c>
      <c r="C275" s="16">
        <f>-$K$4*LN(1-B275)</f>
        <v/>
      </c>
      <c r="D275" s="16">
        <f>IF(B275&lt;$K$15,$K$5+SQRT(B275*($K$7-$K$5)*($K$6-$K$5)),$K$7-SQRT((1-B275)*($K$7-$K$5)*($K$7-$K$6)))</f>
        <v/>
      </c>
      <c r="E275" s="13">
        <f>INDEX($J$18:$J$22,MATCH(B275,$L$18:$L$22,1))</f>
        <v/>
      </c>
      <c r="F275" s="16">
        <f>-($K$9/$K$8)*LN(RAND()*RAND()*RAND())</f>
        <v/>
      </c>
      <c r="G275" s="16">
        <f>NORMINV(RAND(),$K$10,$K$11)</f>
        <v/>
      </c>
      <c r="H275" s="16">
        <f>IF(RAND()&lt;$K$12,-$K$13*LN(1-RAND()),-$K$14*LN(1-RAND()))</f>
        <v/>
      </c>
    </row>
    <row r="276">
      <c r="A276" s="13" t="n">
        <v>272</v>
      </c>
      <c r="B276" s="14">
        <f>RAND()</f>
        <v/>
      </c>
      <c r="C276" s="16">
        <f>-$K$4*LN(1-B276)</f>
        <v/>
      </c>
      <c r="D276" s="16">
        <f>IF(B276&lt;$K$15,$K$5+SQRT(B276*($K$7-$K$5)*($K$6-$K$5)),$K$7-SQRT((1-B276)*($K$7-$K$5)*($K$7-$K$6)))</f>
        <v/>
      </c>
      <c r="E276" s="13">
        <f>INDEX($J$18:$J$22,MATCH(B276,$L$18:$L$22,1))</f>
        <v/>
      </c>
      <c r="F276" s="16">
        <f>-($K$9/$K$8)*LN(RAND()*RAND()*RAND())</f>
        <v/>
      </c>
      <c r="G276" s="16">
        <f>NORMINV(RAND(),$K$10,$K$11)</f>
        <v/>
      </c>
      <c r="H276" s="16">
        <f>IF(RAND()&lt;$K$12,-$K$13*LN(1-RAND()),-$K$14*LN(1-RAND()))</f>
        <v/>
      </c>
    </row>
    <row r="277">
      <c r="A277" s="13" t="n">
        <v>273</v>
      </c>
      <c r="B277" s="14">
        <f>RAND()</f>
        <v/>
      </c>
      <c r="C277" s="16">
        <f>-$K$4*LN(1-B277)</f>
        <v/>
      </c>
      <c r="D277" s="16">
        <f>IF(B277&lt;$K$15,$K$5+SQRT(B277*($K$7-$K$5)*($K$6-$K$5)),$K$7-SQRT((1-B277)*($K$7-$K$5)*($K$7-$K$6)))</f>
        <v/>
      </c>
      <c r="E277" s="13">
        <f>INDEX($J$18:$J$22,MATCH(B277,$L$18:$L$22,1))</f>
        <v/>
      </c>
      <c r="F277" s="16">
        <f>-($K$9/$K$8)*LN(RAND()*RAND()*RAND())</f>
        <v/>
      </c>
      <c r="G277" s="16">
        <f>NORMINV(RAND(),$K$10,$K$11)</f>
        <v/>
      </c>
      <c r="H277" s="16">
        <f>IF(RAND()&lt;$K$12,-$K$13*LN(1-RAND()),-$K$14*LN(1-RAND()))</f>
        <v/>
      </c>
    </row>
    <row r="278">
      <c r="A278" s="13" t="n">
        <v>274</v>
      </c>
      <c r="B278" s="14">
        <f>RAND()</f>
        <v/>
      </c>
      <c r="C278" s="16">
        <f>-$K$4*LN(1-B278)</f>
        <v/>
      </c>
      <c r="D278" s="16">
        <f>IF(B278&lt;$K$15,$K$5+SQRT(B278*($K$7-$K$5)*($K$6-$K$5)),$K$7-SQRT((1-B278)*($K$7-$K$5)*($K$7-$K$6)))</f>
        <v/>
      </c>
      <c r="E278" s="13">
        <f>INDEX($J$18:$J$22,MATCH(B278,$L$18:$L$22,1))</f>
        <v/>
      </c>
      <c r="F278" s="16">
        <f>-($K$9/$K$8)*LN(RAND()*RAND()*RAND())</f>
        <v/>
      </c>
      <c r="G278" s="16">
        <f>NORMINV(RAND(),$K$10,$K$11)</f>
        <v/>
      </c>
      <c r="H278" s="16">
        <f>IF(RAND()&lt;$K$12,-$K$13*LN(1-RAND()),-$K$14*LN(1-RAND()))</f>
        <v/>
      </c>
    </row>
    <row r="279">
      <c r="A279" s="13" t="n">
        <v>275</v>
      </c>
      <c r="B279" s="14">
        <f>RAND()</f>
        <v/>
      </c>
      <c r="C279" s="16">
        <f>-$K$4*LN(1-B279)</f>
        <v/>
      </c>
      <c r="D279" s="16">
        <f>IF(B279&lt;$K$15,$K$5+SQRT(B279*($K$7-$K$5)*($K$6-$K$5)),$K$7-SQRT((1-B279)*($K$7-$K$5)*($K$7-$K$6)))</f>
        <v/>
      </c>
      <c r="E279" s="13">
        <f>INDEX($J$18:$J$22,MATCH(B279,$L$18:$L$22,1))</f>
        <v/>
      </c>
      <c r="F279" s="16">
        <f>-($K$9/$K$8)*LN(RAND()*RAND()*RAND())</f>
        <v/>
      </c>
      <c r="G279" s="16">
        <f>NORMINV(RAND(),$K$10,$K$11)</f>
        <v/>
      </c>
      <c r="H279" s="16">
        <f>IF(RAND()&lt;$K$12,-$K$13*LN(1-RAND()),-$K$14*LN(1-RAND()))</f>
        <v/>
      </c>
    </row>
    <row r="280">
      <c r="A280" s="13" t="n">
        <v>276</v>
      </c>
      <c r="B280" s="14">
        <f>RAND()</f>
        <v/>
      </c>
      <c r="C280" s="16">
        <f>-$K$4*LN(1-B280)</f>
        <v/>
      </c>
      <c r="D280" s="16">
        <f>IF(B280&lt;$K$15,$K$5+SQRT(B280*($K$7-$K$5)*($K$6-$K$5)),$K$7-SQRT((1-B280)*($K$7-$K$5)*($K$7-$K$6)))</f>
        <v/>
      </c>
      <c r="E280" s="13">
        <f>INDEX($J$18:$J$22,MATCH(B280,$L$18:$L$22,1))</f>
        <v/>
      </c>
      <c r="F280" s="16">
        <f>-($K$9/$K$8)*LN(RAND()*RAND()*RAND())</f>
        <v/>
      </c>
      <c r="G280" s="16">
        <f>NORMINV(RAND(),$K$10,$K$11)</f>
        <v/>
      </c>
      <c r="H280" s="16">
        <f>IF(RAND()&lt;$K$12,-$K$13*LN(1-RAND()),-$K$14*LN(1-RAND()))</f>
        <v/>
      </c>
    </row>
    <row r="281">
      <c r="A281" s="13" t="n">
        <v>277</v>
      </c>
      <c r="B281" s="14">
        <f>RAND()</f>
        <v/>
      </c>
      <c r="C281" s="16">
        <f>-$K$4*LN(1-B281)</f>
        <v/>
      </c>
      <c r="D281" s="16">
        <f>IF(B281&lt;$K$15,$K$5+SQRT(B281*($K$7-$K$5)*($K$6-$K$5)),$K$7-SQRT((1-B281)*($K$7-$K$5)*($K$7-$K$6)))</f>
        <v/>
      </c>
      <c r="E281" s="13">
        <f>INDEX($J$18:$J$22,MATCH(B281,$L$18:$L$22,1))</f>
        <v/>
      </c>
      <c r="F281" s="16">
        <f>-($K$9/$K$8)*LN(RAND()*RAND()*RAND())</f>
        <v/>
      </c>
      <c r="G281" s="16">
        <f>NORMINV(RAND(),$K$10,$K$11)</f>
        <v/>
      </c>
      <c r="H281" s="16">
        <f>IF(RAND()&lt;$K$12,-$K$13*LN(1-RAND()),-$K$14*LN(1-RAND()))</f>
        <v/>
      </c>
    </row>
    <row r="282">
      <c r="A282" s="13" t="n">
        <v>278</v>
      </c>
      <c r="B282" s="14">
        <f>RAND()</f>
        <v/>
      </c>
      <c r="C282" s="16">
        <f>-$K$4*LN(1-B282)</f>
        <v/>
      </c>
      <c r="D282" s="16">
        <f>IF(B282&lt;$K$15,$K$5+SQRT(B282*($K$7-$K$5)*($K$6-$K$5)),$K$7-SQRT((1-B282)*($K$7-$K$5)*($K$7-$K$6)))</f>
        <v/>
      </c>
      <c r="E282" s="13">
        <f>INDEX($J$18:$J$22,MATCH(B282,$L$18:$L$22,1))</f>
        <v/>
      </c>
      <c r="F282" s="16">
        <f>-($K$9/$K$8)*LN(RAND()*RAND()*RAND())</f>
        <v/>
      </c>
      <c r="G282" s="16">
        <f>NORMINV(RAND(),$K$10,$K$11)</f>
        <v/>
      </c>
      <c r="H282" s="16">
        <f>IF(RAND()&lt;$K$12,-$K$13*LN(1-RAND()),-$K$14*LN(1-RAND()))</f>
        <v/>
      </c>
    </row>
    <row r="283">
      <c r="A283" s="13" t="n">
        <v>279</v>
      </c>
      <c r="B283" s="14">
        <f>RAND()</f>
        <v/>
      </c>
      <c r="C283" s="16">
        <f>-$K$4*LN(1-B283)</f>
        <v/>
      </c>
      <c r="D283" s="16">
        <f>IF(B283&lt;$K$15,$K$5+SQRT(B283*($K$7-$K$5)*($K$6-$K$5)),$K$7-SQRT((1-B283)*($K$7-$K$5)*($K$7-$K$6)))</f>
        <v/>
      </c>
      <c r="E283" s="13">
        <f>INDEX($J$18:$J$22,MATCH(B283,$L$18:$L$22,1))</f>
        <v/>
      </c>
      <c r="F283" s="16">
        <f>-($K$9/$K$8)*LN(RAND()*RAND()*RAND())</f>
        <v/>
      </c>
      <c r="G283" s="16">
        <f>NORMINV(RAND(),$K$10,$K$11)</f>
        <v/>
      </c>
      <c r="H283" s="16">
        <f>IF(RAND()&lt;$K$12,-$K$13*LN(1-RAND()),-$K$14*LN(1-RAND()))</f>
        <v/>
      </c>
    </row>
    <row r="284">
      <c r="A284" s="13" t="n">
        <v>280</v>
      </c>
      <c r="B284" s="14">
        <f>RAND()</f>
        <v/>
      </c>
      <c r="C284" s="16">
        <f>-$K$4*LN(1-B284)</f>
        <v/>
      </c>
      <c r="D284" s="16">
        <f>IF(B284&lt;$K$15,$K$5+SQRT(B284*($K$7-$K$5)*($K$6-$K$5)),$K$7-SQRT((1-B284)*($K$7-$K$5)*($K$7-$K$6)))</f>
        <v/>
      </c>
      <c r="E284" s="13">
        <f>INDEX($J$18:$J$22,MATCH(B284,$L$18:$L$22,1))</f>
        <v/>
      </c>
      <c r="F284" s="16">
        <f>-($K$9/$K$8)*LN(RAND()*RAND()*RAND())</f>
        <v/>
      </c>
      <c r="G284" s="16">
        <f>NORMINV(RAND(),$K$10,$K$11)</f>
        <v/>
      </c>
      <c r="H284" s="16">
        <f>IF(RAND()&lt;$K$12,-$K$13*LN(1-RAND()),-$K$14*LN(1-RAND()))</f>
        <v/>
      </c>
    </row>
    <row r="285">
      <c r="A285" s="13" t="n">
        <v>281</v>
      </c>
      <c r="B285" s="14">
        <f>RAND()</f>
        <v/>
      </c>
      <c r="C285" s="16">
        <f>-$K$4*LN(1-B285)</f>
        <v/>
      </c>
      <c r="D285" s="16">
        <f>IF(B285&lt;$K$15,$K$5+SQRT(B285*($K$7-$K$5)*($K$6-$K$5)),$K$7-SQRT((1-B285)*($K$7-$K$5)*($K$7-$K$6)))</f>
        <v/>
      </c>
      <c r="E285" s="13">
        <f>INDEX($J$18:$J$22,MATCH(B285,$L$18:$L$22,1))</f>
        <v/>
      </c>
      <c r="F285" s="16">
        <f>-($K$9/$K$8)*LN(RAND()*RAND()*RAND())</f>
        <v/>
      </c>
      <c r="G285" s="16">
        <f>NORMINV(RAND(),$K$10,$K$11)</f>
        <v/>
      </c>
      <c r="H285" s="16">
        <f>IF(RAND()&lt;$K$12,-$K$13*LN(1-RAND()),-$K$14*LN(1-RAND()))</f>
        <v/>
      </c>
    </row>
    <row r="286">
      <c r="A286" s="13" t="n">
        <v>282</v>
      </c>
      <c r="B286" s="14">
        <f>RAND()</f>
        <v/>
      </c>
      <c r="C286" s="16">
        <f>-$K$4*LN(1-B286)</f>
        <v/>
      </c>
      <c r="D286" s="16">
        <f>IF(B286&lt;$K$15,$K$5+SQRT(B286*($K$7-$K$5)*($K$6-$K$5)),$K$7-SQRT((1-B286)*($K$7-$K$5)*($K$7-$K$6)))</f>
        <v/>
      </c>
      <c r="E286" s="13">
        <f>INDEX($J$18:$J$22,MATCH(B286,$L$18:$L$22,1))</f>
        <v/>
      </c>
      <c r="F286" s="16">
        <f>-($K$9/$K$8)*LN(RAND()*RAND()*RAND())</f>
        <v/>
      </c>
      <c r="G286" s="16">
        <f>NORMINV(RAND(),$K$10,$K$11)</f>
        <v/>
      </c>
      <c r="H286" s="16">
        <f>IF(RAND()&lt;$K$12,-$K$13*LN(1-RAND()),-$K$14*LN(1-RAND()))</f>
        <v/>
      </c>
    </row>
    <row r="287">
      <c r="A287" s="13" t="n">
        <v>283</v>
      </c>
      <c r="B287" s="14">
        <f>RAND()</f>
        <v/>
      </c>
      <c r="C287" s="16">
        <f>-$K$4*LN(1-B287)</f>
        <v/>
      </c>
      <c r="D287" s="16">
        <f>IF(B287&lt;$K$15,$K$5+SQRT(B287*($K$7-$K$5)*($K$6-$K$5)),$K$7-SQRT((1-B287)*($K$7-$K$5)*($K$7-$K$6)))</f>
        <v/>
      </c>
      <c r="E287" s="13">
        <f>INDEX($J$18:$J$22,MATCH(B287,$L$18:$L$22,1))</f>
        <v/>
      </c>
      <c r="F287" s="16">
        <f>-($K$9/$K$8)*LN(RAND()*RAND()*RAND())</f>
        <v/>
      </c>
      <c r="G287" s="16">
        <f>NORMINV(RAND(),$K$10,$K$11)</f>
        <v/>
      </c>
      <c r="H287" s="16">
        <f>IF(RAND()&lt;$K$12,-$K$13*LN(1-RAND()),-$K$14*LN(1-RAND()))</f>
        <v/>
      </c>
    </row>
    <row r="288">
      <c r="A288" s="13" t="n">
        <v>284</v>
      </c>
      <c r="B288" s="14">
        <f>RAND()</f>
        <v/>
      </c>
      <c r="C288" s="16">
        <f>-$K$4*LN(1-B288)</f>
        <v/>
      </c>
      <c r="D288" s="16">
        <f>IF(B288&lt;$K$15,$K$5+SQRT(B288*($K$7-$K$5)*($K$6-$K$5)),$K$7-SQRT((1-B288)*($K$7-$K$5)*($K$7-$K$6)))</f>
        <v/>
      </c>
      <c r="E288" s="13">
        <f>INDEX($J$18:$J$22,MATCH(B288,$L$18:$L$22,1))</f>
        <v/>
      </c>
      <c r="F288" s="16">
        <f>-($K$9/$K$8)*LN(RAND()*RAND()*RAND())</f>
        <v/>
      </c>
      <c r="G288" s="16">
        <f>NORMINV(RAND(),$K$10,$K$11)</f>
        <v/>
      </c>
      <c r="H288" s="16">
        <f>IF(RAND()&lt;$K$12,-$K$13*LN(1-RAND()),-$K$14*LN(1-RAND()))</f>
        <v/>
      </c>
    </row>
    <row r="289">
      <c r="A289" s="13" t="n">
        <v>285</v>
      </c>
      <c r="B289" s="14">
        <f>RAND()</f>
        <v/>
      </c>
      <c r="C289" s="16">
        <f>-$K$4*LN(1-B289)</f>
        <v/>
      </c>
      <c r="D289" s="16">
        <f>IF(B289&lt;$K$15,$K$5+SQRT(B289*($K$7-$K$5)*($K$6-$K$5)),$K$7-SQRT((1-B289)*($K$7-$K$5)*($K$7-$K$6)))</f>
        <v/>
      </c>
      <c r="E289" s="13">
        <f>INDEX($J$18:$J$22,MATCH(B289,$L$18:$L$22,1))</f>
        <v/>
      </c>
      <c r="F289" s="16">
        <f>-($K$9/$K$8)*LN(RAND()*RAND()*RAND())</f>
        <v/>
      </c>
      <c r="G289" s="16">
        <f>NORMINV(RAND(),$K$10,$K$11)</f>
        <v/>
      </c>
      <c r="H289" s="16">
        <f>IF(RAND()&lt;$K$12,-$K$13*LN(1-RAND()),-$K$14*LN(1-RAND()))</f>
        <v/>
      </c>
    </row>
    <row r="290">
      <c r="A290" s="13" t="n">
        <v>286</v>
      </c>
      <c r="B290" s="14">
        <f>RAND()</f>
        <v/>
      </c>
      <c r="C290" s="16">
        <f>-$K$4*LN(1-B290)</f>
        <v/>
      </c>
      <c r="D290" s="16">
        <f>IF(B290&lt;$K$15,$K$5+SQRT(B290*($K$7-$K$5)*($K$6-$K$5)),$K$7-SQRT((1-B290)*($K$7-$K$5)*($K$7-$K$6)))</f>
        <v/>
      </c>
      <c r="E290" s="13">
        <f>INDEX($J$18:$J$22,MATCH(B290,$L$18:$L$22,1))</f>
        <v/>
      </c>
      <c r="F290" s="16">
        <f>-($K$9/$K$8)*LN(RAND()*RAND()*RAND())</f>
        <v/>
      </c>
      <c r="G290" s="16">
        <f>NORMINV(RAND(),$K$10,$K$11)</f>
        <v/>
      </c>
      <c r="H290" s="16">
        <f>IF(RAND()&lt;$K$12,-$K$13*LN(1-RAND()),-$K$14*LN(1-RAND()))</f>
        <v/>
      </c>
    </row>
    <row r="291">
      <c r="A291" s="13" t="n">
        <v>287</v>
      </c>
      <c r="B291" s="14">
        <f>RAND()</f>
        <v/>
      </c>
      <c r="C291" s="16">
        <f>-$K$4*LN(1-B291)</f>
        <v/>
      </c>
      <c r="D291" s="16">
        <f>IF(B291&lt;$K$15,$K$5+SQRT(B291*($K$7-$K$5)*($K$6-$K$5)),$K$7-SQRT((1-B291)*($K$7-$K$5)*($K$7-$K$6)))</f>
        <v/>
      </c>
      <c r="E291" s="13">
        <f>INDEX($J$18:$J$22,MATCH(B291,$L$18:$L$22,1))</f>
        <v/>
      </c>
      <c r="F291" s="16">
        <f>-($K$9/$K$8)*LN(RAND()*RAND()*RAND())</f>
        <v/>
      </c>
      <c r="G291" s="16">
        <f>NORMINV(RAND(),$K$10,$K$11)</f>
        <v/>
      </c>
      <c r="H291" s="16">
        <f>IF(RAND()&lt;$K$12,-$K$13*LN(1-RAND()),-$K$14*LN(1-RAND()))</f>
        <v/>
      </c>
    </row>
    <row r="292">
      <c r="A292" s="13" t="n">
        <v>288</v>
      </c>
      <c r="B292" s="14">
        <f>RAND()</f>
        <v/>
      </c>
      <c r="C292" s="16">
        <f>-$K$4*LN(1-B292)</f>
        <v/>
      </c>
      <c r="D292" s="16">
        <f>IF(B292&lt;$K$15,$K$5+SQRT(B292*($K$7-$K$5)*($K$6-$K$5)),$K$7-SQRT((1-B292)*($K$7-$K$5)*($K$7-$K$6)))</f>
        <v/>
      </c>
      <c r="E292" s="13">
        <f>INDEX($J$18:$J$22,MATCH(B292,$L$18:$L$22,1))</f>
        <v/>
      </c>
      <c r="F292" s="16">
        <f>-($K$9/$K$8)*LN(RAND()*RAND()*RAND())</f>
        <v/>
      </c>
      <c r="G292" s="16">
        <f>NORMINV(RAND(),$K$10,$K$11)</f>
        <v/>
      </c>
      <c r="H292" s="16">
        <f>IF(RAND()&lt;$K$12,-$K$13*LN(1-RAND()),-$K$14*LN(1-RAND()))</f>
        <v/>
      </c>
    </row>
    <row r="293">
      <c r="A293" s="13" t="n">
        <v>289</v>
      </c>
      <c r="B293" s="14">
        <f>RAND()</f>
        <v/>
      </c>
      <c r="C293" s="16">
        <f>-$K$4*LN(1-B293)</f>
        <v/>
      </c>
      <c r="D293" s="16">
        <f>IF(B293&lt;$K$15,$K$5+SQRT(B293*($K$7-$K$5)*($K$6-$K$5)),$K$7-SQRT((1-B293)*($K$7-$K$5)*($K$7-$K$6)))</f>
        <v/>
      </c>
      <c r="E293" s="13">
        <f>INDEX($J$18:$J$22,MATCH(B293,$L$18:$L$22,1))</f>
        <v/>
      </c>
      <c r="F293" s="16">
        <f>-($K$9/$K$8)*LN(RAND()*RAND()*RAND())</f>
        <v/>
      </c>
      <c r="G293" s="16">
        <f>NORMINV(RAND(),$K$10,$K$11)</f>
        <v/>
      </c>
      <c r="H293" s="16">
        <f>IF(RAND()&lt;$K$12,-$K$13*LN(1-RAND()),-$K$14*LN(1-RAND()))</f>
        <v/>
      </c>
    </row>
    <row r="294">
      <c r="A294" s="13" t="n">
        <v>290</v>
      </c>
      <c r="B294" s="14">
        <f>RAND()</f>
        <v/>
      </c>
      <c r="C294" s="16">
        <f>-$K$4*LN(1-B294)</f>
        <v/>
      </c>
      <c r="D294" s="16">
        <f>IF(B294&lt;$K$15,$K$5+SQRT(B294*($K$7-$K$5)*($K$6-$K$5)),$K$7-SQRT((1-B294)*($K$7-$K$5)*($K$7-$K$6)))</f>
        <v/>
      </c>
      <c r="E294" s="13">
        <f>INDEX($J$18:$J$22,MATCH(B294,$L$18:$L$22,1))</f>
        <v/>
      </c>
      <c r="F294" s="16">
        <f>-($K$9/$K$8)*LN(RAND()*RAND()*RAND())</f>
        <v/>
      </c>
      <c r="G294" s="16">
        <f>NORMINV(RAND(),$K$10,$K$11)</f>
        <v/>
      </c>
      <c r="H294" s="16">
        <f>IF(RAND()&lt;$K$12,-$K$13*LN(1-RAND()),-$K$14*LN(1-RAND()))</f>
        <v/>
      </c>
    </row>
    <row r="295">
      <c r="A295" s="13" t="n">
        <v>291</v>
      </c>
      <c r="B295" s="14">
        <f>RAND()</f>
        <v/>
      </c>
      <c r="C295" s="16">
        <f>-$K$4*LN(1-B295)</f>
        <v/>
      </c>
      <c r="D295" s="16">
        <f>IF(B295&lt;$K$15,$K$5+SQRT(B295*($K$7-$K$5)*($K$6-$K$5)),$K$7-SQRT((1-B295)*($K$7-$K$5)*($K$7-$K$6)))</f>
        <v/>
      </c>
      <c r="E295" s="13">
        <f>INDEX($J$18:$J$22,MATCH(B295,$L$18:$L$22,1))</f>
        <v/>
      </c>
      <c r="F295" s="16">
        <f>-($K$9/$K$8)*LN(RAND()*RAND()*RAND())</f>
        <v/>
      </c>
      <c r="G295" s="16">
        <f>NORMINV(RAND(),$K$10,$K$11)</f>
        <v/>
      </c>
      <c r="H295" s="16">
        <f>IF(RAND()&lt;$K$12,-$K$13*LN(1-RAND()),-$K$14*LN(1-RAND()))</f>
        <v/>
      </c>
    </row>
    <row r="296">
      <c r="A296" s="13" t="n">
        <v>292</v>
      </c>
      <c r="B296" s="14">
        <f>RAND()</f>
        <v/>
      </c>
      <c r="C296" s="16">
        <f>-$K$4*LN(1-B296)</f>
        <v/>
      </c>
      <c r="D296" s="16">
        <f>IF(B296&lt;$K$15,$K$5+SQRT(B296*($K$7-$K$5)*($K$6-$K$5)),$K$7-SQRT((1-B296)*($K$7-$K$5)*($K$7-$K$6)))</f>
        <v/>
      </c>
      <c r="E296" s="13">
        <f>INDEX($J$18:$J$22,MATCH(B296,$L$18:$L$22,1))</f>
        <v/>
      </c>
      <c r="F296" s="16">
        <f>-($K$9/$K$8)*LN(RAND()*RAND()*RAND())</f>
        <v/>
      </c>
      <c r="G296" s="16">
        <f>NORMINV(RAND(),$K$10,$K$11)</f>
        <v/>
      </c>
      <c r="H296" s="16">
        <f>IF(RAND()&lt;$K$12,-$K$13*LN(1-RAND()),-$K$14*LN(1-RAND()))</f>
        <v/>
      </c>
    </row>
    <row r="297">
      <c r="A297" s="13" t="n">
        <v>293</v>
      </c>
      <c r="B297" s="14">
        <f>RAND()</f>
        <v/>
      </c>
      <c r="C297" s="16">
        <f>-$K$4*LN(1-B297)</f>
        <v/>
      </c>
      <c r="D297" s="16">
        <f>IF(B297&lt;$K$15,$K$5+SQRT(B297*($K$7-$K$5)*($K$6-$K$5)),$K$7-SQRT((1-B297)*($K$7-$K$5)*($K$7-$K$6)))</f>
        <v/>
      </c>
      <c r="E297" s="13">
        <f>INDEX($J$18:$J$22,MATCH(B297,$L$18:$L$22,1))</f>
        <v/>
      </c>
      <c r="F297" s="16">
        <f>-($K$9/$K$8)*LN(RAND()*RAND()*RAND())</f>
        <v/>
      </c>
      <c r="G297" s="16">
        <f>NORMINV(RAND(),$K$10,$K$11)</f>
        <v/>
      </c>
      <c r="H297" s="16">
        <f>IF(RAND()&lt;$K$12,-$K$13*LN(1-RAND()),-$K$14*LN(1-RAND()))</f>
        <v/>
      </c>
    </row>
    <row r="298">
      <c r="A298" s="13" t="n">
        <v>294</v>
      </c>
      <c r="B298" s="14">
        <f>RAND()</f>
        <v/>
      </c>
      <c r="C298" s="16">
        <f>-$K$4*LN(1-B298)</f>
        <v/>
      </c>
      <c r="D298" s="16">
        <f>IF(B298&lt;$K$15,$K$5+SQRT(B298*($K$7-$K$5)*($K$6-$K$5)),$K$7-SQRT((1-B298)*($K$7-$K$5)*($K$7-$K$6)))</f>
        <v/>
      </c>
      <c r="E298" s="13">
        <f>INDEX($J$18:$J$22,MATCH(B298,$L$18:$L$22,1))</f>
        <v/>
      </c>
      <c r="F298" s="16">
        <f>-($K$9/$K$8)*LN(RAND()*RAND()*RAND())</f>
        <v/>
      </c>
      <c r="G298" s="16">
        <f>NORMINV(RAND(),$K$10,$K$11)</f>
        <v/>
      </c>
      <c r="H298" s="16">
        <f>IF(RAND()&lt;$K$12,-$K$13*LN(1-RAND()),-$K$14*LN(1-RAND()))</f>
        <v/>
      </c>
    </row>
    <row r="299">
      <c r="A299" s="13" t="n">
        <v>295</v>
      </c>
      <c r="B299" s="14">
        <f>RAND()</f>
        <v/>
      </c>
      <c r="C299" s="16">
        <f>-$K$4*LN(1-B299)</f>
        <v/>
      </c>
      <c r="D299" s="16">
        <f>IF(B299&lt;$K$15,$K$5+SQRT(B299*($K$7-$K$5)*($K$6-$K$5)),$K$7-SQRT((1-B299)*($K$7-$K$5)*($K$7-$K$6)))</f>
        <v/>
      </c>
      <c r="E299" s="13">
        <f>INDEX($J$18:$J$22,MATCH(B299,$L$18:$L$22,1))</f>
        <v/>
      </c>
      <c r="F299" s="16">
        <f>-($K$9/$K$8)*LN(RAND()*RAND()*RAND())</f>
        <v/>
      </c>
      <c r="G299" s="16">
        <f>NORMINV(RAND(),$K$10,$K$11)</f>
        <v/>
      </c>
      <c r="H299" s="16">
        <f>IF(RAND()&lt;$K$12,-$K$13*LN(1-RAND()),-$K$14*LN(1-RAND()))</f>
        <v/>
      </c>
    </row>
    <row r="300">
      <c r="A300" s="13" t="n">
        <v>296</v>
      </c>
      <c r="B300" s="14">
        <f>RAND()</f>
        <v/>
      </c>
      <c r="C300" s="16">
        <f>-$K$4*LN(1-B300)</f>
        <v/>
      </c>
      <c r="D300" s="16">
        <f>IF(B300&lt;$K$15,$K$5+SQRT(B300*($K$7-$K$5)*($K$6-$K$5)),$K$7-SQRT((1-B300)*($K$7-$K$5)*($K$7-$K$6)))</f>
        <v/>
      </c>
      <c r="E300" s="13">
        <f>INDEX($J$18:$J$22,MATCH(B300,$L$18:$L$22,1))</f>
        <v/>
      </c>
      <c r="F300" s="16">
        <f>-($K$9/$K$8)*LN(RAND()*RAND()*RAND())</f>
        <v/>
      </c>
      <c r="G300" s="16">
        <f>NORMINV(RAND(),$K$10,$K$11)</f>
        <v/>
      </c>
      <c r="H300" s="16">
        <f>IF(RAND()&lt;$K$12,-$K$13*LN(1-RAND()),-$K$14*LN(1-RAND()))</f>
        <v/>
      </c>
    </row>
    <row r="301">
      <c r="A301" s="13" t="n">
        <v>297</v>
      </c>
      <c r="B301" s="14">
        <f>RAND()</f>
        <v/>
      </c>
      <c r="C301" s="16">
        <f>-$K$4*LN(1-B301)</f>
        <v/>
      </c>
      <c r="D301" s="16">
        <f>IF(B301&lt;$K$15,$K$5+SQRT(B301*($K$7-$K$5)*($K$6-$K$5)),$K$7-SQRT((1-B301)*($K$7-$K$5)*($K$7-$K$6)))</f>
        <v/>
      </c>
      <c r="E301" s="13">
        <f>INDEX($J$18:$J$22,MATCH(B301,$L$18:$L$22,1))</f>
        <v/>
      </c>
      <c r="F301" s="16">
        <f>-($K$9/$K$8)*LN(RAND()*RAND()*RAND())</f>
        <v/>
      </c>
      <c r="G301" s="16">
        <f>NORMINV(RAND(),$K$10,$K$11)</f>
        <v/>
      </c>
      <c r="H301" s="16">
        <f>IF(RAND()&lt;$K$12,-$K$13*LN(1-RAND()),-$K$14*LN(1-RAND()))</f>
        <v/>
      </c>
    </row>
    <row r="302">
      <c r="A302" s="13" t="n">
        <v>298</v>
      </c>
      <c r="B302" s="14">
        <f>RAND()</f>
        <v/>
      </c>
      <c r="C302" s="16">
        <f>-$K$4*LN(1-B302)</f>
        <v/>
      </c>
      <c r="D302" s="16">
        <f>IF(B302&lt;$K$15,$K$5+SQRT(B302*($K$7-$K$5)*($K$6-$K$5)),$K$7-SQRT((1-B302)*($K$7-$K$5)*($K$7-$K$6)))</f>
        <v/>
      </c>
      <c r="E302" s="13">
        <f>INDEX($J$18:$J$22,MATCH(B302,$L$18:$L$22,1))</f>
        <v/>
      </c>
      <c r="F302" s="16">
        <f>-($K$9/$K$8)*LN(RAND()*RAND()*RAND())</f>
        <v/>
      </c>
      <c r="G302" s="16">
        <f>NORMINV(RAND(),$K$10,$K$11)</f>
        <v/>
      </c>
      <c r="H302" s="16">
        <f>IF(RAND()&lt;$K$12,-$K$13*LN(1-RAND()),-$K$14*LN(1-RAND()))</f>
        <v/>
      </c>
    </row>
    <row r="303">
      <c r="A303" s="13" t="n">
        <v>299</v>
      </c>
      <c r="B303" s="14">
        <f>RAND()</f>
        <v/>
      </c>
      <c r="C303" s="16">
        <f>-$K$4*LN(1-B303)</f>
        <v/>
      </c>
      <c r="D303" s="16">
        <f>IF(B303&lt;$K$15,$K$5+SQRT(B303*($K$7-$K$5)*($K$6-$K$5)),$K$7-SQRT((1-B303)*($K$7-$K$5)*($K$7-$K$6)))</f>
        <v/>
      </c>
      <c r="E303" s="13">
        <f>INDEX($J$18:$J$22,MATCH(B303,$L$18:$L$22,1))</f>
        <v/>
      </c>
      <c r="F303" s="16">
        <f>-($K$9/$K$8)*LN(RAND()*RAND()*RAND())</f>
        <v/>
      </c>
      <c r="G303" s="16">
        <f>NORMINV(RAND(),$K$10,$K$11)</f>
        <v/>
      </c>
      <c r="H303" s="16">
        <f>IF(RAND()&lt;$K$12,-$K$13*LN(1-RAND()),-$K$14*LN(1-RAND()))</f>
        <v/>
      </c>
    </row>
    <row r="304">
      <c r="A304" s="13" t="n">
        <v>300</v>
      </c>
      <c r="B304" s="14">
        <f>RAND()</f>
        <v/>
      </c>
      <c r="C304" s="16">
        <f>-$K$4*LN(1-B304)</f>
        <v/>
      </c>
      <c r="D304" s="16">
        <f>IF(B304&lt;$K$15,$K$5+SQRT(B304*($K$7-$K$5)*($K$6-$K$5)),$K$7-SQRT((1-B304)*($K$7-$K$5)*($K$7-$K$6)))</f>
        <v/>
      </c>
      <c r="E304" s="13">
        <f>INDEX($J$18:$J$22,MATCH(B304,$L$18:$L$22,1))</f>
        <v/>
      </c>
      <c r="F304" s="16">
        <f>-($K$9/$K$8)*LN(RAND()*RAND()*RAND())</f>
        <v/>
      </c>
      <c r="G304" s="16">
        <f>NORMINV(RAND(),$K$10,$K$11)</f>
        <v/>
      </c>
      <c r="H304" s="16">
        <f>IF(RAND()&lt;$K$12,-$K$13*LN(1-RAND()),-$K$14*LN(1-RAND()))</f>
        <v/>
      </c>
    </row>
    <row r="305">
      <c r="A305" s="13" t="n">
        <v>301</v>
      </c>
      <c r="B305" s="14">
        <f>RAND()</f>
        <v/>
      </c>
      <c r="C305" s="16">
        <f>-$K$4*LN(1-B305)</f>
        <v/>
      </c>
      <c r="D305" s="16">
        <f>IF(B305&lt;$K$15,$K$5+SQRT(B305*($K$7-$K$5)*($K$6-$K$5)),$K$7-SQRT((1-B305)*($K$7-$K$5)*($K$7-$K$6)))</f>
        <v/>
      </c>
      <c r="E305" s="13">
        <f>INDEX($J$18:$J$22,MATCH(B305,$L$18:$L$22,1))</f>
        <v/>
      </c>
      <c r="F305" s="16">
        <f>-($K$9/$K$8)*LN(RAND()*RAND()*RAND())</f>
        <v/>
      </c>
      <c r="G305" s="16">
        <f>NORMINV(RAND(),$K$10,$K$11)</f>
        <v/>
      </c>
      <c r="H305" s="16">
        <f>IF(RAND()&lt;$K$12,-$K$13*LN(1-RAND()),-$K$14*LN(1-RAND()))</f>
        <v/>
      </c>
    </row>
    <row r="306">
      <c r="A306" s="13" t="n">
        <v>302</v>
      </c>
      <c r="B306" s="14">
        <f>RAND()</f>
        <v/>
      </c>
      <c r="C306" s="16">
        <f>-$K$4*LN(1-B306)</f>
        <v/>
      </c>
      <c r="D306" s="16">
        <f>IF(B306&lt;$K$15,$K$5+SQRT(B306*($K$7-$K$5)*($K$6-$K$5)),$K$7-SQRT((1-B306)*($K$7-$K$5)*($K$7-$K$6)))</f>
        <v/>
      </c>
      <c r="E306" s="13">
        <f>INDEX($J$18:$J$22,MATCH(B306,$L$18:$L$22,1))</f>
        <v/>
      </c>
      <c r="F306" s="16">
        <f>-($K$9/$K$8)*LN(RAND()*RAND()*RAND())</f>
        <v/>
      </c>
      <c r="G306" s="16">
        <f>NORMINV(RAND(),$K$10,$K$11)</f>
        <v/>
      </c>
      <c r="H306" s="16">
        <f>IF(RAND()&lt;$K$12,-$K$13*LN(1-RAND()),-$K$14*LN(1-RAND()))</f>
        <v/>
      </c>
    </row>
    <row r="307">
      <c r="A307" s="13" t="n">
        <v>303</v>
      </c>
      <c r="B307" s="14">
        <f>RAND()</f>
        <v/>
      </c>
      <c r="C307" s="16">
        <f>-$K$4*LN(1-B307)</f>
        <v/>
      </c>
      <c r="D307" s="16">
        <f>IF(B307&lt;$K$15,$K$5+SQRT(B307*($K$7-$K$5)*($K$6-$K$5)),$K$7-SQRT((1-B307)*($K$7-$K$5)*($K$7-$K$6)))</f>
        <v/>
      </c>
      <c r="E307" s="13">
        <f>INDEX($J$18:$J$22,MATCH(B307,$L$18:$L$22,1))</f>
        <v/>
      </c>
      <c r="F307" s="16">
        <f>-($K$9/$K$8)*LN(RAND()*RAND()*RAND())</f>
        <v/>
      </c>
      <c r="G307" s="16">
        <f>NORMINV(RAND(),$K$10,$K$11)</f>
        <v/>
      </c>
      <c r="H307" s="16">
        <f>IF(RAND()&lt;$K$12,-$K$13*LN(1-RAND()),-$K$14*LN(1-RAND()))</f>
        <v/>
      </c>
    </row>
    <row r="308">
      <c r="A308" s="13" t="n">
        <v>304</v>
      </c>
      <c r="B308" s="14">
        <f>RAND()</f>
        <v/>
      </c>
      <c r="C308" s="16">
        <f>-$K$4*LN(1-B308)</f>
        <v/>
      </c>
      <c r="D308" s="16">
        <f>IF(B308&lt;$K$15,$K$5+SQRT(B308*($K$7-$K$5)*($K$6-$K$5)),$K$7-SQRT((1-B308)*($K$7-$K$5)*($K$7-$K$6)))</f>
        <v/>
      </c>
      <c r="E308" s="13">
        <f>INDEX($J$18:$J$22,MATCH(B308,$L$18:$L$22,1))</f>
        <v/>
      </c>
      <c r="F308" s="16">
        <f>-($K$9/$K$8)*LN(RAND()*RAND()*RAND())</f>
        <v/>
      </c>
      <c r="G308" s="16">
        <f>NORMINV(RAND(),$K$10,$K$11)</f>
        <v/>
      </c>
      <c r="H308" s="16">
        <f>IF(RAND()&lt;$K$12,-$K$13*LN(1-RAND()),-$K$14*LN(1-RAND()))</f>
        <v/>
      </c>
    </row>
    <row r="309">
      <c r="A309" s="13" t="n">
        <v>305</v>
      </c>
      <c r="B309" s="14">
        <f>RAND()</f>
        <v/>
      </c>
      <c r="C309" s="16">
        <f>-$K$4*LN(1-B309)</f>
        <v/>
      </c>
      <c r="D309" s="16">
        <f>IF(B309&lt;$K$15,$K$5+SQRT(B309*($K$7-$K$5)*($K$6-$K$5)),$K$7-SQRT((1-B309)*($K$7-$K$5)*($K$7-$K$6)))</f>
        <v/>
      </c>
      <c r="E309" s="13">
        <f>INDEX($J$18:$J$22,MATCH(B309,$L$18:$L$22,1))</f>
        <v/>
      </c>
      <c r="F309" s="16">
        <f>-($K$9/$K$8)*LN(RAND()*RAND()*RAND())</f>
        <v/>
      </c>
      <c r="G309" s="16">
        <f>NORMINV(RAND(),$K$10,$K$11)</f>
        <v/>
      </c>
      <c r="H309" s="16">
        <f>IF(RAND()&lt;$K$12,-$K$13*LN(1-RAND()),-$K$14*LN(1-RAND()))</f>
        <v/>
      </c>
    </row>
    <row r="310">
      <c r="A310" s="13" t="n">
        <v>306</v>
      </c>
      <c r="B310" s="14">
        <f>RAND()</f>
        <v/>
      </c>
      <c r="C310" s="16">
        <f>-$K$4*LN(1-B310)</f>
        <v/>
      </c>
      <c r="D310" s="16">
        <f>IF(B310&lt;$K$15,$K$5+SQRT(B310*($K$7-$K$5)*($K$6-$K$5)),$K$7-SQRT((1-B310)*($K$7-$K$5)*($K$7-$K$6)))</f>
        <v/>
      </c>
      <c r="E310" s="13">
        <f>INDEX($J$18:$J$22,MATCH(B310,$L$18:$L$22,1))</f>
        <v/>
      </c>
      <c r="F310" s="16">
        <f>-($K$9/$K$8)*LN(RAND()*RAND()*RAND())</f>
        <v/>
      </c>
      <c r="G310" s="16">
        <f>NORMINV(RAND(),$K$10,$K$11)</f>
        <v/>
      </c>
      <c r="H310" s="16">
        <f>IF(RAND()&lt;$K$12,-$K$13*LN(1-RAND()),-$K$14*LN(1-RAND()))</f>
        <v/>
      </c>
    </row>
    <row r="311">
      <c r="A311" s="13" t="n">
        <v>307</v>
      </c>
      <c r="B311" s="14">
        <f>RAND()</f>
        <v/>
      </c>
      <c r="C311" s="16">
        <f>-$K$4*LN(1-B311)</f>
        <v/>
      </c>
      <c r="D311" s="16">
        <f>IF(B311&lt;$K$15,$K$5+SQRT(B311*($K$7-$K$5)*($K$6-$K$5)),$K$7-SQRT((1-B311)*($K$7-$K$5)*($K$7-$K$6)))</f>
        <v/>
      </c>
      <c r="E311" s="13">
        <f>INDEX($J$18:$J$22,MATCH(B311,$L$18:$L$22,1))</f>
        <v/>
      </c>
      <c r="F311" s="16">
        <f>-($K$9/$K$8)*LN(RAND()*RAND()*RAND())</f>
        <v/>
      </c>
      <c r="G311" s="16">
        <f>NORMINV(RAND(),$K$10,$K$11)</f>
        <v/>
      </c>
      <c r="H311" s="16">
        <f>IF(RAND()&lt;$K$12,-$K$13*LN(1-RAND()),-$K$14*LN(1-RAND()))</f>
        <v/>
      </c>
    </row>
    <row r="312">
      <c r="A312" s="13" t="n">
        <v>308</v>
      </c>
      <c r="B312" s="14">
        <f>RAND()</f>
        <v/>
      </c>
      <c r="C312" s="16">
        <f>-$K$4*LN(1-B312)</f>
        <v/>
      </c>
      <c r="D312" s="16">
        <f>IF(B312&lt;$K$15,$K$5+SQRT(B312*($K$7-$K$5)*($K$6-$K$5)),$K$7-SQRT((1-B312)*($K$7-$K$5)*($K$7-$K$6)))</f>
        <v/>
      </c>
      <c r="E312" s="13">
        <f>INDEX($J$18:$J$22,MATCH(B312,$L$18:$L$22,1))</f>
        <v/>
      </c>
      <c r="F312" s="16">
        <f>-($K$9/$K$8)*LN(RAND()*RAND()*RAND())</f>
        <v/>
      </c>
      <c r="G312" s="16">
        <f>NORMINV(RAND(),$K$10,$K$11)</f>
        <v/>
      </c>
      <c r="H312" s="16">
        <f>IF(RAND()&lt;$K$12,-$K$13*LN(1-RAND()),-$K$14*LN(1-RAND()))</f>
        <v/>
      </c>
    </row>
    <row r="313">
      <c r="A313" s="13" t="n">
        <v>309</v>
      </c>
      <c r="B313" s="14">
        <f>RAND()</f>
        <v/>
      </c>
      <c r="C313" s="16">
        <f>-$K$4*LN(1-B313)</f>
        <v/>
      </c>
      <c r="D313" s="16">
        <f>IF(B313&lt;$K$15,$K$5+SQRT(B313*($K$7-$K$5)*($K$6-$K$5)),$K$7-SQRT((1-B313)*($K$7-$K$5)*($K$7-$K$6)))</f>
        <v/>
      </c>
      <c r="E313" s="13">
        <f>INDEX($J$18:$J$22,MATCH(B313,$L$18:$L$22,1))</f>
        <v/>
      </c>
      <c r="F313" s="16">
        <f>-($K$9/$K$8)*LN(RAND()*RAND()*RAND())</f>
        <v/>
      </c>
      <c r="G313" s="16">
        <f>NORMINV(RAND(),$K$10,$K$11)</f>
        <v/>
      </c>
      <c r="H313" s="16">
        <f>IF(RAND()&lt;$K$12,-$K$13*LN(1-RAND()),-$K$14*LN(1-RAND()))</f>
        <v/>
      </c>
    </row>
    <row r="314">
      <c r="A314" s="13" t="n">
        <v>310</v>
      </c>
      <c r="B314" s="14">
        <f>RAND()</f>
        <v/>
      </c>
      <c r="C314" s="16">
        <f>-$K$4*LN(1-B314)</f>
        <v/>
      </c>
      <c r="D314" s="16">
        <f>IF(B314&lt;$K$15,$K$5+SQRT(B314*($K$7-$K$5)*($K$6-$K$5)),$K$7-SQRT((1-B314)*($K$7-$K$5)*($K$7-$K$6)))</f>
        <v/>
      </c>
      <c r="E314" s="13">
        <f>INDEX($J$18:$J$22,MATCH(B314,$L$18:$L$22,1))</f>
        <v/>
      </c>
      <c r="F314" s="16">
        <f>-($K$9/$K$8)*LN(RAND()*RAND()*RAND())</f>
        <v/>
      </c>
      <c r="G314" s="16">
        <f>NORMINV(RAND(),$K$10,$K$11)</f>
        <v/>
      </c>
      <c r="H314" s="16">
        <f>IF(RAND()&lt;$K$12,-$K$13*LN(1-RAND()),-$K$14*LN(1-RAND()))</f>
        <v/>
      </c>
    </row>
    <row r="315">
      <c r="A315" s="13" t="n">
        <v>311</v>
      </c>
      <c r="B315" s="14">
        <f>RAND()</f>
        <v/>
      </c>
      <c r="C315" s="16">
        <f>-$K$4*LN(1-B315)</f>
        <v/>
      </c>
      <c r="D315" s="16">
        <f>IF(B315&lt;$K$15,$K$5+SQRT(B315*($K$7-$K$5)*($K$6-$K$5)),$K$7-SQRT((1-B315)*($K$7-$K$5)*($K$7-$K$6)))</f>
        <v/>
      </c>
      <c r="E315" s="13">
        <f>INDEX($J$18:$J$22,MATCH(B315,$L$18:$L$22,1))</f>
        <v/>
      </c>
      <c r="F315" s="16">
        <f>-($K$9/$K$8)*LN(RAND()*RAND()*RAND())</f>
        <v/>
      </c>
      <c r="G315" s="16">
        <f>NORMINV(RAND(),$K$10,$K$11)</f>
        <v/>
      </c>
      <c r="H315" s="16">
        <f>IF(RAND()&lt;$K$12,-$K$13*LN(1-RAND()),-$K$14*LN(1-RAND()))</f>
        <v/>
      </c>
    </row>
    <row r="316">
      <c r="A316" s="13" t="n">
        <v>312</v>
      </c>
      <c r="B316" s="14">
        <f>RAND()</f>
        <v/>
      </c>
      <c r="C316" s="16">
        <f>-$K$4*LN(1-B316)</f>
        <v/>
      </c>
      <c r="D316" s="16">
        <f>IF(B316&lt;$K$15,$K$5+SQRT(B316*($K$7-$K$5)*($K$6-$K$5)),$K$7-SQRT((1-B316)*($K$7-$K$5)*($K$7-$K$6)))</f>
        <v/>
      </c>
      <c r="E316" s="13">
        <f>INDEX($J$18:$J$22,MATCH(B316,$L$18:$L$22,1))</f>
        <v/>
      </c>
      <c r="F316" s="16">
        <f>-($K$9/$K$8)*LN(RAND()*RAND()*RAND())</f>
        <v/>
      </c>
      <c r="G316" s="16">
        <f>NORMINV(RAND(),$K$10,$K$11)</f>
        <v/>
      </c>
      <c r="H316" s="16">
        <f>IF(RAND()&lt;$K$12,-$K$13*LN(1-RAND()),-$K$14*LN(1-RAND()))</f>
        <v/>
      </c>
    </row>
    <row r="317">
      <c r="A317" s="13" t="n">
        <v>313</v>
      </c>
      <c r="B317" s="14">
        <f>RAND()</f>
        <v/>
      </c>
      <c r="C317" s="16">
        <f>-$K$4*LN(1-B317)</f>
        <v/>
      </c>
      <c r="D317" s="16">
        <f>IF(B317&lt;$K$15,$K$5+SQRT(B317*($K$7-$K$5)*($K$6-$K$5)),$K$7-SQRT((1-B317)*($K$7-$K$5)*($K$7-$K$6)))</f>
        <v/>
      </c>
      <c r="E317" s="13">
        <f>INDEX($J$18:$J$22,MATCH(B317,$L$18:$L$22,1))</f>
        <v/>
      </c>
      <c r="F317" s="16">
        <f>-($K$9/$K$8)*LN(RAND()*RAND()*RAND())</f>
        <v/>
      </c>
      <c r="G317" s="16">
        <f>NORMINV(RAND(),$K$10,$K$11)</f>
        <v/>
      </c>
      <c r="H317" s="16">
        <f>IF(RAND()&lt;$K$12,-$K$13*LN(1-RAND()),-$K$14*LN(1-RAND()))</f>
        <v/>
      </c>
    </row>
    <row r="318">
      <c r="A318" s="13" t="n">
        <v>314</v>
      </c>
      <c r="B318" s="14">
        <f>RAND()</f>
        <v/>
      </c>
      <c r="C318" s="16">
        <f>-$K$4*LN(1-B318)</f>
        <v/>
      </c>
      <c r="D318" s="16">
        <f>IF(B318&lt;$K$15,$K$5+SQRT(B318*($K$7-$K$5)*($K$6-$K$5)),$K$7-SQRT((1-B318)*($K$7-$K$5)*($K$7-$K$6)))</f>
        <v/>
      </c>
      <c r="E318" s="13">
        <f>INDEX($J$18:$J$22,MATCH(B318,$L$18:$L$22,1))</f>
        <v/>
      </c>
      <c r="F318" s="16">
        <f>-($K$9/$K$8)*LN(RAND()*RAND()*RAND())</f>
        <v/>
      </c>
      <c r="G318" s="16">
        <f>NORMINV(RAND(),$K$10,$K$11)</f>
        <v/>
      </c>
      <c r="H318" s="16">
        <f>IF(RAND()&lt;$K$12,-$K$13*LN(1-RAND()),-$K$14*LN(1-RAND()))</f>
        <v/>
      </c>
    </row>
    <row r="319">
      <c r="A319" s="13" t="n">
        <v>315</v>
      </c>
      <c r="B319" s="14">
        <f>RAND()</f>
        <v/>
      </c>
      <c r="C319" s="16">
        <f>-$K$4*LN(1-B319)</f>
        <v/>
      </c>
      <c r="D319" s="16">
        <f>IF(B319&lt;$K$15,$K$5+SQRT(B319*($K$7-$K$5)*($K$6-$K$5)),$K$7-SQRT((1-B319)*($K$7-$K$5)*($K$7-$K$6)))</f>
        <v/>
      </c>
      <c r="E319" s="13">
        <f>INDEX($J$18:$J$22,MATCH(B319,$L$18:$L$22,1))</f>
        <v/>
      </c>
      <c r="F319" s="16">
        <f>-($K$9/$K$8)*LN(RAND()*RAND()*RAND())</f>
        <v/>
      </c>
      <c r="G319" s="16">
        <f>NORMINV(RAND(),$K$10,$K$11)</f>
        <v/>
      </c>
      <c r="H319" s="16">
        <f>IF(RAND()&lt;$K$12,-$K$13*LN(1-RAND()),-$K$14*LN(1-RAND()))</f>
        <v/>
      </c>
    </row>
    <row r="320">
      <c r="A320" s="13" t="n">
        <v>316</v>
      </c>
      <c r="B320" s="14">
        <f>RAND()</f>
        <v/>
      </c>
      <c r="C320" s="16">
        <f>-$K$4*LN(1-B320)</f>
        <v/>
      </c>
      <c r="D320" s="16">
        <f>IF(B320&lt;$K$15,$K$5+SQRT(B320*($K$7-$K$5)*($K$6-$K$5)),$K$7-SQRT((1-B320)*($K$7-$K$5)*($K$7-$K$6)))</f>
        <v/>
      </c>
      <c r="E320" s="13">
        <f>INDEX($J$18:$J$22,MATCH(B320,$L$18:$L$22,1))</f>
        <v/>
      </c>
      <c r="F320" s="16">
        <f>-($K$9/$K$8)*LN(RAND()*RAND()*RAND())</f>
        <v/>
      </c>
      <c r="G320" s="16">
        <f>NORMINV(RAND(),$K$10,$K$11)</f>
        <v/>
      </c>
      <c r="H320" s="16">
        <f>IF(RAND()&lt;$K$12,-$K$13*LN(1-RAND()),-$K$14*LN(1-RAND()))</f>
        <v/>
      </c>
    </row>
    <row r="321">
      <c r="A321" s="13" t="n">
        <v>317</v>
      </c>
      <c r="B321" s="14">
        <f>RAND()</f>
        <v/>
      </c>
      <c r="C321" s="16">
        <f>-$K$4*LN(1-B321)</f>
        <v/>
      </c>
      <c r="D321" s="16">
        <f>IF(B321&lt;$K$15,$K$5+SQRT(B321*($K$7-$K$5)*($K$6-$K$5)),$K$7-SQRT((1-B321)*($K$7-$K$5)*($K$7-$K$6)))</f>
        <v/>
      </c>
      <c r="E321" s="13">
        <f>INDEX($J$18:$J$22,MATCH(B321,$L$18:$L$22,1))</f>
        <v/>
      </c>
      <c r="F321" s="16">
        <f>-($K$9/$K$8)*LN(RAND()*RAND()*RAND())</f>
        <v/>
      </c>
      <c r="G321" s="16">
        <f>NORMINV(RAND(),$K$10,$K$11)</f>
        <v/>
      </c>
      <c r="H321" s="16">
        <f>IF(RAND()&lt;$K$12,-$K$13*LN(1-RAND()),-$K$14*LN(1-RAND()))</f>
        <v/>
      </c>
    </row>
    <row r="322">
      <c r="A322" s="13" t="n">
        <v>318</v>
      </c>
      <c r="B322" s="14">
        <f>RAND()</f>
        <v/>
      </c>
      <c r="C322" s="16">
        <f>-$K$4*LN(1-B322)</f>
        <v/>
      </c>
      <c r="D322" s="16">
        <f>IF(B322&lt;$K$15,$K$5+SQRT(B322*($K$7-$K$5)*($K$6-$K$5)),$K$7-SQRT((1-B322)*($K$7-$K$5)*($K$7-$K$6)))</f>
        <v/>
      </c>
      <c r="E322" s="13">
        <f>INDEX($J$18:$J$22,MATCH(B322,$L$18:$L$22,1))</f>
        <v/>
      </c>
      <c r="F322" s="16">
        <f>-($K$9/$K$8)*LN(RAND()*RAND()*RAND())</f>
        <v/>
      </c>
      <c r="G322" s="16">
        <f>NORMINV(RAND(),$K$10,$K$11)</f>
        <v/>
      </c>
      <c r="H322" s="16">
        <f>IF(RAND()&lt;$K$12,-$K$13*LN(1-RAND()),-$K$14*LN(1-RAND()))</f>
        <v/>
      </c>
    </row>
    <row r="323">
      <c r="A323" s="13" t="n">
        <v>319</v>
      </c>
      <c r="B323" s="14">
        <f>RAND()</f>
        <v/>
      </c>
      <c r="C323" s="16">
        <f>-$K$4*LN(1-B323)</f>
        <v/>
      </c>
      <c r="D323" s="16">
        <f>IF(B323&lt;$K$15,$K$5+SQRT(B323*($K$7-$K$5)*($K$6-$K$5)),$K$7-SQRT((1-B323)*($K$7-$K$5)*($K$7-$K$6)))</f>
        <v/>
      </c>
      <c r="E323" s="13">
        <f>INDEX($J$18:$J$22,MATCH(B323,$L$18:$L$22,1))</f>
        <v/>
      </c>
      <c r="F323" s="16">
        <f>-($K$9/$K$8)*LN(RAND()*RAND()*RAND())</f>
        <v/>
      </c>
      <c r="G323" s="16">
        <f>NORMINV(RAND(),$K$10,$K$11)</f>
        <v/>
      </c>
      <c r="H323" s="16">
        <f>IF(RAND()&lt;$K$12,-$K$13*LN(1-RAND()),-$K$14*LN(1-RAND()))</f>
        <v/>
      </c>
    </row>
    <row r="324">
      <c r="A324" s="13" t="n">
        <v>320</v>
      </c>
      <c r="B324" s="14">
        <f>RAND()</f>
        <v/>
      </c>
      <c r="C324" s="16">
        <f>-$K$4*LN(1-B324)</f>
        <v/>
      </c>
      <c r="D324" s="16">
        <f>IF(B324&lt;$K$15,$K$5+SQRT(B324*($K$7-$K$5)*($K$6-$K$5)),$K$7-SQRT((1-B324)*($K$7-$K$5)*($K$7-$K$6)))</f>
        <v/>
      </c>
      <c r="E324" s="13">
        <f>INDEX($J$18:$J$22,MATCH(B324,$L$18:$L$22,1))</f>
        <v/>
      </c>
      <c r="F324" s="16">
        <f>-($K$9/$K$8)*LN(RAND()*RAND()*RAND())</f>
        <v/>
      </c>
      <c r="G324" s="16">
        <f>NORMINV(RAND(),$K$10,$K$11)</f>
        <v/>
      </c>
      <c r="H324" s="16">
        <f>IF(RAND()&lt;$K$12,-$K$13*LN(1-RAND()),-$K$14*LN(1-RAND()))</f>
        <v/>
      </c>
    </row>
    <row r="325">
      <c r="A325" s="13" t="n">
        <v>321</v>
      </c>
      <c r="B325" s="14">
        <f>RAND()</f>
        <v/>
      </c>
      <c r="C325" s="16">
        <f>-$K$4*LN(1-B325)</f>
        <v/>
      </c>
      <c r="D325" s="16">
        <f>IF(B325&lt;$K$15,$K$5+SQRT(B325*($K$7-$K$5)*($K$6-$K$5)),$K$7-SQRT((1-B325)*($K$7-$K$5)*($K$7-$K$6)))</f>
        <v/>
      </c>
      <c r="E325" s="13">
        <f>INDEX($J$18:$J$22,MATCH(B325,$L$18:$L$22,1))</f>
        <v/>
      </c>
      <c r="F325" s="16">
        <f>-($K$9/$K$8)*LN(RAND()*RAND()*RAND())</f>
        <v/>
      </c>
      <c r="G325" s="16">
        <f>NORMINV(RAND(),$K$10,$K$11)</f>
        <v/>
      </c>
      <c r="H325" s="16">
        <f>IF(RAND()&lt;$K$12,-$K$13*LN(1-RAND()),-$K$14*LN(1-RAND()))</f>
        <v/>
      </c>
    </row>
    <row r="326">
      <c r="A326" s="13" t="n">
        <v>322</v>
      </c>
      <c r="B326" s="14">
        <f>RAND()</f>
        <v/>
      </c>
      <c r="C326" s="16">
        <f>-$K$4*LN(1-B326)</f>
        <v/>
      </c>
      <c r="D326" s="16">
        <f>IF(B326&lt;$K$15,$K$5+SQRT(B326*($K$7-$K$5)*($K$6-$K$5)),$K$7-SQRT((1-B326)*($K$7-$K$5)*($K$7-$K$6)))</f>
        <v/>
      </c>
      <c r="E326" s="13">
        <f>INDEX($J$18:$J$22,MATCH(B326,$L$18:$L$22,1))</f>
        <v/>
      </c>
      <c r="F326" s="16">
        <f>-($K$9/$K$8)*LN(RAND()*RAND()*RAND())</f>
        <v/>
      </c>
      <c r="G326" s="16">
        <f>NORMINV(RAND(),$K$10,$K$11)</f>
        <v/>
      </c>
      <c r="H326" s="16">
        <f>IF(RAND()&lt;$K$12,-$K$13*LN(1-RAND()),-$K$14*LN(1-RAND()))</f>
        <v/>
      </c>
    </row>
    <row r="327">
      <c r="A327" s="13" t="n">
        <v>323</v>
      </c>
      <c r="B327" s="14">
        <f>RAND()</f>
        <v/>
      </c>
      <c r="C327" s="16">
        <f>-$K$4*LN(1-B327)</f>
        <v/>
      </c>
      <c r="D327" s="16">
        <f>IF(B327&lt;$K$15,$K$5+SQRT(B327*($K$7-$K$5)*($K$6-$K$5)),$K$7-SQRT((1-B327)*($K$7-$K$5)*($K$7-$K$6)))</f>
        <v/>
      </c>
      <c r="E327" s="13">
        <f>INDEX($J$18:$J$22,MATCH(B327,$L$18:$L$22,1))</f>
        <v/>
      </c>
      <c r="F327" s="16">
        <f>-($K$9/$K$8)*LN(RAND()*RAND()*RAND())</f>
        <v/>
      </c>
      <c r="G327" s="16">
        <f>NORMINV(RAND(),$K$10,$K$11)</f>
        <v/>
      </c>
      <c r="H327" s="16">
        <f>IF(RAND()&lt;$K$12,-$K$13*LN(1-RAND()),-$K$14*LN(1-RAND()))</f>
        <v/>
      </c>
    </row>
    <row r="328">
      <c r="A328" s="13" t="n">
        <v>324</v>
      </c>
      <c r="B328" s="14">
        <f>RAND()</f>
        <v/>
      </c>
      <c r="C328" s="16">
        <f>-$K$4*LN(1-B328)</f>
        <v/>
      </c>
      <c r="D328" s="16">
        <f>IF(B328&lt;$K$15,$K$5+SQRT(B328*($K$7-$K$5)*($K$6-$K$5)),$K$7-SQRT((1-B328)*($K$7-$K$5)*($K$7-$K$6)))</f>
        <v/>
      </c>
      <c r="E328" s="13">
        <f>INDEX($J$18:$J$22,MATCH(B328,$L$18:$L$22,1))</f>
        <v/>
      </c>
      <c r="F328" s="16">
        <f>-($K$9/$K$8)*LN(RAND()*RAND()*RAND())</f>
        <v/>
      </c>
      <c r="G328" s="16">
        <f>NORMINV(RAND(),$K$10,$K$11)</f>
        <v/>
      </c>
      <c r="H328" s="16">
        <f>IF(RAND()&lt;$K$12,-$K$13*LN(1-RAND()),-$K$14*LN(1-RAND()))</f>
        <v/>
      </c>
    </row>
    <row r="329">
      <c r="A329" s="13" t="n">
        <v>325</v>
      </c>
      <c r="B329" s="14">
        <f>RAND()</f>
        <v/>
      </c>
      <c r="C329" s="16">
        <f>-$K$4*LN(1-B329)</f>
        <v/>
      </c>
      <c r="D329" s="16">
        <f>IF(B329&lt;$K$15,$K$5+SQRT(B329*($K$7-$K$5)*($K$6-$K$5)),$K$7-SQRT((1-B329)*($K$7-$K$5)*($K$7-$K$6)))</f>
        <v/>
      </c>
      <c r="E329" s="13">
        <f>INDEX($J$18:$J$22,MATCH(B329,$L$18:$L$22,1))</f>
        <v/>
      </c>
      <c r="F329" s="16">
        <f>-($K$9/$K$8)*LN(RAND()*RAND()*RAND())</f>
        <v/>
      </c>
      <c r="G329" s="16">
        <f>NORMINV(RAND(),$K$10,$K$11)</f>
        <v/>
      </c>
      <c r="H329" s="16">
        <f>IF(RAND()&lt;$K$12,-$K$13*LN(1-RAND()),-$K$14*LN(1-RAND()))</f>
        <v/>
      </c>
    </row>
    <row r="330">
      <c r="A330" s="13" t="n">
        <v>326</v>
      </c>
      <c r="B330" s="14">
        <f>RAND()</f>
        <v/>
      </c>
      <c r="C330" s="16">
        <f>-$K$4*LN(1-B330)</f>
        <v/>
      </c>
      <c r="D330" s="16">
        <f>IF(B330&lt;$K$15,$K$5+SQRT(B330*($K$7-$K$5)*($K$6-$K$5)),$K$7-SQRT((1-B330)*($K$7-$K$5)*($K$7-$K$6)))</f>
        <v/>
      </c>
      <c r="E330" s="13">
        <f>INDEX($J$18:$J$22,MATCH(B330,$L$18:$L$22,1))</f>
        <v/>
      </c>
      <c r="F330" s="16">
        <f>-($K$9/$K$8)*LN(RAND()*RAND()*RAND())</f>
        <v/>
      </c>
      <c r="G330" s="16">
        <f>NORMINV(RAND(),$K$10,$K$11)</f>
        <v/>
      </c>
      <c r="H330" s="16">
        <f>IF(RAND()&lt;$K$12,-$K$13*LN(1-RAND()),-$K$14*LN(1-RAND()))</f>
        <v/>
      </c>
    </row>
    <row r="331">
      <c r="A331" s="13" t="n">
        <v>327</v>
      </c>
      <c r="B331" s="14">
        <f>RAND()</f>
        <v/>
      </c>
      <c r="C331" s="16">
        <f>-$K$4*LN(1-B331)</f>
        <v/>
      </c>
      <c r="D331" s="16">
        <f>IF(B331&lt;$K$15,$K$5+SQRT(B331*($K$7-$K$5)*($K$6-$K$5)),$K$7-SQRT((1-B331)*($K$7-$K$5)*($K$7-$K$6)))</f>
        <v/>
      </c>
      <c r="E331" s="13">
        <f>INDEX($J$18:$J$22,MATCH(B331,$L$18:$L$22,1))</f>
        <v/>
      </c>
      <c r="F331" s="16">
        <f>-($K$9/$K$8)*LN(RAND()*RAND()*RAND())</f>
        <v/>
      </c>
      <c r="G331" s="16">
        <f>NORMINV(RAND(),$K$10,$K$11)</f>
        <v/>
      </c>
      <c r="H331" s="16">
        <f>IF(RAND()&lt;$K$12,-$K$13*LN(1-RAND()),-$K$14*LN(1-RAND()))</f>
        <v/>
      </c>
    </row>
    <row r="332">
      <c r="A332" s="13" t="n">
        <v>328</v>
      </c>
      <c r="B332" s="14">
        <f>RAND()</f>
        <v/>
      </c>
      <c r="C332" s="16">
        <f>-$K$4*LN(1-B332)</f>
        <v/>
      </c>
      <c r="D332" s="16">
        <f>IF(B332&lt;$K$15,$K$5+SQRT(B332*($K$7-$K$5)*($K$6-$K$5)),$K$7-SQRT((1-B332)*($K$7-$K$5)*($K$7-$K$6)))</f>
        <v/>
      </c>
      <c r="E332" s="13">
        <f>INDEX($J$18:$J$22,MATCH(B332,$L$18:$L$22,1))</f>
        <v/>
      </c>
      <c r="F332" s="16">
        <f>-($K$9/$K$8)*LN(RAND()*RAND()*RAND())</f>
        <v/>
      </c>
      <c r="G332" s="16">
        <f>NORMINV(RAND(),$K$10,$K$11)</f>
        <v/>
      </c>
      <c r="H332" s="16">
        <f>IF(RAND()&lt;$K$12,-$K$13*LN(1-RAND()),-$K$14*LN(1-RAND()))</f>
        <v/>
      </c>
    </row>
    <row r="333">
      <c r="A333" s="13" t="n">
        <v>329</v>
      </c>
      <c r="B333" s="14">
        <f>RAND()</f>
        <v/>
      </c>
      <c r="C333" s="16">
        <f>-$K$4*LN(1-B333)</f>
        <v/>
      </c>
      <c r="D333" s="16">
        <f>IF(B333&lt;$K$15,$K$5+SQRT(B333*($K$7-$K$5)*($K$6-$K$5)),$K$7-SQRT((1-B333)*($K$7-$K$5)*($K$7-$K$6)))</f>
        <v/>
      </c>
      <c r="E333" s="13">
        <f>INDEX($J$18:$J$22,MATCH(B333,$L$18:$L$22,1))</f>
        <v/>
      </c>
      <c r="F333" s="16">
        <f>-($K$9/$K$8)*LN(RAND()*RAND()*RAND())</f>
        <v/>
      </c>
      <c r="G333" s="16">
        <f>NORMINV(RAND(),$K$10,$K$11)</f>
        <v/>
      </c>
      <c r="H333" s="16">
        <f>IF(RAND()&lt;$K$12,-$K$13*LN(1-RAND()),-$K$14*LN(1-RAND()))</f>
        <v/>
      </c>
    </row>
    <row r="334">
      <c r="A334" s="13" t="n">
        <v>330</v>
      </c>
      <c r="B334" s="14">
        <f>RAND()</f>
        <v/>
      </c>
      <c r="C334" s="16">
        <f>-$K$4*LN(1-B334)</f>
        <v/>
      </c>
      <c r="D334" s="16">
        <f>IF(B334&lt;$K$15,$K$5+SQRT(B334*($K$7-$K$5)*($K$6-$K$5)),$K$7-SQRT((1-B334)*($K$7-$K$5)*($K$7-$K$6)))</f>
        <v/>
      </c>
      <c r="E334" s="13">
        <f>INDEX($J$18:$J$22,MATCH(B334,$L$18:$L$22,1))</f>
        <v/>
      </c>
      <c r="F334" s="16">
        <f>-($K$9/$K$8)*LN(RAND()*RAND()*RAND())</f>
        <v/>
      </c>
      <c r="G334" s="16">
        <f>NORMINV(RAND(),$K$10,$K$11)</f>
        <v/>
      </c>
      <c r="H334" s="16">
        <f>IF(RAND()&lt;$K$12,-$K$13*LN(1-RAND()),-$K$14*LN(1-RAND()))</f>
        <v/>
      </c>
    </row>
    <row r="335">
      <c r="A335" s="13" t="n">
        <v>331</v>
      </c>
      <c r="B335" s="14">
        <f>RAND()</f>
        <v/>
      </c>
      <c r="C335" s="16">
        <f>-$K$4*LN(1-B335)</f>
        <v/>
      </c>
      <c r="D335" s="16">
        <f>IF(B335&lt;$K$15,$K$5+SQRT(B335*($K$7-$K$5)*($K$6-$K$5)),$K$7-SQRT((1-B335)*($K$7-$K$5)*($K$7-$K$6)))</f>
        <v/>
      </c>
      <c r="E335" s="13">
        <f>INDEX($J$18:$J$22,MATCH(B335,$L$18:$L$22,1))</f>
        <v/>
      </c>
      <c r="F335" s="16">
        <f>-($K$9/$K$8)*LN(RAND()*RAND()*RAND())</f>
        <v/>
      </c>
      <c r="G335" s="16">
        <f>NORMINV(RAND(),$K$10,$K$11)</f>
        <v/>
      </c>
      <c r="H335" s="16">
        <f>IF(RAND()&lt;$K$12,-$K$13*LN(1-RAND()),-$K$14*LN(1-RAND()))</f>
        <v/>
      </c>
    </row>
    <row r="336">
      <c r="A336" s="13" t="n">
        <v>332</v>
      </c>
      <c r="B336" s="14">
        <f>RAND()</f>
        <v/>
      </c>
      <c r="C336" s="16">
        <f>-$K$4*LN(1-B336)</f>
        <v/>
      </c>
      <c r="D336" s="16">
        <f>IF(B336&lt;$K$15,$K$5+SQRT(B336*($K$7-$K$5)*($K$6-$K$5)),$K$7-SQRT((1-B336)*($K$7-$K$5)*($K$7-$K$6)))</f>
        <v/>
      </c>
      <c r="E336" s="13">
        <f>INDEX($J$18:$J$22,MATCH(B336,$L$18:$L$22,1))</f>
        <v/>
      </c>
      <c r="F336" s="16">
        <f>-($K$9/$K$8)*LN(RAND()*RAND()*RAND())</f>
        <v/>
      </c>
      <c r="G336" s="16">
        <f>NORMINV(RAND(),$K$10,$K$11)</f>
        <v/>
      </c>
      <c r="H336" s="16">
        <f>IF(RAND()&lt;$K$12,-$K$13*LN(1-RAND()),-$K$14*LN(1-RAND()))</f>
        <v/>
      </c>
    </row>
    <row r="337">
      <c r="A337" s="13" t="n">
        <v>333</v>
      </c>
      <c r="B337" s="14">
        <f>RAND()</f>
        <v/>
      </c>
      <c r="C337" s="16">
        <f>-$K$4*LN(1-B337)</f>
        <v/>
      </c>
      <c r="D337" s="16">
        <f>IF(B337&lt;$K$15,$K$5+SQRT(B337*($K$7-$K$5)*($K$6-$K$5)),$K$7-SQRT((1-B337)*($K$7-$K$5)*($K$7-$K$6)))</f>
        <v/>
      </c>
      <c r="E337" s="13">
        <f>INDEX($J$18:$J$22,MATCH(B337,$L$18:$L$22,1))</f>
        <v/>
      </c>
      <c r="F337" s="16">
        <f>-($K$9/$K$8)*LN(RAND()*RAND()*RAND())</f>
        <v/>
      </c>
      <c r="G337" s="16">
        <f>NORMINV(RAND(),$K$10,$K$11)</f>
        <v/>
      </c>
      <c r="H337" s="16">
        <f>IF(RAND()&lt;$K$12,-$K$13*LN(1-RAND()),-$K$14*LN(1-RAND()))</f>
        <v/>
      </c>
    </row>
    <row r="338">
      <c r="A338" s="13" t="n">
        <v>334</v>
      </c>
      <c r="B338" s="14">
        <f>RAND()</f>
        <v/>
      </c>
      <c r="C338" s="16">
        <f>-$K$4*LN(1-B338)</f>
        <v/>
      </c>
      <c r="D338" s="16">
        <f>IF(B338&lt;$K$15,$K$5+SQRT(B338*($K$7-$K$5)*($K$6-$K$5)),$K$7-SQRT((1-B338)*($K$7-$K$5)*($K$7-$K$6)))</f>
        <v/>
      </c>
      <c r="E338" s="13">
        <f>INDEX($J$18:$J$22,MATCH(B338,$L$18:$L$22,1))</f>
        <v/>
      </c>
      <c r="F338" s="16">
        <f>-($K$9/$K$8)*LN(RAND()*RAND()*RAND())</f>
        <v/>
      </c>
      <c r="G338" s="16">
        <f>NORMINV(RAND(),$K$10,$K$11)</f>
        <v/>
      </c>
      <c r="H338" s="16">
        <f>IF(RAND()&lt;$K$12,-$K$13*LN(1-RAND()),-$K$14*LN(1-RAND()))</f>
        <v/>
      </c>
    </row>
    <row r="339">
      <c r="A339" s="13" t="n">
        <v>335</v>
      </c>
      <c r="B339" s="14">
        <f>RAND()</f>
        <v/>
      </c>
      <c r="C339" s="16">
        <f>-$K$4*LN(1-B339)</f>
        <v/>
      </c>
      <c r="D339" s="16">
        <f>IF(B339&lt;$K$15,$K$5+SQRT(B339*($K$7-$K$5)*($K$6-$K$5)),$K$7-SQRT((1-B339)*($K$7-$K$5)*($K$7-$K$6)))</f>
        <v/>
      </c>
      <c r="E339" s="13">
        <f>INDEX($J$18:$J$22,MATCH(B339,$L$18:$L$22,1))</f>
        <v/>
      </c>
      <c r="F339" s="16">
        <f>-($K$9/$K$8)*LN(RAND()*RAND()*RAND())</f>
        <v/>
      </c>
      <c r="G339" s="16">
        <f>NORMINV(RAND(),$K$10,$K$11)</f>
        <v/>
      </c>
      <c r="H339" s="16">
        <f>IF(RAND()&lt;$K$12,-$K$13*LN(1-RAND()),-$K$14*LN(1-RAND()))</f>
        <v/>
      </c>
    </row>
    <row r="340">
      <c r="A340" s="13" t="n">
        <v>336</v>
      </c>
      <c r="B340" s="14">
        <f>RAND()</f>
        <v/>
      </c>
      <c r="C340" s="16">
        <f>-$K$4*LN(1-B340)</f>
        <v/>
      </c>
      <c r="D340" s="16">
        <f>IF(B340&lt;$K$15,$K$5+SQRT(B340*($K$7-$K$5)*($K$6-$K$5)),$K$7-SQRT((1-B340)*($K$7-$K$5)*($K$7-$K$6)))</f>
        <v/>
      </c>
      <c r="E340" s="13">
        <f>INDEX($J$18:$J$22,MATCH(B340,$L$18:$L$22,1))</f>
        <v/>
      </c>
      <c r="F340" s="16">
        <f>-($K$9/$K$8)*LN(RAND()*RAND()*RAND())</f>
        <v/>
      </c>
      <c r="G340" s="16">
        <f>NORMINV(RAND(),$K$10,$K$11)</f>
        <v/>
      </c>
      <c r="H340" s="16">
        <f>IF(RAND()&lt;$K$12,-$K$13*LN(1-RAND()),-$K$14*LN(1-RAND()))</f>
        <v/>
      </c>
    </row>
    <row r="341">
      <c r="A341" s="13" t="n">
        <v>337</v>
      </c>
      <c r="B341" s="14">
        <f>RAND()</f>
        <v/>
      </c>
      <c r="C341" s="16">
        <f>-$K$4*LN(1-B341)</f>
        <v/>
      </c>
      <c r="D341" s="16">
        <f>IF(B341&lt;$K$15,$K$5+SQRT(B341*($K$7-$K$5)*($K$6-$K$5)),$K$7-SQRT((1-B341)*($K$7-$K$5)*($K$7-$K$6)))</f>
        <v/>
      </c>
      <c r="E341" s="13">
        <f>INDEX($J$18:$J$22,MATCH(B341,$L$18:$L$22,1))</f>
        <v/>
      </c>
      <c r="F341" s="16">
        <f>-($K$9/$K$8)*LN(RAND()*RAND()*RAND())</f>
        <v/>
      </c>
      <c r="G341" s="16">
        <f>NORMINV(RAND(),$K$10,$K$11)</f>
        <v/>
      </c>
      <c r="H341" s="16">
        <f>IF(RAND()&lt;$K$12,-$K$13*LN(1-RAND()),-$K$14*LN(1-RAND()))</f>
        <v/>
      </c>
    </row>
    <row r="342">
      <c r="A342" s="13" t="n">
        <v>338</v>
      </c>
      <c r="B342" s="14">
        <f>RAND()</f>
        <v/>
      </c>
      <c r="C342" s="16">
        <f>-$K$4*LN(1-B342)</f>
        <v/>
      </c>
      <c r="D342" s="16">
        <f>IF(B342&lt;$K$15,$K$5+SQRT(B342*($K$7-$K$5)*($K$6-$K$5)),$K$7-SQRT((1-B342)*($K$7-$K$5)*($K$7-$K$6)))</f>
        <v/>
      </c>
      <c r="E342" s="13">
        <f>INDEX($J$18:$J$22,MATCH(B342,$L$18:$L$22,1))</f>
        <v/>
      </c>
      <c r="F342" s="16">
        <f>-($K$9/$K$8)*LN(RAND()*RAND()*RAND())</f>
        <v/>
      </c>
      <c r="G342" s="16">
        <f>NORMINV(RAND(),$K$10,$K$11)</f>
        <v/>
      </c>
      <c r="H342" s="16">
        <f>IF(RAND()&lt;$K$12,-$K$13*LN(1-RAND()),-$K$14*LN(1-RAND()))</f>
        <v/>
      </c>
    </row>
    <row r="343">
      <c r="A343" s="13" t="n">
        <v>339</v>
      </c>
      <c r="B343" s="14">
        <f>RAND()</f>
        <v/>
      </c>
      <c r="C343" s="16">
        <f>-$K$4*LN(1-B343)</f>
        <v/>
      </c>
      <c r="D343" s="16">
        <f>IF(B343&lt;$K$15,$K$5+SQRT(B343*($K$7-$K$5)*($K$6-$K$5)),$K$7-SQRT((1-B343)*($K$7-$K$5)*($K$7-$K$6)))</f>
        <v/>
      </c>
      <c r="E343" s="13">
        <f>INDEX($J$18:$J$22,MATCH(B343,$L$18:$L$22,1))</f>
        <v/>
      </c>
      <c r="F343" s="16">
        <f>-($K$9/$K$8)*LN(RAND()*RAND()*RAND())</f>
        <v/>
      </c>
      <c r="G343" s="16">
        <f>NORMINV(RAND(),$K$10,$K$11)</f>
        <v/>
      </c>
      <c r="H343" s="16">
        <f>IF(RAND()&lt;$K$12,-$K$13*LN(1-RAND()),-$K$14*LN(1-RAND()))</f>
        <v/>
      </c>
    </row>
    <row r="344">
      <c r="A344" s="13" t="n">
        <v>340</v>
      </c>
      <c r="B344" s="14">
        <f>RAND()</f>
        <v/>
      </c>
      <c r="C344" s="16">
        <f>-$K$4*LN(1-B344)</f>
        <v/>
      </c>
      <c r="D344" s="16">
        <f>IF(B344&lt;$K$15,$K$5+SQRT(B344*($K$7-$K$5)*($K$6-$K$5)),$K$7-SQRT((1-B344)*($K$7-$K$5)*($K$7-$K$6)))</f>
        <v/>
      </c>
      <c r="E344" s="13">
        <f>INDEX($J$18:$J$22,MATCH(B344,$L$18:$L$22,1))</f>
        <v/>
      </c>
      <c r="F344" s="16">
        <f>-($K$9/$K$8)*LN(RAND()*RAND()*RAND())</f>
        <v/>
      </c>
      <c r="G344" s="16">
        <f>NORMINV(RAND(),$K$10,$K$11)</f>
        <v/>
      </c>
      <c r="H344" s="16">
        <f>IF(RAND()&lt;$K$12,-$K$13*LN(1-RAND()),-$K$14*LN(1-RAND()))</f>
        <v/>
      </c>
    </row>
    <row r="345">
      <c r="A345" s="13" t="n">
        <v>341</v>
      </c>
      <c r="B345" s="14">
        <f>RAND()</f>
        <v/>
      </c>
      <c r="C345" s="16">
        <f>-$K$4*LN(1-B345)</f>
        <v/>
      </c>
      <c r="D345" s="16">
        <f>IF(B345&lt;$K$15,$K$5+SQRT(B345*($K$7-$K$5)*($K$6-$K$5)),$K$7-SQRT((1-B345)*($K$7-$K$5)*($K$7-$K$6)))</f>
        <v/>
      </c>
      <c r="E345" s="13">
        <f>INDEX($J$18:$J$22,MATCH(B345,$L$18:$L$22,1))</f>
        <v/>
      </c>
      <c r="F345" s="16">
        <f>-($K$9/$K$8)*LN(RAND()*RAND()*RAND())</f>
        <v/>
      </c>
      <c r="G345" s="16">
        <f>NORMINV(RAND(),$K$10,$K$11)</f>
        <v/>
      </c>
      <c r="H345" s="16">
        <f>IF(RAND()&lt;$K$12,-$K$13*LN(1-RAND()),-$K$14*LN(1-RAND()))</f>
        <v/>
      </c>
    </row>
    <row r="346">
      <c r="A346" s="13" t="n">
        <v>342</v>
      </c>
      <c r="B346" s="14">
        <f>RAND()</f>
        <v/>
      </c>
      <c r="C346" s="16">
        <f>-$K$4*LN(1-B346)</f>
        <v/>
      </c>
      <c r="D346" s="16">
        <f>IF(B346&lt;$K$15,$K$5+SQRT(B346*($K$7-$K$5)*($K$6-$K$5)),$K$7-SQRT((1-B346)*($K$7-$K$5)*($K$7-$K$6)))</f>
        <v/>
      </c>
      <c r="E346" s="13">
        <f>INDEX($J$18:$J$22,MATCH(B346,$L$18:$L$22,1))</f>
        <v/>
      </c>
      <c r="F346" s="16">
        <f>-($K$9/$K$8)*LN(RAND()*RAND()*RAND())</f>
        <v/>
      </c>
      <c r="G346" s="16">
        <f>NORMINV(RAND(),$K$10,$K$11)</f>
        <v/>
      </c>
      <c r="H346" s="16">
        <f>IF(RAND()&lt;$K$12,-$K$13*LN(1-RAND()),-$K$14*LN(1-RAND()))</f>
        <v/>
      </c>
    </row>
    <row r="347">
      <c r="A347" s="13" t="n">
        <v>343</v>
      </c>
      <c r="B347" s="14">
        <f>RAND()</f>
        <v/>
      </c>
      <c r="C347" s="16">
        <f>-$K$4*LN(1-B347)</f>
        <v/>
      </c>
      <c r="D347" s="16">
        <f>IF(B347&lt;$K$15,$K$5+SQRT(B347*($K$7-$K$5)*($K$6-$K$5)),$K$7-SQRT((1-B347)*($K$7-$K$5)*($K$7-$K$6)))</f>
        <v/>
      </c>
      <c r="E347" s="13">
        <f>INDEX($J$18:$J$22,MATCH(B347,$L$18:$L$22,1))</f>
        <v/>
      </c>
      <c r="F347" s="16">
        <f>-($K$9/$K$8)*LN(RAND()*RAND()*RAND())</f>
        <v/>
      </c>
      <c r="G347" s="16">
        <f>NORMINV(RAND(),$K$10,$K$11)</f>
        <v/>
      </c>
      <c r="H347" s="16">
        <f>IF(RAND()&lt;$K$12,-$K$13*LN(1-RAND()),-$K$14*LN(1-RAND()))</f>
        <v/>
      </c>
    </row>
    <row r="348">
      <c r="A348" s="13" t="n">
        <v>344</v>
      </c>
      <c r="B348" s="14">
        <f>RAND()</f>
        <v/>
      </c>
      <c r="C348" s="16">
        <f>-$K$4*LN(1-B348)</f>
        <v/>
      </c>
      <c r="D348" s="16">
        <f>IF(B348&lt;$K$15,$K$5+SQRT(B348*($K$7-$K$5)*($K$6-$K$5)),$K$7-SQRT((1-B348)*($K$7-$K$5)*($K$7-$K$6)))</f>
        <v/>
      </c>
      <c r="E348" s="13">
        <f>INDEX($J$18:$J$22,MATCH(B348,$L$18:$L$22,1))</f>
        <v/>
      </c>
      <c r="F348" s="16">
        <f>-($K$9/$K$8)*LN(RAND()*RAND()*RAND())</f>
        <v/>
      </c>
      <c r="G348" s="16">
        <f>NORMINV(RAND(),$K$10,$K$11)</f>
        <v/>
      </c>
      <c r="H348" s="16">
        <f>IF(RAND()&lt;$K$12,-$K$13*LN(1-RAND()),-$K$14*LN(1-RAND()))</f>
        <v/>
      </c>
    </row>
    <row r="349">
      <c r="A349" s="13" t="n">
        <v>345</v>
      </c>
      <c r="B349" s="14">
        <f>RAND()</f>
        <v/>
      </c>
      <c r="C349" s="16">
        <f>-$K$4*LN(1-B349)</f>
        <v/>
      </c>
      <c r="D349" s="16">
        <f>IF(B349&lt;$K$15,$K$5+SQRT(B349*($K$7-$K$5)*($K$6-$K$5)),$K$7-SQRT((1-B349)*($K$7-$K$5)*($K$7-$K$6)))</f>
        <v/>
      </c>
      <c r="E349" s="13">
        <f>INDEX($J$18:$J$22,MATCH(B349,$L$18:$L$22,1))</f>
        <v/>
      </c>
      <c r="F349" s="16">
        <f>-($K$9/$K$8)*LN(RAND()*RAND()*RAND())</f>
        <v/>
      </c>
      <c r="G349" s="16">
        <f>NORMINV(RAND(),$K$10,$K$11)</f>
        <v/>
      </c>
      <c r="H349" s="16">
        <f>IF(RAND()&lt;$K$12,-$K$13*LN(1-RAND()),-$K$14*LN(1-RAND()))</f>
        <v/>
      </c>
    </row>
    <row r="350">
      <c r="A350" s="13" t="n">
        <v>346</v>
      </c>
      <c r="B350" s="14">
        <f>RAND()</f>
        <v/>
      </c>
      <c r="C350" s="16">
        <f>-$K$4*LN(1-B350)</f>
        <v/>
      </c>
      <c r="D350" s="16">
        <f>IF(B350&lt;$K$15,$K$5+SQRT(B350*($K$7-$K$5)*($K$6-$K$5)),$K$7-SQRT((1-B350)*($K$7-$K$5)*($K$7-$K$6)))</f>
        <v/>
      </c>
      <c r="E350" s="13">
        <f>INDEX($J$18:$J$22,MATCH(B350,$L$18:$L$22,1))</f>
        <v/>
      </c>
      <c r="F350" s="16">
        <f>-($K$9/$K$8)*LN(RAND()*RAND()*RAND())</f>
        <v/>
      </c>
      <c r="G350" s="16">
        <f>NORMINV(RAND(),$K$10,$K$11)</f>
        <v/>
      </c>
      <c r="H350" s="16">
        <f>IF(RAND()&lt;$K$12,-$K$13*LN(1-RAND()),-$K$14*LN(1-RAND()))</f>
        <v/>
      </c>
    </row>
    <row r="351">
      <c r="A351" s="13" t="n">
        <v>347</v>
      </c>
      <c r="B351" s="14">
        <f>RAND()</f>
        <v/>
      </c>
      <c r="C351" s="16">
        <f>-$K$4*LN(1-B351)</f>
        <v/>
      </c>
      <c r="D351" s="16">
        <f>IF(B351&lt;$K$15,$K$5+SQRT(B351*($K$7-$K$5)*($K$6-$K$5)),$K$7-SQRT((1-B351)*($K$7-$K$5)*($K$7-$K$6)))</f>
        <v/>
      </c>
      <c r="E351" s="13">
        <f>INDEX($J$18:$J$22,MATCH(B351,$L$18:$L$22,1))</f>
        <v/>
      </c>
      <c r="F351" s="16">
        <f>-($K$9/$K$8)*LN(RAND()*RAND()*RAND())</f>
        <v/>
      </c>
      <c r="G351" s="16">
        <f>NORMINV(RAND(),$K$10,$K$11)</f>
        <v/>
      </c>
      <c r="H351" s="16">
        <f>IF(RAND()&lt;$K$12,-$K$13*LN(1-RAND()),-$K$14*LN(1-RAND()))</f>
        <v/>
      </c>
    </row>
    <row r="352">
      <c r="A352" s="13" t="n">
        <v>348</v>
      </c>
      <c r="B352" s="14">
        <f>RAND()</f>
        <v/>
      </c>
      <c r="C352" s="16">
        <f>-$K$4*LN(1-B352)</f>
        <v/>
      </c>
      <c r="D352" s="16">
        <f>IF(B352&lt;$K$15,$K$5+SQRT(B352*($K$7-$K$5)*($K$6-$K$5)),$K$7-SQRT((1-B352)*($K$7-$K$5)*($K$7-$K$6)))</f>
        <v/>
      </c>
      <c r="E352" s="13">
        <f>INDEX($J$18:$J$22,MATCH(B352,$L$18:$L$22,1))</f>
        <v/>
      </c>
      <c r="F352" s="16">
        <f>-($K$9/$K$8)*LN(RAND()*RAND()*RAND())</f>
        <v/>
      </c>
      <c r="G352" s="16">
        <f>NORMINV(RAND(),$K$10,$K$11)</f>
        <v/>
      </c>
      <c r="H352" s="16">
        <f>IF(RAND()&lt;$K$12,-$K$13*LN(1-RAND()),-$K$14*LN(1-RAND()))</f>
        <v/>
      </c>
    </row>
    <row r="353">
      <c r="A353" s="13" t="n">
        <v>349</v>
      </c>
      <c r="B353" s="14">
        <f>RAND()</f>
        <v/>
      </c>
      <c r="C353" s="16">
        <f>-$K$4*LN(1-B353)</f>
        <v/>
      </c>
      <c r="D353" s="16">
        <f>IF(B353&lt;$K$15,$K$5+SQRT(B353*($K$7-$K$5)*($K$6-$K$5)),$K$7-SQRT((1-B353)*($K$7-$K$5)*($K$7-$K$6)))</f>
        <v/>
      </c>
      <c r="E353" s="13">
        <f>INDEX($J$18:$J$22,MATCH(B353,$L$18:$L$22,1))</f>
        <v/>
      </c>
      <c r="F353" s="16">
        <f>-($K$9/$K$8)*LN(RAND()*RAND()*RAND())</f>
        <v/>
      </c>
      <c r="G353" s="16">
        <f>NORMINV(RAND(),$K$10,$K$11)</f>
        <v/>
      </c>
      <c r="H353" s="16">
        <f>IF(RAND()&lt;$K$12,-$K$13*LN(1-RAND()),-$K$14*LN(1-RAND()))</f>
        <v/>
      </c>
    </row>
    <row r="354">
      <c r="A354" s="13" t="n">
        <v>350</v>
      </c>
      <c r="B354" s="14">
        <f>RAND()</f>
        <v/>
      </c>
      <c r="C354" s="16">
        <f>-$K$4*LN(1-B354)</f>
        <v/>
      </c>
      <c r="D354" s="16">
        <f>IF(B354&lt;$K$15,$K$5+SQRT(B354*($K$7-$K$5)*($K$6-$K$5)),$K$7-SQRT((1-B354)*($K$7-$K$5)*($K$7-$K$6)))</f>
        <v/>
      </c>
      <c r="E354" s="13">
        <f>INDEX($J$18:$J$22,MATCH(B354,$L$18:$L$22,1))</f>
        <v/>
      </c>
      <c r="F354" s="16">
        <f>-($K$9/$K$8)*LN(RAND()*RAND()*RAND())</f>
        <v/>
      </c>
      <c r="G354" s="16">
        <f>NORMINV(RAND(),$K$10,$K$11)</f>
        <v/>
      </c>
      <c r="H354" s="16">
        <f>IF(RAND()&lt;$K$12,-$K$13*LN(1-RAND()),-$K$14*LN(1-RAND()))</f>
        <v/>
      </c>
    </row>
    <row r="355">
      <c r="A355" s="13" t="n">
        <v>351</v>
      </c>
      <c r="B355" s="14">
        <f>RAND()</f>
        <v/>
      </c>
      <c r="C355" s="16">
        <f>-$K$4*LN(1-B355)</f>
        <v/>
      </c>
      <c r="D355" s="16">
        <f>IF(B355&lt;$K$15,$K$5+SQRT(B355*($K$7-$K$5)*($K$6-$K$5)),$K$7-SQRT((1-B355)*($K$7-$K$5)*($K$7-$K$6)))</f>
        <v/>
      </c>
      <c r="E355" s="13">
        <f>INDEX($J$18:$J$22,MATCH(B355,$L$18:$L$22,1))</f>
        <v/>
      </c>
      <c r="F355" s="16">
        <f>-($K$9/$K$8)*LN(RAND()*RAND()*RAND())</f>
        <v/>
      </c>
      <c r="G355" s="16">
        <f>NORMINV(RAND(),$K$10,$K$11)</f>
        <v/>
      </c>
      <c r="H355" s="16">
        <f>IF(RAND()&lt;$K$12,-$K$13*LN(1-RAND()),-$K$14*LN(1-RAND()))</f>
        <v/>
      </c>
    </row>
    <row r="356">
      <c r="A356" s="13" t="n">
        <v>352</v>
      </c>
      <c r="B356" s="14">
        <f>RAND()</f>
        <v/>
      </c>
      <c r="C356" s="16">
        <f>-$K$4*LN(1-B356)</f>
        <v/>
      </c>
      <c r="D356" s="16">
        <f>IF(B356&lt;$K$15,$K$5+SQRT(B356*($K$7-$K$5)*($K$6-$K$5)),$K$7-SQRT((1-B356)*($K$7-$K$5)*($K$7-$K$6)))</f>
        <v/>
      </c>
      <c r="E356" s="13">
        <f>INDEX($J$18:$J$22,MATCH(B356,$L$18:$L$22,1))</f>
        <v/>
      </c>
      <c r="F356" s="16">
        <f>-($K$9/$K$8)*LN(RAND()*RAND()*RAND())</f>
        <v/>
      </c>
      <c r="G356" s="16">
        <f>NORMINV(RAND(),$K$10,$K$11)</f>
        <v/>
      </c>
      <c r="H356" s="16">
        <f>IF(RAND()&lt;$K$12,-$K$13*LN(1-RAND()),-$K$14*LN(1-RAND()))</f>
        <v/>
      </c>
    </row>
    <row r="357">
      <c r="A357" s="13" t="n">
        <v>353</v>
      </c>
      <c r="B357" s="14">
        <f>RAND()</f>
        <v/>
      </c>
      <c r="C357" s="16">
        <f>-$K$4*LN(1-B357)</f>
        <v/>
      </c>
      <c r="D357" s="16">
        <f>IF(B357&lt;$K$15,$K$5+SQRT(B357*($K$7-$K$5)*($K$6-$K$5)),$K$7-SQRT((1-B357)*($K$7-$K$5)*($K$7-$K$6)))</f>
        <v/>
      </c>
      <c r="E357" s="13">
        <f>INDEX($J$18:$J$22,MATCH(B357,$L$18:$L$22,1))</f>
        <v/>
      </c>
      <c r="F357" s="16">
        <f>-($K$9/$K$8)*LN(RAND()*RAND()*RAND())</f>
        <v/>
      </c>
      <c r="G357" s="16">
        <f>NORMINV(RAND(),$K$10,$K$11)</f>
        <v/>
      </c>
      <c r="H357" s="16">
        <f>IF(RAND()&lt;$K$12,-$K$13*LN(1-RAND()),-$K$14*LN(1-RAND()))</f>
        <v/>
      </c>
    </row>
    <row r="358">
      <c r="A358" s="13" t="n">
        <v>354</v>
      </c>
      <c r="B358" s="14">
        <f>RAND()</f>
        <v/>
      </c>
      <c r="C358" s="16">
        <f>-$K$4*LN(1-B358)</f>
        <v/>
      </c>
      <c r="D358" s="16">
        <f>IF(B358&lt;$K$15,$K$5+SQRT(B358*($K$7-$K$5)*($K$6-$K$5)),$K$7-SQRT((1-B358)*($K$7-$K$5)*($K$7-$K$6)))</f>
        <v/>
      </c>
      <c r="E358" s="13">
        <f>INDEX($J$18:$J$22,MATCH(B358,$L$18:$L$22,1))</f>
        <v/>
      </c>
      <c r="F358" s="16">
        <f>-($K$9/$K$8)*LN(RAND()*RAND()*RAND())</f>
        <v/>
      </c>
      <c r="G358" s="16">
        <f>NORMINV(RAND(),$K$10,$K$11)</f>
        <v/>
      </c>
      <c r="H358" s="16">
        <f>IF(RAND()&lt;$K$12,-$K$13*LN(1-RAND()),-$K$14*LN(1-RAND()))</f>
        <v/>
      </c>
    </row>
    <row r="359">
      <c r="A359" s="13" t="n">
        <v>355</v>
      </c>
      <c r="B359" s="14">
        <f>RAND()</f>
        <v/>
      </c>
      <c r="C359" s="16">
        <f>-$K$4*LN(1-B359)</f>
        <v/>
      </c>
      <c r="D359" s="16">
        <f>IF(B359&lt;$K$15,$K$5+SQRT(B359*($K$7-$K$5)*($K$6-$K$5)),$K$7-SQRT((1-B359)*($K$7-$K$5)*($K$7-$K$6)))</f>
        <v/>
      </c>
      <c r="E359" s="13">
        <f>INDEX($J$18:$J$22,MATCH(B359,$L$18:$L$22,1))</f>
        <v/>
      </c>
      <c r="F359" s="16">
        <f>-($K$9/$K$8)*LN(RAND()*RAND()*RAND())</f>
        <v/>
      </c>
      <c r="G359" s="16">
        <f>NORMINV(RAND(),$K$10,$K$11)</f>
        <v/>
      </c>
      <c r="H359" s="16">
        <f>IF(RAND()&lt;$K$12,-$K$13*LN(1-RAND()),-$K$14*LN(1-RAND()))</f>
        <v/>
      </c>
    </row>
    <row r="360">
      <c r="A360" s="13" t="n">
        <v>356</v>
      </c>
      <c r="B360" s="14">
        <f>RAND()</f>
        <v/>
      </c>
      <c r="C360" s="16">
        <f>-$K$4*LN(1-B360)</f>
        <v/>
      </c>
      <c r="D360" s="16">
        <f>IF(B360&lt;$K$15,$K$5+SQRT(B360*($K$7-$K$5)*($K$6-$K$5)),$K$7-SQRT((1-B360)*($K$7-$K$5)*($K$7-$K$6)))</f>
        <v/>
      </c>
      <c r="E360" s="13">
        <f>INDEX($J$18:$J$22,MATCH(B360,$L$18:$L$22,1))</f>
        <v/>
      </c>
      <c r="F360" s="16">
        <f>-($K$9/$K$8)*LN(RAND()*RAND()*RAND())</f>
        <v/>
      </c>
      <c r="G360" s="16">
        <f>NORMINV(RAND(),$K$10,$K$11)</f>
        <v/>
      </c>
      <c r="H360" s="16">
        <f>IF(RAND()&lt;$K$12,-$K$13*LN(1-RAND()),-$K$14*LN(1-RAND()))</f>
        <v/>
      </c>
    </row>
    <row r="361">
      <c r="A361" s="13" t="n">
        <v>357</v>
      </c>
      <c r="B361" s="14">
        <f>RAND()</f>
        <v/>
      </c>
      <c r="C361" s="16">
        <f>-$K$4*LN(1-B361)</f>
        <v/>
      </c>
      <c r="D361" s="16">
        <f>IF(B361&lt;$K$15,$K$5+SQRT(B361*($K$7-$K$5)*($K$6-$K$5)),$K$7-SQRT((1-B361)*($K$7-$K$5)*($K$7-$K$6)))</f>
        <v/>
      </c>
      <c r="E361" s="13">
        <f>INDEX($J$18:$J$22,MATCH(B361,$L$18:$L$22,1))</f>
        <v/>
      </c>
      <c r="F361" s="16">
        <f>-($K$9/$K$8)*LN(RAND()*RAND()*RAND())</f>
        <v/>
      </c>
      <c r="G361" s="16">
        <f>NORMINV(RAND(),$K$10,$K$11)</f>
        <v/>
      </c>
      <c r="H361" s="16">
        <f>IF(RAND()&lt;$K$12,-$K$13*LN(1-RAND()),-$K$14*LN(1-RAND()))</f>
        <v/>
      </c>
    </row>
    <row r="362">
      <c r="A362" s="13" t="n">
        <v>358</v>
      </c>
      <c r="B362" s="14">
        <f>RAND()</f>
        <v/>
      </c>
      <c r="C362" s="16">
        <f>-$K$4*LN(1-B362)</f>
        <v/>
      </c>
      <c r="D362" s="16">
        <f>IF(B362&lt;$K$15,$K$5+SQRT(B362*($K$7-$K$5)*($K$6-$K$5)),$K$7-SQRT((1-B362)*($K$7-$K$5)*($K$7-$K$6)))</f>
        <v/>
      </c>
      <c r="E362" s="13">
        <f>INDEX($J$18:$J$22,MATCH(B362,$L$18:$L$22,1))</f>
        <v/>
      </c>
      <c r="F362" s="16">
        <f>-($K$9/$K$8)*LN(RAND()*RAND()*RAND())</f>
        <v/>
      </c>
      <c r="G362" s="16">
        <f>NORMINV(RAND(),$K$10,$K$11)</f>
        <v/>
      </c>
      <c r="H362" s="16">
        <f>IF(RAND()&lt;$K$12,-$K$13*LN(1-RAND()),-$K$14*LN(1-RAND()))</f>
        <v/>
      </c>
    </row>
    <row r="363">
      <c r="A363" s="13" t="n">
        <v>359</v>
      </c>
      <c r="B363" s="14">
        <f>RAND()</f>
        <v/>
      </c>
      <c r="C363" s="16">
        <f>-$K$4*LN(1-B363)</f>
        <v/>
      </c>
      <c r="D363" s="16">
        <f>IF(B363&lt;$K$15,$K$5+SQRT(B363*($K$7-$K$5)*($K$6-$K$5)),$K$7-SQRT((1-B363)*($K$7-$K$5)*($K$7-$K$6)))</f>
        <v/>
      </c>
      <c r="E363" s="13">
        <f>INDEX($J$18:$J$22,MATCH(B363,$L$18:$L$22,1))</f>
        <v/>
      </c>
      <c r="F363" s="16">
        <f>-($K$9/$K$8)*LN(RAND()*RAND()*RAND())</f>
        <v/>
      </c>
      <c r="G363" s="16">
        <f>NORMINV(RAND(),$K$10,$K$11)</f>
        <v/>
      </c>
      <c r="H363" s="16">
        <f>IF(RAND()&lt;$K$12,-$K$13*LN(1-RAND()),-$K$14*LN(1-RAND()))</f>
        <v/>
      </c>
    </row>
    <row r="364">
      <c r="A364" s="13" t="n">
        <v>360</v>
      </c>
      <c r="B364" s="14">
        <f>RAND()</f>
        <v/>
      </c>
      <c r="C364" s="16">
        <f>-$K$4*LN(1-B364)</f>
        <v/>
      </c>
      <c r="D364" s="16">
        <f>IF(B364&lt;$K$15,$K$5+SQRT(B364*($K$7-$K$5)*($K$6-$K$5)),$K$7-SQRT((1-B364)*($K$7-$K$5)*($K$7-$K$6)))</f>
        <v/>
      </c>
      <c r="E364" s="13">
        <f>INDEX($J$18:$J$22,MATCH(B364,$L$18:$L$22,1))</f>
        <v/>
      </c>
      <c r="F364" s="16">
        <f>-($K$9/$K$8)*LN(RAND()*RAND()*RAND())</f>
        <v/>
      </c>
      <c r="G364" s="16">
        <f>NORMINV(RAND(),$K$10,$K$11)</f>
        <v/>
      </c>
      <c r="H364" s="16">
        <f>IF(RAND()&lt;$K$12,-$K$13*LN(1-RAND()),-$K$14*LN(1-RAND()))</f>
        <v/>
      </c>
    </row>
    <row r="365">
      <c r="A365" s="13" t="n">
        <v>361</v>
      </c>
      <c r="B365" s="14">
        <f>RAND()</f>
        <v/>
      </c>
      <c r="C365" s="16">
        <f>-$K$4*LN(1-B365)</f>
        <v/>
      </c>
      <c r="D365" s="16">
        <f>IF(B365&lt;$K$15,$K$5+SQRT(B365*($K$7-$K$5)*($K$6-$K$5)),$K$7-SQRT((1-B365)*($K$7-$K$5)*($K$7-$K$6)))</f>
        <v/>
      </c>
      <c r="E365" s="13">
        <f>INDEX($J$18:$J$22,MATCH(B365,$L$18:$L$22,1))</f>
        <v/>
      </c>
      <c r="F365" s="16">
        <f>-($K$9/$K$8)*LN(RAND()*RAND()*RAND())</f>
        <v/>
      </c>
      <c r="G365" s="16">
        <f>NORMINV(RAND(),$K$10,$K$11)</f>
        <v/>
      </c>
      <c r="H365" s="16">
        <f>IF(RAND()&lt;$K$12,-$K$13*LN(1-RAND()),-$K$14*LN(1-RAND()))</f>
        <v/>
      </c>
    </row>
    <row r="366">
      <c r="A366" s="13" t="n">
        <v>362</v>
      </c>
      <c r="B366" s="14">
        <f>RAND()</f>
        <v/>
      </c>
      <c r="C366" s="16">
        <f>-$K$4*LN(1-B366)</f>
        <v/>
      </c>
      <c r="D366" s="16">
        <f>IF(B366&lt;$K$15,$K$5+SQRT(B366*($K$7-$K$5)*($K$6-$K$5)),$K$7-SQRT((1-B366)*($K$7-$K$5)*($K$7-$K$6)))</f>
        <v/>
      </c>
      <c r="E366" s="13">
        <f>INDEX($J$18:$J$22,MATCH(B366,$L$18:$L$22,1))</f>
        <v/>
      </c>
      <c r="F366" s="16">
        <f>-($K$9/$K$8)*LN(RAND()*RAND()*RAND())</f>
        <v/>
      </c>
      <c r="G366" s="16">
        <f>NORMINV(RAND(),$K$10,$K$11)</f>
        <v/>
      </c>
      <c r="H366" s="16">
        <f>IF(RAND()&lt;$K$12,-$K$13*LN(1-RAND()),-$K$14*LN(1-RAND()))</f>
        <v/>
      </c>
    </row>
    <row r="367">
      <c r="A367" s="13" t="n">
        <v>363</v>
      </c>
      <c r="B367" s="14">
        <f>RAND()</f>
        <v/>
      </c>
      <c r="C367" s="16">
        <f>-$K$4*LN(1-B367)</f>
        <v/>
      </c>
      <c r="D367" s="16">
        <f>IF(B367&lt;$K$15,$K$5+SQRT(B367*($K$7-$K$5)*($K$6-$K$5)),$K$7-SQRT((1-B367)*($K$7-$K$5)*($K$7-$K$6)))</f>
        <v/>
      </c>
      <c r="E367" s="13">
        <f>INDEX($J$18:$J$22,MATCH(B367,$L$18:$L$22,1))</f>
        <v/>
      </c>
      <c r="F367" s="16">
        <f>-($K$9/$K$8)*LN(RAND()*RAND()*RAND())</f>
        <v/>
      </c>
      <c r="G367" s="16">
        <f>NORMINV(RAND(),$K$10,$K$11)</f>
        <v/>
      </c>
      <c r="H367" s="16">
        <f>IF(RAND()&lt;$K$12,-$K$13*LN(1-RAND()),-$K$14*LN(1-RAND()))</f>
        <v/>
      </c>
    </row>
    <row r="368">
      <c r="A368" s="13" t="n">
        <v>364</v>
      </c>
      <c r="B368" s="14">
        <f>RAND()</f>
        <v/>
      </c>
      <c r="C368" s="16">
        <f>-$K$4*LN(1-B368)</f>
        <v/>
      </c>
      <c r="D368" s="16">
        <f>IF(B368&lt;$K$15,$K$5+SQRT(B368*($K$7-$K$5)*($K$6-$K$5)),$K$7-SQRT((1-B368)*($K$7-$K$5)*($K$7-$K$6)))</f>
        <v/>
      </c>
      <c r="E368" s="13">
        <f>INDEX($J$18:$J$22,MATCH(B368,$L$18:$L$22,1))</f>
        <v/>
      </c>
      <c r="F368" s="16">
        <f>-($K$9/$K$8)*LN(RAND()*RAND()*RAND())</f>
        <v/>
      </c>
      <c r="G368" s="16">
        <f>NORMINV(RAND(),$K$10,$K$11)</f>
        <v/>
      </c>
      <c r="H368" s="16">
        <f>IF(RAND()&lt;$K$12,-$K$13*LN(1-RAND()),-$K$14*LN(1-RAND()))</f>
        <v/>
      </c>
    </row>
    <row r="369">
      <c r="A369" s="13" t="n">
        <v>365</v>
      </c>
      <c r="B369" s="14">
        <f>RAND()</f>
        <v/>
      </c>
      <c r="C369" s="16">
        <f>-$K$4*LN(1-B369)</f>
        <v/>
      </c>
      <c r="D369" s="16">
        <f>IF(B369&lt;$K$15,$K$5+SQRT(B369*($K$7-$K$5)*($K$6-$K$5)),$K$7-SQRT((1-B369)*($K$7-$K$5)*($K$7-$K$6)))</f>
        <v/>
      </c>
      <c r="E369" s="13">
        <f>INDEX($J$18:$J$22,MATCH(B369,$L$18:$L$22,1))</f>
        <v/>
      </c>
      <c r="F369" s="16">
        <f>-($K$9/$K$8)*LN(RAND()*RAND()*RAND())</f>
        <v/>
      </c>
      <c r="G369" s="16">
        <f>NORMINV(RAND(),$K$10,$K$11)</f>
        <v/>
      </c>
      <c r="H369" s="16">
        <f>IF(RAND()&lt;$K$12,-$K$13*LN(1-RAND()),-$K$14*LN(1-RAND()))</f>
        <v/>
      </c>
    </row>
    <row r="370">
      <c r="A370" s="13" t="n">
        <v>366</v>
      </c>
      <c r="B370" s="14">
        <f>RAND()</f>
        <v/>
      </c>
      <c r="C370" s="16">
        <f>-$K$4*LN(1-B370)</f>
        <v/>
      </c>
      <c r="D370" s="16">
        <f>IF(B370&lt;$K$15,$K$5+SQRT(B370*($K$7-$K$5)*($K$6-$K$5)),$K$7-SQRT((1-B370)*($K$7-$K$5)*($K$7-$K$6)))</f>
        <v/>
      </c>
      <c r="E370" s="13">
        <f>INDEX($J$18:$J$22,MATCH(B370,$L$18:$L$22,1))</f>
        <v/>
      </c>
      <c r="F370" s="16">
        <f>-($K$9/$K$8)*LN(RAND()*RAND()*RAND())</f>
        <v/>
      </c>
      <c r="G370" s="16">
        <f>NORMINV(RAND(),$K$10,$K$11)</f>
        <v/>
      </c>
      <c r="H370" s="16">
        <f>IF(RAND()&lt;$K$12,-$K$13*LN(1-RAND()),-$K$14*LN(1-RAND()))</f>
        <v/>
      </c>
    </row>
    <row r="371">
      <c r="A371" s="13" t="n">
        <v>367</v>
      </c>
      <c r="B371" s="14">
        <f>RAND()</f>
        <v/>
      </c>
      <c r="C371" s="16">
        <f>-$K$4*LN(1-B371)</f>
        <v/>
      </c>
      <c r="D371" s="16">
        <f>IF(B371&lt;$K$15,$K$5+SQRT(B371*($K$7-$K$5)*($K$6-$K$5)),$K$7-SQRT((1-B371)*($K$7-$K$5)*($K$7-$K$6)))</f>
        <v/>
      </c>
      <c r="E371" s="13">
        <f>INDEX($J$18:$J$22,MATCH(B371,$L$18:$L$22,1))</f>
        <v/>
      </c>
      <c r="F371" s="16">
        <f>-($K$9/$K$8)*LN(RAND()*RAND()*RAND())</f>
        <v/>
      </c>
      <c r="G371" s="16">
        <f>NORMINV(RAND(),$K$10,$K$11)</f>
        <v/>
      </c>
      <c r="H371" s="16">
        <f>IF(RAND()&lt;$K$12,-$K$13*LN(1-RAND()),-$K$14*LN(1-RAND()))</f>
        <v/>
      </c>
    </row>
    <row r="372">
      <c r="A372" s="13" t="n">
        <v>368</v>
      </c>
      <c r="B372" s="14">
        <f>RAND()</f>
        <v/>
      </c>
      <c r="C372" s="16">
        <f>-$K$4*LN(1-B372)</f>
        <v/>
      </c>
      <c r="D372" s="16">
        <f>IF(B372&lt;$K$15,$K$5+SQRT(B372*($K$7-$K$5)*($K$6-$K$5)),$K$7-SQRT((1-B372)*($K$7-$K$5)*($K$7-$K$6)))</f>
        <v/>
      </c>
      <c r="E372" s="13">
        <f>INDEX($J$18:$J$22,MATCH(B372,$L$18:$L$22,1))</f>
        <v/>
      </c>
      <c r="F372" s="16">
        <f>-($K$9/$K$8)*LN(RAND()*RAND()*RAND())</f>
        <v/>
      </c>
      <c r="G372" s="16">
        <f>NORMINV(RAND(),$K$10,$K$11)</f>
        <v/>
      </c>
      <c r="H372" s="16">
        <f>IF(RAND()&lt;$K$12,-$K$13*LN(1-RAND()),-$K$14*LN(1-RAND()))</f>
        <v/>
      </c>
    </row>
    <row r="373">
      <c r="A373" s="13" t="n">
        <v>369</v>
      </c>
      <c r="B373" s="14">
        <f>RAND()</f>
        <v/>
      </c>
      <c r="C373" s="16">
        <f>-$K$4*LN(1-B373)</f>
        <v/>
      </c>
      <c r="D373" s="16">
        <f>IF(B373&lt;$K$15,$K$5+SQRT(B373*($K$7-$K$5)*($K$6-$K$5)),$K$7-SQRT((1-B373)*($K$7-$K$5)*($K$7-$K$6)))</f>
        <v/>
      </c>
      <c r="E373" s="13">
        <f>INDEX($J$18:$J$22,MATCH(B373,$L$18:$L$22,1))</f>
        <v/>
      </c>
      <c r="F373" s="16">
        <f>-($K$9/$K$8)*LN(RAND()*RAND()*RAND())</f>
        <v/>
      </c>
      <c r="G373" s="16">
        <f>NORMINV(RAND(),$K$10,$K$11)</f>
        <v/>
      </c>
      <c r="H373" s="16">
        <f>IF(RAND()&lt;$K$12,-$K$13*LN(1-RAND()),-$K$14*LN(1-RAND()))</f>
        <v/>
      </c>
    </row>
    <row r="374">
      <c r="A374" s="13" t="n">
        <v>370</v>
      </c>
      <c r="B374" s="14">
        <f>RAND()</f>
        <v/>
      </c>
      <c r="C374" s="16">
        <f>-$K$4*LN(1-B374)</f>
        <v/>
      </c>
      <c r="D374" s="16">
        <f>IF(B374&lt;$K$15,$K$5+SQRT(B374*($K$7-$K$5)*($K$6-$K$5)),$K$7-SQRT((1-B374)*($K$7-$K$5)*($K$7-$K$6)))</f>
        <v/>
      </c>
      <c r="E374" s="13">
        <f>INDEX($J$18:$J$22,MATCH(B374,$L$18:$L$22,1))</f>
        <v/>
      </c>
      <c r="F374" s="16">
        <f>-($K$9/$K$8)*LN(RAND()*RAND()*RAND())</f>
        <v/>
      </c>
      <c r="G374" s="16">
        <f>NORMINV(RAND(),$K$10,$K$11)</f>
        <v/>
      </c>
      <c r="H374" s="16">
        <f>IF(RAND()&lt;$K$12,-$K$13*LN(1-RAND()),-$K$14*LN(1-RAND()))</f>
        <v/>
      </c>
    </row>
    <row r="375">
      <c r="A375" s="13" t="n">
        <v>371</v>
      </c>
      <c r="B375" s="14">
        <f>RAND()</f>
        <v/>
      </c>
      <c r="C375" s="16">
        <f>-$K$4*LN(1-B375)</f>
        <v/>
      </c>
      <c r="D375" s="16">
        <f>IF(B375&lt;$K$15,$K$5+SQRT(B375*($K$7-$K$5)*($K$6-$K$5)),$K$7-SQRT((1-B375)*($K$7-$K$5)*($K$7-$K$6)))</f>
        <v/>
      </c>
      <c r="E375" s="13">
        <f>INDEX($J$18:$J$22,MATCH(B375,$L$18:$L$22,1))</f>
        <v/>
      </c>
      <c r="F375" s="16">
        <f>-($K$9/$K$8)*LN(RAND()*RAND()*RAND())</f>
        <v/>
      </c>
      <c r="G375" s="16">
        <f>NORMINV(RAND(),$K$10,$K$11)</f>
        <v/>
      </c>
      <c r="H375" s="16">
        <f>IF(RAND()&lt;$K$12,-$K$13*LN(1-RAND()),-$K$14*LN(1-RAND()))</f>
        <v/>
      </c>
    </row>
    <row r="376">
      <c r="A376" s="13" t="n">
        <v>372</v>
      </c>
      <c r="B376" s="14">
        <f>RAND()</f>
        <v/>
      </c>
      <c r="C376" s="16">
        <f>-$K$4*LN(1-B376)</f>
        <v/>
      </c>
      <c r="D376" s="16">
        <f>IF(B376&lt;$K$15,$K$5+SQRT(B376*($K$7-$K$5)*($K$6-$K$5)),$K$7-SQRT((1-B376)*($K$7-$K$5)*($K$7-$K$6)))</f>
        <v/>
      </c>
      <c r="E376" s="13">
        <f>INDEX($J$18:$J$22,MATCH(B376,$L$18:$L$22,1))</f>
        <v/>
      </c>
      <c r="F376" s="16">
        <f>-($K$9/$K$8)*LN(RAND()*RAND()*RAND())</f>
        <v/>
      </c>
      <c r="G376" s="16">
        <f>NORMINV(RAND(),$K$10,$K$11)</f>
        <v/>
      </c>
      <c r="H376" s="16">
        <f>IF(RAND()&lt;$K$12,-$K$13*LN(1-RAND()),-$K$14*LN(1-RAND()))</f>
        <v/>
      </c>
    </row>
    <row r="377">
      <c r="A377" s="13" t="n">
        <v>373</v>
      </c>
      <c r="B377" s="14">
        <f>RAND()</f>
        <v/>
      </c>
      <c r="C377" s="16">
        <f>-$K$4*LN(1-B377)</f>
        <v/>
      </c>
      <c r="D377" s="16">
        <f>IF(B377&lt;$K$15,$K$5+SQRT(B377*($K$7-$K$5)*($K$6-$K$5)),$K$7-SQRT((1-B377)*($K$7-$K$5)*($K$7-$K$6)))</f>
        <v/>
      </c>
      <c r="E377" s="13">
        <f>INDEX($J$18:$J$22,MATCH(B377,$L$18:$L$22,1))</f>
        <v/>
      </c>
      <c r="F377" s="16">
        <f>-($K$9/$K$8)*LN(RAND()*RAND()*RAND())</f>
        <v/>
      </c>
      <c r="G377" s="16">
        <f>NORMINV(RAND(),$K$10,$K$11)</f>
        <v/>
      </c>
      <c r="H377" s="16">
        <f>IF(RAND()&lt;$K$12,-$K$13*LN(1-RAND()),-$K$14*LN(1-RAND()))</f>
        <v/>
      </c>
    </row>
    <row r="378">
      <c r="A378" s="13" t="n">
        <v>374</v>
      </c>
      <c r="B378" s="14">
        <f>RAND()</f>
        <v/>
      </c>
      <c r="C378" s="16">
        <f>-$K$4*LN(1-B378)</f>
        <v/>
      </c>
      <c r="D378" s="16">
        <f>IF(B378&lt;$K$15,$K$5+SQRT(B378*($K$7-$K$5)*($K$6-$K$5)),$K$7-SQRT((1-B378)*($K$7-$K$5)*($K$7-$K$6)))</f>
        <v/>
      </c>
      <c r="E378" s="13">
        <f>INDEX($J$18:$J$22,MATCH(B378,$L$18:$L$22,1))</f>
        <v/>
      </c>
      <c r="F378" s="16">
        <f>-($K$9/$K$8)*LN(RAND()*RAND()*RAND())</f>
        <v/>
      </c>
      <c r="G378" s="16">
        <f>NORMINV(RAND(),$K$10,$K$11)</f>
        <v/>
      </c>
      <c r="H378" s="16">
        <f>IF(RAND()&lt;$K$12,-$K$13*LN(1-RAND()),-$K$14*LN(1-RAND()))</f>
        <v/>
      </c>
    </row>
    <row r="379">
      <c r="A379" s="13" t="n">
        <v>375</v>
      </c>
      <c r="B379" s="14">
        <f>RAND()</f>
        <v/>
      </c>
      <c r="C379" s="16">
        <f>-$K$4*LN(1-B379)</f>
        <v/>
      </c>
      <c r="D379" s="16">
        <f>IF(B379&lt;$K$15,$K$5+SQRT(B379*($K$7-$K$5)*($K$6-$K$5)),$K$7-SQRT((1-B379)*($K$7-$K$5)*($K$7-$K$6)))</f>
        <v/>
      </c>
      <c r="E379" s="13">
        <f>INDEX($J$18:$J$22,MATCH(B379,$L$18:$L$22,1))</f>
        <v/>
      </c>
      <c r="F379" s="16">
        <f>-($K$9/$K$8)*LN(RAND()*RAND()*RAND())</f>
        <v/>
      </c>
      <c r="G379" s="16">
        <f>NORMINV(RAND(),$K$10,$K$11)</f>
        <v/>
      </c>
      <c r="H379" s="16">
        <f>IF(RAND()&lt;$K$12,-$K$13*LN(1-RAND()),-$K$14*LN(1-RAND()))</f>
        <v/>
      </c>
    </row>
    <row r="380">
      <c r="A380" s="13" t="n">
        <v>376</v>
      </c>
      <c r="B380" s="14">
        <f>RAND()</f>
        <v/>
      </c>
      <c r="C380" s="16">
        <f>-$K$4*LN(1-B380)</f>
        <v/>
      </c>
      <c r="D380" s="16">
        <f>IF(B380&lt;$K$15,$K$5+SQRT(B380*($K$7-$K$5)*($K$6-$K$5)),$K$7-SQRT((1-B380)*($K$7-$K$5)*($K$7-$K$6)))</f>
        <v/>
      </c>
      <c r="E380" s="13">
        <f>INDEX($J$18:$J$22,MATCH(B380,$L$18:$L$22,1))</f>
        <v/>
      </c>
      <c r="F380" s="16">
        <f>-($K$9/$K$8)*LN(RAND()*RAND()*RAND())</f>
        <v/>
      </c>
      <c r="G380" s="16">
        <f>NORMINV(RAND(),$K$10,$K$11)</f>
        <v/>
      </c>
      <c r="H380" s="16">
        <f>IF(RAND()&lt;$K$12,-$K$13*LN(1-RAND()),-$K$14*LN(1-RAND()))</f>
        <v/>
      </c>
    </row>
    <row r="381">
      <c r="A381" s="13" t="n">
        <v>377</v>
      </c>
      <c r="B381" s="14">
        <f>RAND()</f>
        <v/>
      </c>
      <c r="C381" s="16">
        <f>-$K$4*LN(1-B381)</f>
        <v/>
      </c>
      <c r="D381" s="16">
        <f>IF(B381&lt;$K$15,$K$5+SQRT(B381*($K$7-$K$5)*($K$6-$K$5)),$K$7-SQRT((1-B381)*($K$7-$K$5)*($K$7-$K$6)))</f>
        <v/>
      </c>
      <c r="E381" s="13">
        <f>INDEX($J$18:$J$22,MATCH(B381,$L$18:$L$22,1))</f>
        <v/>
      </c>
      <c r="F381" s="16">
        <f>-($K$9/$K$8)*LN(RAND()*RAND()*RAND())</f>
        <v/>
      </c>
      <c r="G381" s="16">
        <f>NORMINV(RAND(),$K$10,$K$11)</f>
        <v/>
      </c>
      <c r="H381" s="16">
        <f>IF(RAND()&lt;$K$12,-$K$13*LN(1-RAND()),-$K$14*LN(1-RAND()))</f>
        <v/>
      </c>
    </row>
    <row r="382">
      <c r="A382" s="13" t="n">
        <v>378</v>
      </c>
      <c r="B382" s="14">
        <f>RAND()</f>
        <v/>
      </c>
      <c r="C382" s="16">
        <f>-$K$4*LN(1-B382)</f>
        <v/>
      </c>
      <c r="D382" s="16">
        <f>IF(B382&lt;$K$15,$K$5+SQRT(B382*($K$7-$K$5)*($K$6-$K$5)),$K$7-SQRT((1-B382)*($K$7-$K$5)*($K$7-$K$6)))</f>
        <v/>
      </c>
      <c r="E382" s="13">
        <f>INDEX($J$18:$J$22,MATCH(B382,$L$18:$L$22,1))</f>
        <v/>
      </c>
      <c r="F382" s="16">
        <f>-($K$9/$K$8)*LN(RAND()*RAND()*RAND())</f>
        <v/>
      </c>
      <c r="G382" s="16">
        <f>NORMINV(RAND(),$K$10,$K$11)</f>
        <v/>
      </c>
      <c r="H382" s="16">
        <f>IF(RAND()&lt;$K$12,-$K$13*LN(1-RAND()),-$K$14*LN(1-RAND()))</f>
        <v/>
      </c>
    </row>
    <row r="383">
      <c r="A383" s="13" t="n">
        <v>379</v>
      </c>
      <c r="B383" s="14">
        <f>RAND()</f>
        <v/>
      </c>
      <c r="C383" s="16">
        <f>-$K$4*LN(1-B383)</f>
        <v/>
      </c>
      <c r="D383" s="16">
        <f>IF(B383&lt;$K$15,$K$5+SQRT(B383*($K$7-$K$5)*($K$6-$K$5)),$K$7-SQRT((1-B383)*($K$7-$K$5)*($K$7-$K$6)))</f>
        <v/>
      </c>
      <c r="E383" s="13">
        <f>INDEX($J$18:$J$22,MATCH(B383,$L$18:$L$22,1))</f>
        <v/>
      </c>
      <c r="F383" s="16">
        <f>-($K$9/$K$8)*LN(RAND()*RAND()*RAND())</f>
        <v/>
      </c>
      <c r="G383" s="16">
        <f>NORMINV(RAND(),$K$10,$K$11)</f>
        <v/>
      </c>
      <c r="H383" s="16">
        <f>IF(RAND()&lt;$K$12,-$K$13*LN(1-RAND()),-$K$14*LN(1-RAND()))</f>
        <v/>
      </c>
    </row>
    <row r="384">
      <c r="A384" s="13" t="n">
        <v>380</v>
      </c>
      <c r="B384" s="14">
        <f>RAND()</f>
        <v/>
      </c>
      <c r="C384" s="16">
        <f>-$K$4*LN(1-B384)</f>
        <v/>
      </c>
      <c r="D384" s="16">
        <f>IF(B384&lt;$K$15,$K$5+SQRT(B384*($K$7-$K$5)*($K$6-$K$5)),$K$7-SQRT((1-B384)*($K$7-$K$5)*($K$7-$K$6)))</f>
        <v/>
      </c>
      <c r="E384" s="13">
        <f>INDEX($J$18:$J$22,MATCH(B384,$L$18:$L$22,1))</f>
        <v/>
      </c>
      <c r="F384" s="16">
        <f>-($K$9/$K$8)*LN(RAND()*RAND()*RAND())</f>
        <v/>
      </c>
      <c r="G384" s="16">
        <f>NORMINV(RAND(),$K$10,$K$11)</f>
        <v/>
      </c>
      <c r="H384" s="16">
        <f>IF(RAND()&lt;$K$12,-$K$13*LN(1-RAND()),-$K$14*LN(1-RAND()))</f>
        <v/>
      </c>
    </row>
    <row r="385">
      <c r="A385" s="13" t="n">
        <v>381</v>
      </c>
      <c r="B385" s="14">
        <f>RAND()</f>
        <v/>
      </c>
      <c r="C385" s="16">
        <f>-$K$4*LN(1-B385)</f>
        <v/>
      </c>
      <c r="D385" s="16">
        <f>IF(B385&lt;$K$15,$K$5+SQRT(B385*($K$7-$K$5)*($K$6-$K$5)),$K$7-SQRT((1-B385)*($K$7-$K$5)*($K$7-$K$6)))</f>
        <v/>
      </c>
      <c r="E385" s="13">
        <f>INDEX($J$18:$J$22,MATCH(B385,$L$18:$L$22,1))</f>
        <v/>
      </c>
      <c r="F385" s="16">
        <f>-($K$9/$K$8)*LN(RAND()*RAND()*RAND())</f>
        <v/>
      </c>
      <c r="G385" s="16">
        <f>NORMINV(RAND(),$K$10,$K$11)</f>
        <v/>
      </c>
      <c r="H385" s="16">
        <f>IF(RAND()&lt;$K$12,-$K$13*LN(1-RAND()),-$K$14*LN(1-RAND()))</f>
        <v/>
      </c>
    </row>
    <row r="386">
      <c r="A386" s="13" t="n">
        <v>382</v>
      </c>
      <c r="B386" s="14">
        <f>RAND()</f>
        <v/>
      </c>
      <c r="C386" s="16">
        <f>-$K$4*LN(1-B386)</f>
        <v/>
      </c>
      <c r="D386" s="16">
        <f>IF(B386&lt;$K$15,$K$5+SQRT(B386*($K$7-$K$5)*($K$6-$K$5)),$K$7-SQRT((1-B386)*($K$7-$K$5)*($K$7-$K$6)))</f>
        <v/>
      </c>
      <c r="E386" s="13">
        <f>INDEX($J$18:$J$22,MATCH(B386,$L$18:$L$22,1))</f>
        <v/>
      </c>
      <c r="F386" s="16">
        <f>-($K$9/$K$8)*LN(RAND()*RAND()*RAND())</f>
        <v/>
      </c>
      <c r="G386" s="16">
        <f>NORMINV(RAND(),$K$10,$K$11)</f>
        <v/>
      </c>
      <c r="H386" s="16">
        <f>IF(RAND()&lt;$K$12,-$K$13*LN(1-RAND()),-$K$14*LN(1-RAND()))</f>
        <v/>
      </c>
    </row>
    <row r="387">
      <c r="A387" s="13" t="n">
        <v>383</v>
      </c>
      <c r="B387" s="14">
        <f>RAND()</f>
        <v/>
      </c>
      <c r="C387" s="16">
        <f>-$K$4*LN(1-B387)</f>
        <v/>
      </c>
      <c r="D387" s="16">
        <f>IF(B387&lt;$K$15,$K$5+SQRT(B387*($K$7-$K$5)*($K$6-$K$5)),$K$7-SQRT((1-B387)*($K$7-$K$5)*($K$7-$K$6)))</f>
        <v/>
      </c>
      <c r="E387" s="13">
        <f>INDEX($J$18:$J$22,MATCH(B387,$L$18:$L$22,1))</f>
        <v/>
      </c>
      <c r="F387" s="16">
        <f>-($K$9/$K$8)*LN(RAND()*RAND()*RAND())</f>
        <v/>
      </c>
      <c r="G387" s="16">
        <f>NORMINV(RAND(),$K$10,$K$11)</f>
        <v/>
      </c>
      <c r="H387" s="16">
        <f>IF(RAND()&lt;$K$12,-$K$13*LN(1-RAND()),-$K$14*LN(1-RAND()))</f>
        <v/>
      </c>
    </row>
    <row r="388">
      <c r="A388" s="13" t="n">
        <v>384</v>
      </c>
      <c r="B388" s="14">
        <f>RAND()</f>
        <v/>
      </c>
      <c r="C388" s="16">
        <f>-$K$4*LN(1-B388)</f>
        <v/>
      </c>
      <c r="D388" s="16">
        <f>IF(B388&lt;$K$15,$K$5+SQRT(B388*($K$7-$K$5)*($K$6-$K$5)),$K$7-SQRT((1-B388)*($K$7-$K$5)*($K$7-$K$6)))</f>
        <v/>
      </c>
      <c r="E388" s="13">
        <f>INDEX($J$18:$J$22,MATCH(B388,$L$18:$L$22,1))</f>
        <v/>
      </c>
      <c r="F388" s="16">
        <f>-($K$9/$K$8)*LN(RAND()*RAND()*RAND())</f>
        <v/>
      </c>
      <c r="G388" s="16">
        <f>NORMINV(RAND(),$K$10,$K$11)</f>
        <v/>
      </c>
      <c r="H388" s="16">
        <f>IF(RAND()&lt;$K$12,-$K$13*LN(1-RAND()),-$K$14*LN(1-RAND()))</f>
        <v/>
      </c>
    </row>
    <row r="389">
      <c r="A389" s="13" t="n">
        <v>385</v>
      </c>
      <c r="B389" s="14">
        <f>RAND()</f>
        <v/>
      </c>
      <c r="C389" s="16">
        <f>-$K$4*LN(1-B389)</f>
        <v/>
      </c>
      <c r="D389" s="16">
        <f>IF(B389&lt;$K$15,$K$5+SQRT(B389*($K$7-$K$5)*($K$6-$K$5)),$K$7-SQRT((1-B389)*($K$7-$K$5)*($K$7-$K$6)))</f>
        <v/>
      </c>
      <c r="E389" s="13">
        <f>INDEX($J$18:$J$22,MATCH(B389,$L$18:$L$22,1))</f>
        <v/>
      </c>
      <c r="F389" s="16">
        <f>-($K$9/$K$8)*LN(RAND()*RAND()*RAND())</f>
        <v/>
      </c>
      <c r="G389" s="16">
        <f>NORMINV(RAND(),$K$10,$K$11)</f>
        <v/>
      </c>
      <c r="H389" s="16">
        <f>IF(RAND()&lt;$K$12,-$K$13*LN(1-RAND()),-$K$14*LN(1-RAND()))</f>
        <v/>
      </c>
    </row>
    <row r="390">
      <c r="A390" s="13" t="n">
        <v>386</v>
      </c>
      <c r="B390" s="14">
        <f>RAND()</f>
        <v/>
      </c>
      <c r="C390" s="16">
        <f>-$K$4*LN(1-B390)</f>
        <v/>
      </c>
      <c r="D390" s="16">
        <f>IF(B390&lt;$K$15,$K$5+SQRT(B390*($K$7-$K$5)*($K$6-$K$5)),$K$7-SQRT((1-B390)*($K$7-$K$5)*($K$7-$K$6)))</f>
        <v/>
      </c>
      <c r="E390" s="13">
        <f>INDEX($J$18:$J$22,MATCH(B390,$L$18:$L$22,1))</f>
        <v/>
      </c>
      <c r="F390" s="16">
        <f>-($K$9/$K$8)*LN(RAND()*RAND()*RAND())</f>
        <v/>
      </c>
      <c r="G390" s="16">
        <f>NORMINV(RAND(),$K$10,$K$11)</f>
        <v/>
      </c>
      <c r="H390" s="16">
        <f>IF(RAND()&lt;$K$12,-$K$13*LN(1-RAND()),-$K$14*LN(1-RAND()))</f>
        <v/>
      </c>
    </row>
    <row r="391">
      <c r="A391" s="13" t="n">
        <v>387</v>
      </c>
      <c r="B391" s="14">
        <f>RAND()</f>
        <v/>
      </c>
      <c r="C391" s="16">
        <f>-$K$4*LN(1-B391)</f>
        <v/>
      </c>
      <c r="D391" s="16">
        <f>IF(B391&lt;$K$15,$K$5+SQRT(B391*($K$7-$K$5)*($K$6-$K$5)),$K$7-SQRT((1-B391)*($K$7-$K$5)*($K$7-$K$6)))</f>
        <v/>
      </c>
      <c r="E391" s="13">
        <f>INDEX($J$18:$J$22,MATCH(B391,$L$18:$L$22,1))</f>
        <v/>
      </c>
      <c r="F391" s="16">
        <f>-($K$9/$K$8)*LN(RAND()*RAND()*RAND())</f>
        <v/>
      </c>
      <c r="G391" s="16">
        <f>NORMINV(RAND(),$K$10,$K$11)</f>
        <v/>
      </c>
      <c r="H391" s="16">
        <f>IF(RAND()&lt;$K$12,-$K$13*LN(1-RAND()),-$K$14*LN(1-RAND()))</f>
        <v/>
      </c>
    </row>
    <row r="392">
      <c r="A392" s="13" t="n">
        <v>388</v>
      </c>
      <c r="B392" s="14">
        <f>RAND()</f>
        <v/>
      </c>
      <c r="C392" s="16">
        <f>-$K$4*LN(1-B392)</f>
        <v/>
      </c>
      <c r="D392" s="16">
        <f>IF(B392&lt;$K$15,$K$5+SQRT(B392*($K$7-$K$5)*($K$6-$K$5)),$K$7-SQRT((1-B392)*($K$7-$K$5)*($K$7-$K$6)))</f>
        <v/>
      </c>
      <c r="E392" s="13">
        <f>INDEX($J$18:$J$22,MATCH(B392,$L$18:$L$22,1))</f>
        <v/>
      </c>
      <c r="F392" s="16">
        <f>-($K$9/$K$8)*LN(RAND()*RAND()*RAND())</f>
        <v/>
      </c>
      <c r="G392" s="16">
        <f>NORMINV(RAND(),$K$10,$K$11)</f>
        <v/>
      </c>
      <c r="H392" s="16">
        <f>IF(RAND()&lt;$K$12,-$K$13*LN(1-RAND()),-$K$14*LN(1-RAND()))</f>
        <v/>
      </c>
    </row>
    <row r="393">
      <c r="A393" s="13" t="n">
        <v>389</v>
      </c>
      <c r="B393" s="14">
        <f>RAND()</f>
        <v/>
      </c>
      <c r="C393" s="16">
        <f>-$K$4*LN(1-B393)</f>
        <v/>
      </c>
      <c r="D393" s="16">
        <f>IF(B393&lt;$K$15,$K$5+SQRT(B393*($K$7-$K$5)*($K$6-$K$5)),$K$7-SQRT((1-B393)*($K$7-$K$5)*($K$7-$K$6)))</f>
        <v/>
      </c>
      <c r="E393" s="13">
        <f>INDEX($J$18:$J$22,MATCH(B393,$L$18:$L$22,1))</f>
        <v/>
      </c>
      <c r="F393" s="16">
        <f>-($K$9/$K$8)*LN(RAND()*RAND()*RAND())</f>
        <v/>
      </c>
      <c r="G393" s="16">
        <f>NORMINV(RAND(),$K$10,$K$11)</f>
        <v/>
      </c>
      <c r="H393" s="16">
        <f>IF(RAND()&lt;$K$12,-$K$13*LN(1-RAND()),-$K$14*LN(1-RAND()))</f>
        <v/>
      </c>
    </row>
    <row r="394">
      <c r="A394" s="13" t="n">
        <v>390</v>
      </c>
      <c r="B394" s="14">
        <f>RAND()</f>
        <v/>
      </c>
      <c r="C394" s="16">
        <f>-$K$4*LN(1-B394)</f>
        <v/>
      </c>
      <c r="D394" s="16">
        <f>IF(B394&lt;$K$15,$K$5+SQRT(B394*($K$7-$K$5)*($K$6-$K$5)),$K$7-SQRT((1-B394)*($K$7-$K$5)*($K$7-$K$6)))</f>
        <v/>
      </c>
      <c r="E394" s="13">
        <f>INDEX($J$18:$J$22,MATCH(B394,$L$18:$L$22,1))</f>
        <v/>
      </c>
      <c r="F394" s="16">
        <f>-($K$9/$K$8)*LN(RAND()*RAND()*RAND())</f>
        <v/>
      </c>
      <c r="G394" s="16">
        <f>NORMINV(RAND(),$K$10,$K$11)</f>
        <v/>
      </c>
      <c r="H394" s="16">
        <f>IF(RAND()&lt;$K$12,-$K$13*LN(1-RAND()),-$K$14*LN(1-RAND()))</f>
        <v/>
      </c>
    </row>
    <row r="395">
      <c r="A395" s="13" t="n">
        <v>391</v>
      </c>
      <c r="B395" s="14">
        <f>RAND()</f>
        <v/>
      </c>
      <c r="C395" s="16">
        <f>-$K$4*LN(1-B395)</f>
        <v/>
      </c>
      <c r="D395" s="16">
        <f>IF(B395&lt;$K$15,$K$5+SQRT(B395*($K$7-$K$5)*($K$6-$K$5)),$K$7-SQRT((1-B395)*($K$7-$K$5)*($K$7-$K$6)))</f>
        <v/>
      </c>
      <c r="E395" s="13">
        <f>INDEX($J$18:$J$22,MATCH(B395,$L$18:$L$22,1))</f>
        <v/>
      </c>
      <c r="F395" s="16">
        <f>-($K$9/$K$8)*LN(RAND()*RAND()*RAND())</f>
        <v/>
      </c>
      <c r="G395" s="16">
        <f>NORMINV(RAND(),$K$10,$K$11)</f>
        <v/>
      </c>
      <c r="H395" s="16">
        <f>IF(RAND()&lt;$K$12,-$K$13*LN(1-RAND()),-$K$14*LN(1-RAND()))</f>
        <v/>
      </c>
    </row>
    <row r="396">
      <c r="A396" s="13" t="n">
        <v>392</v>
      </c>
      <c r="B396" s="14">
        <f>RAND()</f>
        <v/>
      </c>
      <c r="C396" s="16">
        <f>-$K$4*LN(1-B396)</f>
        <v/>
      </c>
      <c r="D396" s="16">
        <f>IF(B396&lt;$K$15,$K$5+SQRT(B396*($K$7-$K$5)*($K$6-$K$5)),$K$7-SQRT((1-B396)*($K$7-$K$5)*($K$7-$K$6)))</f>
        <v/>
      </c>
      <c r="E396" s="13">
        <f>INDEX($J$18:$J$22,MATCH(B396,$L$18:$L$22,1))</f>
        <v/>
      </c>
      <c r="F396" s="16">
        <f>-($K$9/$K$8)*LN(RAND()*RAND()*RAND())</f>
        <v/>
      </c>
      <c r="G396" s="16">
        <f>NORMINV(RAND(),$K$10,$K$11)</f>
        <v/>
      </c>
      <c r="H396" s="16">
        <f>IF(RAND()&lt;$K$12,-$K$13*LN(1-RAND()),-$K$14*LN(1-RAND()))</f>
        <v/>
      </c>
    </row>
    <row r="397">
      <c r="A397" s="13" t="n">
        <v>393</v>
      </c>
      <c r="B397" s="14">
        <f>RAND()</f>
        <v/>
      </c>
      <c r="C397" s="16">
        <f>-$K$4*LN(1-B397)</f>
        <v/>
      </c>
      <c r="D397" s="16">
        <f>IF(B397&lt;$K$15,$K$5+SQRT(B397*($K$7-$K$5)*($K$6-$K$5)),$K$7-SQRT((1-B397)*($K$7-$K$5)*($K$7-$K$6)))</f>
        <v/>
      </c>
      <c r="E397" s="13">
        <f>INDEX($J$18:$J$22,MATCH(B397,$L$18:$L$22,1))</f>
        <v/>
      </c>
      <c r="F397" s="16">
        <f>-($K$9/$K$8)*LN(RAND()*RAND()*RAND())</f>
        <v/>
      </c>
      <c r="G397" s="16">
        <f>NORMINV(RAND(),$K$10,$K$11)</f>
        <v/>
      </c>
      <c r="H397" s="16">
        <f>IF(RAND()&lt;$K$12,-$K$13*LN(1-RAND()),-$K$14*LN(1-RAND()))</f>
        <v/>
      </c>
    </row>
    <row r="398">
      <c r="A398" s="13" t="n">
        <v>394</v>
      </c>
      <c r="B398" s="14">
        <f>RAND()</f>
        <v/>
      </c>
      <c r="C398" s="16">
        <f>-$K$4*LN(1-B398)</f>
        <v/>
      </c>
      <c r="D398" s="16">
        <f>IF(B398&lt;$K$15,$K$5+SQRT(B398*($K$7-$K$5)*($K$6-$K$5)),$K$7-SQRT((1-B398)*($K$7-$K$5)*($K$7-$K$6)))</f>
        <v/>
      </c>
      <c r="E398" s="13">
        <f>INDEX($J$18:$J$22,MATCH(B398,$L$18:$L$22,1))</f>
        <v/>
      </c>
      <c r="F398" s="16">
        <f>-($K$9/$K$8)*LN(RAND()*RAND()*RAND())</f>
        <v/>
      </c>
      <c r="G398" s="16">
        <f>NORMINV(RAND(),$K$10,$K$11)</f>
        <v/>
      </c>
      <c r="H398" s="16">
        <f>IF(RAND()&lt;$K$12,-$K$13*LN(1-RAND()),-$K$14*LN(1-RAND()))</f>
        <v/>
      </c>
    </row>
    <row r="399">
      <c r="A399" s="13" t="n">
        <v>395</v>
      </c>
      <c r="B399" s="14">
        <f>RAND()</f>
        <v/>
      </c>
      <c r="C399" s="16">
        <f>-$K$4*LN(1-B399)</f>
        <v/>
      </c>
      <c r="D399" s="16">
        <f>IF(B399&lt;$K$15,$K$5+SQRT(B399*($K$7-$K$5)*($K$6-$K$5)),$K$7-SQRT((1-B399)*($K$7-$K$5)*($K$7-$K$6)))</f>
        <v/>
      </c>
      <c r="E399" s="13">
        <f>INDEX($J$18:$J$22,MATCH(B399,$L$18:$L$22,1))</f>
        <v/>
      </c>
      <c r="F399" s="16">
        <f>-($K$9/$K$8)*LN(RAND()*RAND()*RAND())</f>
        <v/>
      </c>
      <c r="G399" s="16">
        <f>NORMINV(RAND(),$K$10,$K$11)</f>
        <v/>
      </c>
      <c r="H399" s="16">
        <f>IF(RAND()&lt;$K$12,-$K$13*LN(1-RAND()),-$K$14*LN(1-RAND()))</f>
        <v/>
      </c>
    </row>
    <row r="400">
      <c r="A400" s="13" t="n">
        <v>396</v>
      </c>
      <c r="B400" s="14">
        <f>RAND()</f>
        <v/>
      </c>
      <c r="C400" s="16">
        <f>-$K$4*LN(1-B400)</f>
        <v/>
      </c>
      <c r="D400" s="16">
        <f>IF(B400&lt;$K$15,$K$5+SQRT(B400*($K$7-$K$5)*($K$6-$K$5)),$K$7-SQRT((1-B400)*($K$7-$K$5)*($K$7-$K$6)))</f>
        <v/>
      </c>
      <c r="E400" s="13">
        <f>INDEX($J$18:$J$22,MATCH(B400,$L$18:$L$22,1))</f>
        <v/>
      </c>
      <c r="F400" s="16">
        <f>-($K$9/$K$8)*LN(RAND()*RAND()*RAND())</f>
        <v/>
      </c>
      <c r="G400" s="16">
        <f>NORMINV(RAND(),$K$10,$K$11)</f>
        <v/>
      </c>
      <c r="H400" s="16">
        <f>IF(RAND()&lt;$K$12,-$K$13*LN(1-RAND()),-$K$14*LN(1-RAND()))</f>
        <v/>
      </c>
    </row>
    <row r="401">
      <c r="A401" s="13" t="n">
        <v>397</v>
      </c>
      <c r="B401" s="14">
        <f>RAND()</f>
        <v/>
      </c>
      <c r="C401" s="16">
        <f>-$K$4*LN(1-B401)</f>
        <v/>
      </c>
      <c r="D401" s="16">
        <f>IF(B401&lt;$K$15,$K$5+SQRT(B401*($K$7-$K$5)*($K$6-$K$5)),$K$7-SQRT((1-B401)*($K$7-$K$5)*($K$7-$K$6)))</f>
        <v/>
      </c>
      <c r="E401" s="13">
        <f>INDEX($J$18:$J$22,MATCH(B401,$L$18:$L$22,1))</f>
        <v/>
      </c>
      <c r="F401" s="16">
        <f>-($K$9/$K$8)*LN(RAND()*RAND()*RAND())</f>
        <v/>
      </c>
      <c r="G401" s="16">
        <f>NORMINV(RAND(),$K$10,$K$11)</f>
        <v/>
      </c>
      <c r="H401" s="16">
        <f>IF(RAND()&lt;$K$12,-$K$13*LN(1-RAND()),-$K$14*LN(1-RAND()))</f>
        <v/>
      </c>
    </row>
    <row r="402">
      <c r="A402" s="13" t="n">
        <v>398</v>
      </c>
      <c r="B402" s="14">
        <f>RAND()</f>
        <v/>
      </c>
      <c r="C402" s="16">
        <f>-$K$4*LN(1-B402)</f>
        <v/>
      </c>
      <c r="D402" s="16">
        <f>IF(B402&lt;$K$15,$K$5+SQRT(B402*($K$7-$K$5)*($K$6-$K$5)),$K$7-SQRT((1-B402)*($K$7-$K$5)*($K$7-$K$6)))</f>
        <v/>
      </c>
      <c r="E402" s="13">
        <f>INDEX($J$18:$J$22,MATCH(B402,$L$18:$L$22,1))</f>
        <v/>
      </c>
      <c r="F402" s="16">
        <f>-($K$9/$K$8)*LN(RAND()*RAND()*RAND())</f>
        <v/>
      </c>
      <c r="G402" s="16">
        <f>NORMINV(RAND(),$K$10,$K$11)</f>
        <v/>
      </c>
      <c r="H402" s="16">
        <f>IF(RAND()&lt;$K$12,-$K$13*LN(1-RAND()),-$K$14*LN(1-RAND()))</f>
        <v/>
      </c>
    </row>
    <row r="403">
      <c r="A403" s="13" t="n">
        <v>399</v>
      </c>
      <c r="B403" s="14">
        <f>RAND()</f>
        <v/>
      </c>
      <c r="C403" s="16">
        <f>-$K$4*LN(1-B403)</f>
        <v/>
      </c>
      <c r="D403" s="16">
        <f>IF(B403&lt;$K$15,$K$5+SQRT(B403*($K$7-$K$5)*($K$6-$K$5)),$K$7-SQRT((1-B403)*($K$7-$K$5)*($K$7-$K$6)))</f>
        <v/>
      </c>
      <c r="E403" s="13">
        <f>INDEX($J$18:$J$22,MATCH(B403,$L$18:$L$22,1))</f>
        <v/>
      </c>
      <c r="F403" s="16">
        <f>-($K$9/$K$8)*LN(RAND()*RAND()*RAND())</f>
        <v/>
      </c>
      <c r="G403" s="16">
        <f>NORMINV(RAND(),$K$10,$K$11)</f>
        <v/>
      </c>
      <c r="H403" s="16">
        <f>IF(RAND()&lt;$K$12,-$K$13*LN(1-RAND()),-$K$14*LN(1-RAND()))</f>
        <v/>
      </c>
    </row>
    <row r="404">
      <c r="A404" s="13" t="n">
        <v>400</v>
      </c>
      <c r="B404" s="14">
        <f>RAND()</f>
        <v/>
      </c>
      <c r="C404" s="16">
        <f>-$K$4*LN(1-B404)</f>
        <v/>
      </c>
      <c r="D404" s="16">
        <f>IF(B404&lt;$K$15,$K$5+SQRT(B404*($K$7-$K$5)*($K$6-$K$5)),$K$7-SQRT((1-B404)*($K$7-$K$5)*($K$7-$K$6)))</f>
        <v/>
      </c>
      <c r="E404" s="13">
        <f>INDEX($J$18:$J$22,MATCH(B404,$L$18:$L$22,1))</f>
        <v/>
      </c>
      <c r="F404" s="16">
        <f>-($K$9/$K$8)*LN(RAND()*RAND()*RAND())</f>
        <v/>
      </c>
      <c r="G404" s="16">
        <f>NORMINV(RAND(),$K$10,$K$11)</f>
        <v/>
      </c>
      <c r="H404" s="16">
        <f>IF(RAND()&lt;$K$12,-$K$13*LN(1-RAND()),-$K$14*LN(1-RAND()))</f>
        <v/>
      </c>
    </row>
    <row r="405">
      <c r="A405" s="13" t="n">
        <v>401</v>
      </c>
      <c r="B405" s="14">
        <f>RAND()</f>
        <v/>
      </c>
      <c r="C405" s="16">
        <f>-$K$4*LN(1-B405)</f>
        <v/>
      </c>
      <c r="D405" s="16">
        <f>IF(B405&lt;$K$15,$K$5+SQRT(B405*($K$7-$K$5)*($K$6-$K$5)),$K$7-SQRT((1-B405)*($K$7-$K$5)*($K$7-$K$6)))</f>
        <v/>
      </c>
      <c r="E405" s="13">
        <f>INDEX($J$18:$J$22,MATCH(B405,$L$18:$L$22,1))</f>
        <v/>
      </c>
      <c r="F405" s="16">
        <f>-($K$9/$K$8)*LN(RAND()*RAND()*RAND())</f>
        <v/>
      </c>
      <c r="G405" s="16">
        <f>NORMINV(RAND(),$K$10,$K$11)</f>
        <v/>
      </c>
      <c r="H405" s="16">
        <f>IF(RAND()&lt;$K$12,-$K$13*LN(1-RAND()),-$K$14*LN(1-RAND()))</f>
        <v/>
      </c>
    </row>
    <row r="406">
      <c r="A406" s="13" t="n">
        <v>402</v>
      </c>
      <c r="B406" s="14">
        <f>RAND()</f>
        <v/>
      </c>
      <c r="C406" s="16">
        <f>-$K$4*LN(1-B406)</f>
        <v/>
      </c>
      <c r="D406" s="16">
        <f>IF(B406&lt;$K$15,$K$5+SQRT(B406*($K$7-$K$5)*($K$6-$K$5)),$K$7-SQRT((1-B406)*($K$7-$K$5)*($K$7-$K$6)))</f>
        <v/>
      </c>
      <c r="E406" s="13">
        <f>INDEX($J$18:$J$22,MATCH(B406,$L$18:$L$22,1))</f>
        <v/>
      </c>
      <c r="F406" s="16">
        <f>-($K$9/$K$8)*LN(RAND()*RAND()*RAND())</f>
        <v/>
      </c>
      <c r="G406" s="16">
        <f>NORMINV(RAND(),$K$10,$K$11)</f>
        <v/>
      </c>
      <c r="H406" s="16">
        <f>IF(RAND()&lt;$K$12,-$K$13*LN(1-RAND()),-$K$14*LN(1-RAND()))</f>
        <v/>
      </c>
    </row>
    <row r="407">
      <c r="A407" s="13" t="n">
        <v>403</v>
      </c>
      <c r="B407" s="14">
        <f>RAND()</f>
        <v/>
      </c>
      <c r="C407" s="16">
        <f>-$K$4*LN(1-B407)</f>
        <v/>
      </c>
      <c r="D407" s="16">
        <f>IF(B407&lt;$K$15,$K$5+SQRT(B407*($K$7-$K$5)*($K$6-$K$5)),$K$7-SQRT((1-B407)*($K$7-$K$5)*($K$7-$K$6)))</f>
        <v/>
      </c>
      <c r="E407" s="13">
        <f>INDEX($J$18:$J$22,MATCH(B407,$L$18:$L$22,1))</f>
        <v/>
      </c>
      <c r="F407" s="16">
        <f>-($K$9/$K$8)*LN(RAND()*RAND()*RAND())</f>
        <v/>
      </c>
      <c r="G407" s="16">
        <f>NORMINV(RAND(),$K$10,$K$11)</f>
        <v/>
      </c>
      <c r="H407" s="16">
        <f>IF(RAND()&lt;$K$12,-$K$13*LN(1-RAND()),-$K$14*LN(1-RAND()))</f>
        <v/>
      </c>
    </row>
    <row r="408">
      <c r="A408" s="13" t="n">
        <v>404</v>
      </c>
      <c r="B408" s="14">
        <f>RAND()</f>
        <v/>
      </c>
      <c r="C408" s="16">
        <f>-$K$4*LN(1-B408)</f>
        <v/>
      </c>
      <c r="D408" s="16">
        <f>IF(B408&lt;$K$15,$K$5+SQRT(B408*($K$7-$K$5)*($K$6-$K$5)),$K$7-SQRT((1-B408)*($K$7-$K$5)*($K$7-$K$6)))</f>
        <v/>
      </c>
      <c r="E408" s="13">
        <f>INDEX($J$18:$J$22,MATCH(B408,$L$18:$L$22,1))</f>
        <v/>
      </c>
      <c r="F408" s="16">
        <f>-($K$9/$K$8)*LN(RAND()*RAND()*RAND())</f>
        <v/>
      </c>
      <c r="G408" s="16">
        <f>NORMINV(RAND(),$K$10,$K$11)</f>
        <v/>
      </c>
      <c r="H408" s="16">
        <f>IF(RAND()&lt;$K$12,-$K$13*LN(1-RAND()),-$K$14*LN(1-RAND()))</f>
        <v/>
      </c>
    </row>
    <row r="409">
      <c r="A409" s="13" t="n">
        <v>405</v>
      </c>
      <c r="B409" s="14">
        <f>RAND()</f>
        <v/>
      </c>
      <c r="C409" s="16">
        <f>-$K$4*LN(1-B409)</f>
        <v/>
      </c>
      <c r="D409" s="16">
        <f>IF(B409&lt;$K$15,$K$5+SQRT(B409*($K$7-$K$5)*($K$6-$K$5)),$K$7-SQRT((1-B409)*($K$7-$K$5)*($K$7-$K$6)))</f>
        <v/>
      </c>
      <c r="E409" s="13">
        <f>INDEX($J$18:$J$22,MATCH(B409,$L$18:$L$22,1))</f>
        <v/>
      </c>
      <c r="F409" s="16">
        <f>-($K$9/$K$8)*LN(RAND()*RAND()*RAND())</f>
        <v/>
      </c>
      <c r="G409" s="16">
        <f>NORMINV(RAND(),$K$10,$K$11)</f>
        <v/>
      </c>
      <c r="H409" s="16">
        <f>IF(RAND()&lt;$K$12,-$K$13*LN(1-RAND()),-$K$14*LN(1-RAND()))</f>
        <v/>
      </c>
    </row>
    <row r="410">
      <c r="A410" s="13" t="n">
        <v>406</v>
      </c>
      <c r="B410" s="14">
        <f>RAND()</f>
        <v/>
      </c>
      <c r="C410" s="16">
        <f>-$K$4*LN(1-B410)</f>
        <v/>
      </c>
      <c r="D410" s="16">
        <f>IF(B410&lt;$K$15,$K$5+SQRT(B410*($K$7-$K$5)*($K$6-$K$5)),$K$7-SQRT((1-B410)*($K$7-$K$5)*($K$7-$K$6)))</f>
        <v/>
      </c>
      <c r="E410" s="13">
        <f>INDEX($J$18:$J$22,MATCH(B410,$L$18:$L$22,1))</f>
        <v/>
      </c>
      <c r="F410" s="16">
        <f>-($K$9/$K$8)*LN(RAND()*RAND()*RAND())</f>
        <v/>
      </c>
      <c r="G410" s="16">
        <f>NORMINV(RAND(),$K$10,$K$11)</f>
        <v/>
      </c>
      <c r="H410" s="16">
        <f>IF(RAND()&lt;$K$12,-$K$13*LN(1-RAND()),-$K$14*LN(1-RAND()))</f>
        <v/>
      </c>
    </row>
    <row r="411">
      <c r="A411" s="13" t="n">
        <v>407</v>
      </c>
      <c r="B411" s="14">
        <f>RAND()</f>
        <v/>
      </c>
      <c r="C411" s="16">
        <f>-$K$4*LN(1-B411)</f>
        <v/>
      </c>
      <c r="D411" s="16">
        <f>IF(B411&lt;$K$15,$K$5+SQRT(B411*($K$7-$K$5)*($K$6-$K$5)),$K$7-SQRT((1-B411)*($K$7-$K$5)*($K$7-$K$6)))</f>
        <v/>
      </c>
      <c r="E411" s="13">
        <f>INDEX($J$18:$J$22,MATCH(B411,$L$18:$L$22,1))</f>
        <v/>
      </c>
      <c r="F411" s="16">
        <f>-($K$9/$K$8)*LN(RAND()*RAND()*RAND())</f>
        <v/>
      </c>
      <c r="G411" s="16">
        <f>NORMINV(RAND(),$K$10,$K$11)</f>
        <v/>
      </c>
      <c r="H411" s="16">
        <f>IF(RAND()&lt;$K$12,-$K$13*LN(1-RAND()),-$K$14*LN(1-RAND()))</f>
        <v/>
      </c>
    </row>
    <row r="412">
      <c r="A412" s="13" t="n">
        <v>408</v>
      </c>
      <c r="B412" s="14">
        <f>RAND()</f>
        <v/>
      </c>
      <c r="C412" s="16">
        <f>-$K$4*LN(1-B412)</f>
        <v/>
      </c>
      <c r="D412" s="16">
        <f>IF(B412&lt;$K$15,$K$5+SQRT(B412*($K$7-$K$5)*($K$6-$K$5)),$K$7-SQRT((1-B412)*($K$7-$K$5)*($K$7-$K$6)))</f>
        <v/>
      </c>
      <c r="E412" s="13">
        <f>INDEX($J$18:$J$22,MATCH(B412,$L$18:$L$22,1))</f>
        <v/>
      </c>
      <c r="F412" s="16">
        <f>-($K$9/$K$8)*LN(RAND()*RAND()*RAND())</f>
        <v/>
      </c>
      <c r="G412" s="16">
        <f>NORMINV(RAND(),$K$10,$K$11)</f>
        <v/>
      </c>
      <c r="H412" s="16">
        <f>IF(RAND()&lt;$K$12,-$K$13*LN(1-RAND()),-$K$14*LN(1-RAND()))</f>
        <v/>
      </c>
    </row>
    <row r="413">
      <c r="A413" s="13" t="n">
        <v>409</v>
      </c>
      <c r="B413" s="14">
        <f>RAND()</f>
        <v/>
      </c>
      <c r="C413" s="16">
        <f>-$K$4*LN(1-B413)</f>
        <v/>
      </c>
      <c r="D413" s="16">
        <f>IF(B413&lt;$K$15,$K$5+SQRT(B413*($K$7-$K$5)*($K$6-$K$5)),$K$7-SQRT((1-B413)*($K$7-$K$5)*($K$7-$K$6)))</f>
        <v/>
      </c>
      <c r="E413" s="13">
        <f>INDEX($J$18:$J$22,MATCH(B413,$L$18:$L$22,1))</f>
        <v/>
      </c>
      <c r="F413" s="16">
        <f>-($K$9/$K$8)*LN(RAND()*RAND()*RAND())</f>
        <v/>
      </c>
      <c r="G413" s="16">
        <f>NORMINV(RAND(),$K$10,$K$11)</f>
        <v/>
      </c>
      <c r="H413" s="16">
        <f>IF(RAND()&lt;$K$12,-$K$13*LN(1-RAND()),-$K$14*LN(1-RAND()))</f>
        <v/>
      </c>
    </row>
    <row r="414">
      <c r="A414" s="13" t="n">
        <v>410</v>
      </c>
      <c r="B414" s="14">
        <f>RAND()</f>
        <v/>
      </c>
      <c r="C414" s="16">
        <f>-$K$4*LN(1-B414)</f>
        <v/>
      </c>
      <c r="D414" s="16">
        <f>IF(B414&lt;$K$15,$K$5+SQRT(B414*($K$7-$K$5)*($K$6-$K$5)),$K$7-SQRT((1-B414)*($K$7-$K$5)*($K$7-$K$6)))</f>
        <v/>
      </c>
      <c r="E414" s="13">
        <f>INDEX($J$18:$J$22,MATCH(B414,$L$18:$L$22,1))</f>
        <v/>
      </c>
      <c r="F414" s="16">
        <f>-($K$9/$K$8)*LN(RAND()*RAND()*RAND())</f>
        <v/>
      </c>
      <c r="G414" s="16">
        <f>NORMINV(RAND(),$K$10,$K$11)</f>
        <v/>
      </c>
      <c r="H414" s="16">
        <f>IF(RAND()&lt;$K$12,-$K$13*LN(1-RAND()),-$K$14*LN(1-RAND()))</f>
        <v/>
      </c>
    </row>
    <row r="415">
      <c r="A415" s="13" t="n">
        <v>411</v>
      </c>
      <c r="B415" s="14">
        <f>RAND()</f>
        <v/>
      </c>
      <c r="C415" s="16">
        <f>-$K$4*LN(1-B415)</f>
        <v/>
      </c>
      <c r="D415" s="16">
        <f>IF(B415&lt;$K$15,$K$5+SQRT(B415*($K$7-$K$5)*($K$6-$K$5)),$K$7-SQRT((1-B415)*($K$7-$K$5)*($K$7-$K$6)))</f>
        <v/>
      </c>
      <c r="E415" s="13">
        <f>INDEX($J$18:$J$22,MATCH(B415,$L$18:$L$22,1))</f>
        <v/>
      </c>
      <c r="F415" s="16">
        <f>-($K$9/$K$8)*LN(RAND()*RAND()*RAND())</f>
        <v/>
      </c>
      <c r="G415" s="16">
        <f>NORMINV(RAND(),$K$10,$K$11)</f>
        <v/>
      </c>
      <c r="H415" s="16">
        <f>IF(RAND()&lt;$K$12,-$K$13*LN(1-RAND()),-$K$14*LN(1-RAND()))</f>
        <v/>
      </c>
    </row>
    <row r="416">
      <c r="A416" s="13" t="n">
        <v>412</v>
      </c>
      <c r="B416" s="14">
        <f>RAND()</f>
        <v/>
      </c>
      <c r="C416" s="16">
        <f>-$K$4*LN(1-B416)</f>
        <v/>
      </c>
      <c r="D416" s="16">
        <f>IF(B416&lt;$K$15,$K$5+SQRT(B416*($K$7-$K$5)*($K$6-$K$5)),$K$7-SQRT((1-B416)*($K$7-$K$5)*($K$7-$K$6)))</f>
        <v/>
      </c>
      <c r="E416" s="13">
        <f>INDEX($J$18:$J$22,MATCH(B416,$L$18:$L$22,1))</f>
        <v/>
      </c>
      <c r="F416" s="16">
        <f>-($K$9/$K$8)*LN(RAND()*RAND()*RAND())</f>
        <v/>
      </c>
      <c r="G416" s="16">
        <f>NORMINV(RAND(),$K$10,$K$11)</f>
        <v/>
      </c>
      <c r="H416" s="16">
        <f>IF(RAND()&lt;$K$12,-$K$13*LN(1-RAND()),-$K$14*LN(1-RAND()))</f>
        <v/>
      </c>
    </row>
    <row r="417">
      <c r="A417" s="13" t="n">
        <v>413</v>
      </c>
      <c r="B417" s="14">
        <f>RAND()</f>
        <v/>
      </c>
      <c r="C417" s="16">
        <f>-$K$4*LN(1-B417)</f>
        <v/>
      </c>
      <c r="D417" s="16">
        <f>IF(B417&lt;$K$15,$K$5+SQRT(B417*($K$7-$K$5)*($K$6-$K$5)),$K$7-SQRT((1-B417)*($K$7-$K$5)*($K$7-$K$6)))</f>
        <v/>
      </c>
      <c r="E417" s="13">
        <f>INDEX($J$18:$J$22,MATCH(B417,$L$18:$L$22,1))</f>
        <v/>
      </c>
      <c r="F417" s="16">
        <f>-($K$9/$K$8)*LN(RAND()*RAND()*RAND())</f>
        <v/>
      </c>
      <c r="G417" s="16">
        <f>NORMINV(RAND(),$K$10,$K$11)</f>
        <v/>
      </c>
      <c r="H417" s="16">
        <f>IF(RAND()&lt;$K$12,-$K$13*LN(1-RAND()),-$K$14*LN(1-RAND()))</f>
        <v/>
      </c>
    </row>
    <row r="418">
      <c r="A418" s="13" t="n">
        <v>414</v>
      </c>
      <c r="B418" s="14">
        <f>RAND()</f>
        <v/>
      </c>
      <c r="C418" s="16">
        <f>-$K$4*LN(1-B418)</f>
        <v/>
      </c>
      <c r="D418" s="16">
        <f>IF(B418&lt;$K$15,$K$5+SQRT(B418*($K$7-$K$5)*($K$6-$K$5)),$K$7-SQRT((1-B418)*($K$7-$K$5)*($K$7-$K$6)))</f>
        <v/>
      </c>
      <c r="E418" s="13">
        <f>INDEX($J$18:$J$22,MATCH(B418,$L$18:$L$22,1))</f>
        <v/>
      </c>
      <c r="F418" s="16">
        <f>-($K$9/$K$8)*LN(RAND()*RAND()*RAND())</f>
        <v/>
      </c>
      <c r="G418" s="16">
        <f>NORMINV(RAND(),$K$10,$K$11)</f>
        <v/>
      </c>
      <c r="H418" s="16">
        <f>IF(RAND()&lt;$K$12,-$K$13*LN(1-RAND()),-$K$14*LN(1-RAND()))</f>
        <v/>
      </c>
    </row>
    <row r="419">
      <c r="A419" s="13" t="n">
        <v>415</v>
      </c>
      <c r="B419" s="14">
        <f>RAND()</f>
        <v/>
      </c>
      <c r="C419" s="16">
        <f>-$K$4*LN(1-B419)</f>
        <v/>
      </c>
      <c r="D419" s="16">
        <f>IF(B419&lt;$K$15,$K$5+SQRT(B419*($K$7-$K$5)*($K$6-$K$5)),$K$7-SQRT((1-B419)*($K$7-$K$5)*($K$7-$K$6)))</f>
        <v/>
      </c>
      <c r="E419" s="13">
        <f>INDEX($J$18:$J$22,MATCH(B419,$L$18:$L$22,1))</f>
        <v/>
      </c>
      <c r="F419" s="16">
        <f>-($K$9/$K$8)*LN(RAND()*RAND()*RAND())</f>
        <v/>
      </c>
      <c r="G419" s="16">
        <f>NORMINV(RAND(),$K$10,$K$11)</f>
        <v/>
      </c>
      <c r="H419" s="16">
        <f>IF(RAND()&lt;$K$12,-$K$13*LN(1-RAND()),-$K$14*LN(1-RAND()))</f>
        <v/>
      </c>
    </row>
    <row r="420">
      <c r="A420" s="13" t="n">
        <v>416</v>
      </c>
      <c r="B420" s="14">
        <f>RAND()</f>
        <v/>
      </c>
      <c r="C420" s="16">
        <f>-$K$4*LN(1-B420)</f>
        <v/>
      </c>
      <c r="D420" s="16">
        <f>IF(B420&lt;$K$15,$K$5+SQRT(B420*($K$7-$K$5)*($K$6-$K$5)),$K$7-SQRT((1-B420)*($K$7-$K$5)*($K$7-$K$6)))</f>
        <v/>
      </c>
      <c r="E420" s="13">
        <f>INDEX($J$18:$J$22,MATCH(B420,$L$18:$L$22,1))</f>
        <v/>
      </c>
      <c r="F420" s="16">
        <f>-($K$9/$K$8)*LN(RAND()*RAND()*RAND())</f>
        <v/>
      </c>
      <c r="G420" s="16">
        <f>NORMINV(RAND(),$K$10,$K$11)</f>
        <v/>
      </c>
      <c r="H420" s="16">
        <f>IF(RAND()&lt;$K$12,-$K$13*LN(1-RAND()),-$K$14*LN(1-RAND()))</f>
        <v/>
      </c>
    </row>
    <row r="421">
      <c r="A421" s="13" t="n">
        <v>417</v>
      </c>
      <c r="B421" s="14">
        <f>RAND()</f>
        <v/>
      </c>
      <c r="C421" s="16">
        <f>-$K$4*LN(1-B421)</f>
        <v/>
      </c>
      <c r="D421" s="16">
        <f>IF(B421&lt;$K$15,$K$5+SQRT(B421*($K$7-$K$5)*($K$6-$K$5)),$K$7-SQRT((1-B421)*($K$7-$K$5)*($K$7-$K$6)))</f>
        <v/>
      </c>
      <c r="E421" s="13">
        <f>INDEX($J$18:$J$22,MATCH(B421,$L$18:$L$22,1))</f>
        <v/>
      </c>
      <c r="F421" s="16">
        <f>-($K$9/$K$8)*LN(RAND()*RAND()*RAND())</f>
        <v/>
      </c>
      <c r="G421" s="16">
        <f>NORMINV(RAND(),$K$10,$K$11)</f>
        <v/>
      </c>
      <c r="H421" s="16">
        <f>IF(RAND()&lt;$K$12,-$K$13*LN(1-RAND()),-$K$14*LN(1-RAND()))</f>
        <v/>
      </c>
    </row>
    <row r="422">
      <c r="A422" s="13" t="n">
        <v>418</v>
      </c>
      <c r="B422" s="14">
        <f>RAND()</f>
        <v/>
      </c>
      <c r="C422" s="16">
        <f>-$K$4*LN(1-B422)</f>
        <v/>
      </c>
      <c r="D422" s="16">
        <f>IF(B422&lt;$K$15,$K$5+SQRT(B422*($K$7-$K$5)*($K$6-$K$5)),$K$7-SQRT((1-B422)*($K$7-$K$5)*($K$7-$K$6)))</f>
        <v/>
      </c>
      <c r="E422" s="13">
        <f>INDEX($J$18:$J$22,MATCH(B422,$L$18:$L$22,1))</f>
        <v/>
      </c>
      <c r="F422" s="16">
        <f>-($K$9/$K$8)*LN(RAND()*RAND()*RAND())</f>
        <v/>
      </c>
      <c r="G422" s="16">
        <f>NORMINV(RAND(),$K$10,$K$11)</f>
        <v/>
      </c>
      <c r="H422" s="16">
        <f>IF(RAND()&lt;$K$12,-$K$13*LN(1-RAND()),-$K$14*LN(1-RAND()))</f>
        <v/>
      </c>
    </row>
    <row r="423">
      <c r="A423" s="13" t="n">
        <v>419</v>
      </c>
      <c r="B423" s="14">
        <f>RAND()</f>
        <v/>
      </c>
      <c r="C423" s="16">
        <f>-$K$4*LN(1-B423)</f>
        <v/>
      </c>
      <c r="D423" s="16">
        <f>IF(B423&lt;$K$15,$K$5+SQRT(B423*($K$7-$K$5)*($K$6-$K$5)),$K$7-SQRT((1-B423)*($K$7-$K$5)*($K$7-$K$6)))</f>
        <v/>
      </c>
      <c r="E423" s="13">
        <f>INDEX($J$18:$J$22,MATCH(B423,$L$18:$L$22,1))</f>
        <v/>
      </c>
      <c r="F423" s="16">
        <f>-($K$9/$K$8)*LN(RAND()*RAND()*RAND())</f>
        <v/>
      </c>
      <c r="G423" s="16">
        <f>NORMINV(RAND(),$K$10,$K$11)</f>
        <v/>
      </c>
      <c r="H423" s="16">
        <f>IF(RAND()&lt;$K$12,-$K$13*LN(1-RAND()),-$K$14*LN(1-RAND()))</f>
        <v/>
      </c>
    </row>
    <row r="424">
      <c r="A424" s="13" t="n">
        <v>420</v>
      </c>
      <c r="B424" s="14">
        <f>RAND()</f>
        <v/>
      </c>
      <c r="C424" s="16">
        <f>-$K$4*LN(1-B424)</f>
        <v/>
      </c>
      <c r="D424" s="16">
        <f>IF(B424&lt;$K$15,$K$5+SQRT(B424*($K$7-$K$5)*($K$6-$K$5)),$K$7-SQRT((1-B424)*($K$7-$K$5)*($K$7-$K$6)))</f>
        <v/>
      </c>
      <c r="E424" s="13">
        <f>INDEX($J$18:$J$22,MATCH(B424,$L$18:$L$22,1))</f>
        <v/>
      </c>
      <c r="F424" s="16">
        <f>-($K$9/$K$8)*LN(RAND()*RAND()*RAND())</f>
        <v/>
      </c>
      <c r="G424" s="16">
        <f>NORMINV(RAND(),$K$10,$K$11)</f>
        <v/>
      </c>
      <c r="H424" s="16">
        <f>IF(RAND()&lt;$K$12,-$K$13*LN(1-RAND()),-$K$14*LN(1-RAND()))</f>
        <v/>
      </c>
    </row>
    <row r="425">
      <c r="A425" s="13" t="n">
        <v>421</v>
      </c>
      <c r="B425" s="14">
        <f>RAND()</f>
        <v/>
      </c>
      <c r="C425" s="16">
        <f>-$K$4*LN(1-B425)</f>
        <v/>
      </c>
      <c r="D425" s="16">
        <f>IF(B425&lt;$K$15,$K$5+SQRT(B425*($K$7-$K$5)*($K$6-$K$5)),$K$7-SQRT((1-B425)*($K$7-$K$5)*($K$7-$K$6)))</f>
        <v/>
      </c>
      <c r="E425" s="13">
        <f>INDEX($J$18:$J$22,MATCH(B425,$L$18:$L$22,1))</f>
        <v/>
      </c>
      <c r="F425" s="16">
        <f>-($K$9/$K$8)*LN(RAND()*RAND()*RAND())</f>
        <v/>
      </c>
      <c r="G425" s="16">
        <f>NORMINV(RAND(),$K$10,$K$11)</f>
        <v/>
      </c>
      <c r="H425" s="16">
        <f>IF(RAND()&lt;$K$12,-$K$13*LN(1-RAND()),-$K$14*LN(1-RAND()))</f>
        <v/>
      </c>
    </row>
    <row r="426">
      <c r="A426" s="13" t="n">
        <v>422</v>
      </c>
      <c r="B426" s="14">
        <f>RAND()</f>
        <v/>
      </c>
      <c r="C426" s="16">
        <f>-$K$4*LN(1-B426)</f>
        <v/>
      </c>
      <c r="D426" s="16">
        <f>IF(B426&lt;$K$15,$K$5+SQRT(B426*($K$7-$K$5)*($K$6-$K$5)),$K$7-SQRT((1-B426)*($K$7-$K$5)*($K$7-$K$6)))</f>
        <v/>
      </c>
      <c r="E426" s="13">
        <f>INDEX($J$18:$J$22,MATCH(B426,$L$18:$L$22,1))</f>
        <v/>
      </c>
      <c r="F426" s="16">
        <f>-($K$9/$K$8)*LN(RAND()*RAND()*RAND())</f>
        <v/>
      </c>
      <c r="G426" s="16">
        <f>NORMINV(RAND(),$K$10,$K$11)</f>
        <v/>
      </c>
      <c r="H426" s="16">
        <f>IF(RAND()&lt;$K$12,-$K$13*LN(1-RAND()),-$K$14*LN(1-RAND()))</f>
        <v/>
      </c>
    </row>
    <row r="427">
      <c r="A427" s="13" t="n">
        <v>423</v>
      </c>
      <c r="B427" s="14">
        <f>RAND()</f>
        <v/>
      </c>
      <c r="C427" s="16">
        <f>-$K$4*LN(1-B427)</f>
        <v/>
      </c>
      <c r="D427" s="16">
        <f>IF(B427&lt;$K$15,$K$5+SQRT(B427*($K$7-$K$5)*($K$6-$K$5)),$K$7-SQRT((1-B427)*($K$7-$K$5)*($K$7-$K$6)))</f>
        <v/>
      </c>
      <c r="E427" s="13">
        <f>INDEX($J$18:$J$22,MATCH(B427,$L$18:$L$22,1))</f>
        <v/>
      </c>
      <c r="F427" s="16">
        <f>-($K$9/$K$8)*LN(RAND()*RAND()*RAND())</f>
        <v/>
      </c>
      <c r="G427" s="16">
        <f>NORMINV(RAND(),$K$10,$K$11)</f>
        <v/>
      </c>
      <c r="H427" s="16">
        <f>IF(RAND()&lt;$K$12,-$K$13*LN(1-RAND()),-$K$14*LN(1-RAND()))</f>
        <v/>
      </c>
    </row>
    <row r="428">
      <c r="A428" s="13" t="n">
        <v>424</v>
      </c>
      <c r="B428" s="14">
        <f>RAND()</f>
        <v/>
      </c>
      <c r="C428" s="16">
        <f>-$K$4*LN(1-B428)</f>
        <v/>
      </c>
      <c r="D428" s="16">
        <f>IF(B428&lt;$K$15,$K$5+SQRT(B428*($K$7-$K$5)*($K$6-$K$5)),$K$7-SQRT((1-B428)*($K$7-$K$5)*($K$7-$K$6)))</f>
        <v/>
      </c>
      <c r="E428" s="13">
        <f>INDEX($J$18:$J$22,MATCH(B428,$L$18:$L$22,1))</f>
        <v/>
      </c>
      <c r="F428" s="16">
        <f>-($K$9/$K$8)*LN(RAND()*RAND()*RAND())</f>
        <v/>
      </c>
      <c r="G428" s="16">
        <f>NORMINV(RAND(),$K$10,$K$11)</f>
        <v/>
      </c>
      <c r="H428" s="16">
        <f>IF(RAND()&lt;$K$12,-$K$13*LN(1-RAND()),-$K$14*LN(1-RAND()))</f>
        <v/>
      </c>
    </row>
    <row r="429">
      <c r="A429" s="13" t="n">
        <v>425</v>
      </c>
      <c r="B429" s="14">
        <f>RAND()</f>
        <v/>
      </c>
      <c r="C429" s="16">
        <f>-$K$4*LN(1-B429)</f>
        <v/>
      </c>
      <c r="D429" s="16">
        <f>IF(B429&lt;$K$15,$K$5+SQRT(B429*($K$7-$K$5)*($K$6-$K$5)),$K$7-SQRT((1-B429)*($K$7-$K$5)*($K$7-$K$6)))</f>
        <v/>
      </c>
      <c r="E429" s="13">
        <f>INDEX($J$18:$J$22,MATCH(B429,$L$18:$L$22,1))</f>
        <v/>
      </c>
      <c r="F429" s="16">
        <f>-($K$9/$K$8)*LN(RAND()*RAND()*RAND())</f>
        <v/>
      </c>
      <c r="G429" s="16">
        <f>NORMINV(RAND(),$K$10,$K$11)</f>
        <v/>
      </c>
      <c r="H429" s="16">
        <f>IF(RAND()&lt;$K$12,-$K$13*LN(1-RAND()),-$K$14*LN(1-RAND()))</f>
        <v/>
      </c>
    </row>
    <row r="430">
      <c r="A430" s="13" t="n">
        <v>426</v>
      </c>
      <c r="B430" s="14">
        <f>RAND()</f>
        <v/>
      </c>
      <c r="C430" s="16">
        <f>-$K$4*LN(1-B430)</f>
        <v/>
      </c>
      <c r="D430" s="16">
        <f>IF(B430&lt;$K$15,$K$5+SQRT(B430*($K$7-$K$5)*($K$6-$K$5)),$K$7-SQRT((1-B430)*($K$7-$K$5)*($K$7-$K$6)))</f>
        <v/>
      </c>
      <c r="E430" s="13">
        <f>INDEX($J$18:$J$22,MATCH(B430,$L$18:$L$22,1))</f>
        <v/>
      </c>
      <c r="F430" s="16">
        <f>-($K$9/$K$8)*LN(RAND()*RAND()*RAND())</f>
        <v/>
      </c>
      <c r="G430" s="16">
        <f>NORMINV(RAND(),$K$10,$K$11)</f>
        <v/>
      </c>
      <c r="H430" s="16">
        <f>IF(RAND()&lt;$K$12,-$K$13*LN(1-RAND()),-$K$14*LN(1-RAND()))</f>
        <v/>
      </c>
    </row>
    <row r="431">
      <c r="A431" s="13" t="n">
        <v>427</v>
      </c>
      <c r="B431" s="14">
        <f>RAND()</f>
        <v/>
      </c>
      <c r="C431" s="16">
        <f>-$K$4*LN(1-B431)</f>
        <v/>
      </c>
      <c r="D431" s="16">
        <f>IF(B431&lt;$K$15,$K$5+SQRT(B431*($K$7-$K$5)*($K$6-$K$5)),$K$7-SQRT((1-B431)*($K$7-$K$5)*($K$7-$K$6)))</f>
        <v/>
      </c>
      <c r="E431" s="13">
        <f>INDEX($J$18:$J$22,MATCH(B431,$L$18:$L$22,1))</f>
        <v/>
      </c>
      <c r="F431" s="16">
        <f>-($K$9/$K$8)*LN(RAND()*RAND()*RAND())</f>
        <v/>
      </c>
      <c r="G431" s="16">
        <f>NORMINV(RAND(),$K$10,$K$11)</f>
        <v/>
      </c>
      <c r="H431" s="16">
        <f>IF(RAND()&lt;$K$12,-$K$13*LN(1-RAND()),-$K$14*LN(1-RAND()))</f>
        <v/>
      </c>
    </row>
    <row r="432">
      <c r="A432" s="13" t="n">
        <v>428</v>
      </c>
      <c r="B432" s="14">
        <f>RAND()</f>
        <v/>
      </c>
      <c r="C432" s="16">
        <f>-$K$4*LN(1-B432)</f>
        <v/>
      </c>
      <c r="D432" s="16">
        <f>IF(B432&lt;$K$15,$K$5+SQRT(B432*($K$7-$K$5)*($K$6-$K$5)),$K$7-SQRT((1-B432)*($K$7-$K$5)*($K$7-$K$6)))</f>
        <v/>
      </c>
      <c r="E432" s="13">
        <f>INDEX($J$18:$J$22,MATCH(B432,$L$18:$L$22,1))</f>
        <v/>
      </c>
      <c r="F432" s="16">
        <f>-($K$9/$K$8)*LN(RAND()*RAND()*RAND())</f>
        <v/>
      </c>
      <c r="G432" s="16">
        <f>NORMINV(RAND(),$K$10,$K$11)</f>
        <v/>
      </c>
      <c r="H432" s="16">
        <f>IF(RAND()&lt;$K$12,-$K$13*LN(1-RAND()),-$K$14*LN(1-RAND()))</f>
        <v/>
      </c>
    </row>
    <row r="433">
      <c r="A433" s="13" t="n">
        <v>429</v>
      </c>
      <c r="B433" s="14">
        <f>RAND()</f>
        <v/>
      </c>
      <c r="C433" s="16">
        <f>-$K$4*LN(1-B433)</f>
        <v/>
      </c>
      <c r="D433" s="16">
        <f>IF(B433&lt;$K$15,$K$5+SQRT(B433*($K$7-$K$5)*($K$6-$K$5)),$K$7-SQRT((1-B433)*($K$7-$K$5)*($K$7-$K$6)))</f>
        <v/>
      </c>
      <c r="E433" s="13">
        <f>INDEX($J$18:$J$22,MATCH(B433,$L$18:$L$22,1))</f>
        <v/>
      </c>
      <c r="F433" s="16">
        <f>-($K$9/$K$8)*LN(RAND()*RAND()*RAND())</f>
        <v/>
      </c>
      <c r="G433" s="16">
        <f>NORMINV(RAND(),$K$10,$K$11)</f>
        <v/>
      </c>
      <c r="H433" s="16">
        <f>IF(RAND()&lt;$K$12,-$K$13*LN(1-RAND()),-$K$14*LN(1-RAND()))</f>
        <v/>
      </c>
    </row>
    <row r="434">
      <c r="A434" s="13" t="n">
        <v>430</v>
      </c>
      <c r="B434" s="14">
        <f>RAND()</f>
        <v/>
      </c>
      <c r="C434" s="16">
        <f>-$K$4*LN(1-B434)</f>
        <v/>
      </c>
      <c r="D434" s="16">
        <f>IF(B434&lt;$K$15,$K$5+SQRT(B434*($K$7-$K$5)*($K$6-$K$5)),$K$7-SQRT((1-B434)*($K$7-$K$5)*($K$7-$K$6)))</f>
        <v/>
      </c>
      <c r="E434" s="13">
        <f>INDEX($J$18:$J$22,MATCH(B434,$L$18:$L$22,1))</f>
        <v/>
      </c>
      <c r="F434" s="16">
        <f>-($K$9/$K$8)*LN(RAND()*RAND()*RAND())</f>
        <v/>
      </c>
      <c r="G434" s="16">
        <f>NORMINV(RAND(),$K$10,$K$11)</f>
        <v/>
      </c>
      <c r="H434" s="16">
        <f>IF(RAND()&lt;$K$12,-$K$13*LN(1-RAND()),-$K$14*LN(1-RAND()))</f>
        <v/>
      </c>
    </row>
    <row r="435">
      <c r="A435" s="13" t="n">
        <v>431</v>
      </c>
      <c r="B435" s="14">
        <f>RAND()</f>
        <v/>
      </c>
      <c r="C435" s="16">
        <f>-$K$4*LN(1-B435)</f>
        <v/>
      </c>
      <c r="D435" s="16">
        <f>IF(B435&lt;$K$15,$K$5+SQRT(B435*($K$7-$K$5)*($K$6-$K$5)),$K$7-SQRT((1-B435)*($K$7-$K$5)*($K$7-$K$6)))</f>
        <v/>
      </c>
      <c r="E435" s="13">
        <f>INDEX($J$18:$J$22,MATCH(B435,$L$18:$L$22,1))</f>
        <v/>
      </c>
      <c r="F435" s="16">
        <f>-($K$9/$K$8)*LN(RAND()*RAND()*RAND())</f>
        <v/>
      </c>
      <c r="G435" s="16">
        <f>NORMINV(RAND(),$K$10,$K$11)</f>
        <v/>
      </c>
      <c r="H435" s="16">
        <f>IF(RAND()&lt;$K$12,-$K$13*LN(1-RAND()),-$K$14*LN(1-RAND()))</f>
        <v/>
      </c>
    </row>
    <row r="436">
      <c r="A436" s="13" t="n">
        <v>432</v>
      </c>
      <c r="B436" s="14">
        <f>RAND()</f>
        <v/>
      </c>
      <c r="C436" s="16">
        <f>-$K$4*LN(1-B436)</f>
        <v/>
      </c>
      <c r="D436" s="16">
        <f>IF(B436&lt;$K$15,$K$5+SQRT(B436*($K$7-$K$5)*($K$6-$K$5)),$K$7-SQRT((1-B436)*($K$7-$K$5)*($K$7-$K$6)))</f>
        <v/>
      </c>
      <c r="E436" s="13">
        <f>INDEX($J$18:$J$22,MATCH(B436,$L$18:$L$22,1))</f>
        <v/>
      </c>
      <c r="F436" s="16">
        <f>-($K$9/$K$8)*LN(RAND()*RAND()*RAND())</f>
        <v/>
      </c>
      <c r="G436" s="16">
        <f>NORMINV(RAND(),$K$10,$K$11)</f>
        <v/>
      </c>
      <c r="H436" s="16">
        <f>IF(RAND()&lt;$K$12,-$K$13*LN(1-RAND()),-$K$14*LN(1-RAND()))</f>
        <v/>
      </c>
    </row>
    <row r="437">
      <c r="A437" s="13" t="n">
        <v>433</v>
      </c>
      <c r="B437" s="14">
        <f>RAND()</f>
        <v/>
      </c>
      <c r="C437" s="16">
        <f>-$K$4*LN(1-B437)</f>
        <v/>
      </c>
      <c r="D437" s="16">
        <f>IF(B437&lt;$K$15,$K$5+SQRT(B437*($K$7-$K$5)*($K$6-$K$5)),$K$7-SQRT((1-B437)*($K$7-$K$5)*($K$7-$K$6)))</f>
        <v/>
      </c>
      <c r="E437" s="13">
        <f>INDEX($J$18:$J$22,MATCH(B437,$L$18:$L$22,1))</f>
        <v/>
      </c>
      <c r="F437" s="16">
        <f>-($K$9/$K$8)*LN(RAND()*RAND()*RAND())</f>
        <v/>
      </c>
      <c r="G437" s="16">
        <f>NORMINV(RAND(),$K$10,$K$11)</f>
        <v/>
      </c>
      <c r="H437" s="16">
        <f>IF(RAND()&lt;$K$12,-$K$13*LN(1-RAND()),-$K$14*LN(1-RAND()))</f>
        <v/>
      </c>
    </row>
    <row r="438">
      <c r="A438" s="13" t="n">
        <v>434</v>
      </c>
      <c r="B438" s="14">
        <f>RAND()</f>
        <v/>
      </c>
      <c r="C438" s="16">
        <f>-$K$4*LN(1-B438)</f>
        <v/>
      </c>
      <c r="D438" s="16">
        <f>IF(B438&lt;$K$15,$K$5+SQRT(B438*($K$7-$K$5)*($K$6-$K$5)),$K$7-SQRT((1-B438)*($K$7-$K$5)*($K$7-$K$6)))</f>
        <v/>
      </c>
      <c r="E438" s="13">
        <f>INDEX($J$18:$J$22,MATCH(B438,$L$18:$L$22,1))</f>
        <v/>
      </c>
      <c r="F438" s="16">
        <f>-($K$9/$K$8)*LN(RAND()*RAND()*RAND())</f>
        <v/>
      </c>
      <c r="G438" s="16">
        <f>NORMINV(RAND(),$K$10,$K$11)</f>
        <v/>
      </c>
      <c r="H438" s="16">
        <f>IF(RAND()&lt;$K$12,-$K$13*LN(1-RAND()),-$K$14*LN(1-RAND()))</f>
        <v/>
      </c>
    </row>
    <row r="439">
      <c r="A439" s="13" t="n">
        <v>435</v>
      </c>
      <c r="B439" s="14">
        <f>RAND()</f>
        <v/>
      </c>
      <c r="C439" s="16">
        <f>-$K$4*LN(1-B439)</f>
        <v/>
      </c>
      <c r="D439" s="16">
        <f>IF(B439&lt;$K$15,$K$5+SQRT(B439*($K$7-$K$5)*($K$6-$K$5)),$K$7-SQRT((1-B439)*($K$7-$K$5)*($K$7-$K$6)))</f>
        <v/>
      </c>
      <c r="E439" s="13">
        <f>INDEX($J$18:$J$22,MATCH(B439,$L$18:$L$22,1))</f>
        <v/>
      </c>
      <c r="F439" s="16">
        <f>-($K$9/$K$8)*LN(RAND()*RAND()*RAND())</f>
        <v/>
      </c>
      <c r="G439" s="16">
        <f>NORMINV(RAND(),$K$10,$K$11)</f>
        <v/>
      </c>
      <c r="H439" s="16">
        <f>IF(RAND()&lt;$K$12,-$K$13*LN(1-RAND()),-$K$14*LN(1-RAND()))</f>
        <v/>
      </c>
    </row>
    <row r="440">
      <c r="A440" s="13" t="n">
        <v>436</v>
      </c>
      <c r="B440" s="14">
        <f>RAND()</f>
        <v/>
      </c>
      <c r="C440" s="16">
        <f>-$K$4*LN(1-B440)</f>
        <v/>
      </c>
      <c r="D440" s="16">
        <f>IF(B440&lt;$K$15,$K$5+SQRT(B440*($K$7-$K$5)*($K$6-$K$5)),$K$7-SQRT((1-B440)*($K$7-$K$5)*($K$7-$K$6)))</f>
        <v/>
      </c>
      <c r="E440" s="13">
        <f>INDEX($J$18:$J$22,MATCH(B440,$L$18:$L$22,1))</f>
        <v/>
      </c>
      <c r="F440" s="16">
        <f>-($K$9/$K$8)*LN(RAND()*RAND()*RAND())</f>
        <v/>
      </c>
      <c r="G440" s="16">
        <f>NORMINV(RAND(),$K$10,$K$11)</f>
        <v/>
      </c>
      <c r="H440" s="16">
        <f>IF(RAND()&lt;$K$12,-$K$13*LN(1-RAND()),-$K$14*LN(1-RAND()))</f>
        <v/>
      </c>
    </row>
    <row r="441">
      <c r="A441" s="13" t="n">
        <v>437</v>
      </c>
      <c r="B441" s="14">
        <f>RAND()</f>
        <v/>
      </c>
      <c r="C441" s="16">
        <f>-$K$4*LN(1-B441)</f>
        <v/>
      </c>
      <c r="D441" s="16">
        <f>IF(B441&lt;$K$15,$K$5+SQRT(B441*($K$7-$K$5)*($K$6-$K$5)),$K$7-SQRT((1-B441)*($K$7-$K$5)*($K$7-$K$6)))</f>
        <v/>
      </c>
      <c r="E441" s="13">
        <f>INDEX($J$18:$J$22,MATCH(B441,$L$18:$L$22,1))</f>
        <v/>
      </c>
      <c r="F441" s="16">
        <f>-($K$9/$K$8)*LN(RAND()*RAND()*RAND())</f>
        <v/>
      </c>
      <c r="G441" s="16">
        <f>NORMINV(RAND(),$K$10,$K$11)</f>
        <v/>
      </c>
      <c r="H441" s="16">
        <f>IF(RAND()&lt;$K$12,-$K$13*LN(1-RAND()),-$K$14*LN(1-RAND()))</f>
        <v/>
      </c>
    </row>
    <row r="442">
      <c r="A442" s="13" t="n">
        <v>438</v>
      </c>
      <c r="B442" s="14">
        <f>RAND()</f>
        <v/>
      </c>
      <c r="C442" s="16">
        <f>-$K$4*LN(1-B442)</f>
        <v/>
      </c>
      <c r="D442" s="16">
        <f>IF(B442&lt;$K$15,$K$5+SQRT(B442*($K$7-$K$5)*($K$6-$K$5)),$K$7-SQRT((1-B442)*($K$7-$K$5)*($K$7-$K$6)))</f>
        <v/>
      </c>
      <c r="E442" s="13">
        <f>INDEX($J$18:$J$22,MATCH(B442,$L$18:$L$22,1))</f>
        <v/>
      </c>
      <c r="F442" s="16">
        <f>-($K$9/$K$8)*LN(RAND()*RAND()*RAND())</f>
        <v/>
      </c>
      <c r="G442" s="16">
        <f>NORMINV(RAND(),$K$10,$K$11)</f>
        <v/>
      </c>
      <c r="H442" s="16">
        <f>IF(RAND()&lt;$K$12,-$K$13*LN(1-RAND()),-$K$14*LN(1-RAND()))</f>
        <v/>
      </c>
    </row>
    <row r="443">
      <c r="A443" s="13" t="n">
        <v>439</v>
      </c>
      <c r="B443" s="14">
        <f>RAND()</f>
        <v/>
      </c>
      <c r="C443" s="16">
        <f>-$K$4*LN(1-B443)</f>
        <v/>
      </c>
      <c r="D443" s="16">
        <f>IF(B443&lt;$K$15,$K$5+SQRT(B443*($K$7-$K$5)*($K$6-$K$5)),$K$7-SQRT((1-B443)*($K$7-$K$5)*($K$7-$K$6)))</f>
        <v/>
      </c>
      <c r="E443" s="13">
        <f>INDEX($J$18:$J$22,MATCH(B443,$L$18:$L$22,1))</f>
        <v/>
      </c>
      <c r="F443" s="16">
        <f>-($K$9/$K$8)*LN(RAND()*RAND()*RAND())</f>
        <v/>
      </c>
      <c r="G443" s="16">
        <f>NORMINV(RAND(),$K$10,$K$11)</f>
        <v/>
      </c>
      <c r="H443" s="16">
        <f>IF(RAND()&lt;$K$12,-$K$13*LN(1-RAND()),-$K$14*LN(1-RAND()))</f>
        <v/>
      </c>
    </row>
    <row r="444">
      <c r="A444" s="13" t="n">
        <v>440</v>
      </c>
      <c r="B444" s="14">
        <f>RAND()</f>
        <v/>
      </c>
      <c r="C444" s="16">
        <f>-$K$4*LN(1-B444)</f>
        <v/>
      </c>
      <c r="D444" s="16">
        <f>IF(B444&lt;$K$15,$K$5+SQRT(B444*($K$7-$K$5)*($K$6-$K$5)),$K$7-SQRT((1-B444)*($K$7-$K$5)*($K$7-$K$6)))</f>
        <v/>
      </c>
      <c r="E444" s="13">
        <f>INDEX($J$18:$J$22,MATCH(B444,$L$18:$L$22,1))</f>
        <v/>
      </c>
      <c r="F444" s="16">
        <f>-($K$9/$K$8)*LN(RAND()*RAND()*RAND())</f>
        <v/>
      </c>
      <c r="G444" s="16">
        <f>NORMINV(RAND(),$K$10,$K$11)</f>
        <v/>
      </c>
      <c r="H444" s="16">
        <f>IF(RAND()&lt;$K$12,-$K$13*LN(1-RAND()),-$K$14*LN(1-RAND()))</f>
        <v/>
      </c>
    </row>
    <row r="445">
      <c r="A445" s="13" t="n">
        <v>441</v>
      </c>
      <c r="B445" s="14">
        <f>RAND()</f>
        <v/>
      </c>
      <c r="C445" s="16">
        <f>-$K$4*LN(1-B445)</f>
        <v/>
      </c>
      <c r="D445" s="16">
        <f>IF(B445&lt;$K$15,$K$5+SQRT(B445*($K$7-$K$5)*($K$6-$K$5)),$K$7-SQRT((1-B445)*($K$7-$K$5)*($K$7-$K$6)))</f>
        <v/>
      </c>
      <c r="E445" s="13">
        <f>INDEX($J$18:$J$22,MATCH(B445,$L$18:$L$22,1))</f>
        <v/>
      </c>
      <c r="F445" s="16">
        <f>-($K$9/$K$8)*LN(RAND()*RAND()*RAND())</f>
        <v/>
      </c>
      <c r="G445" s="16">
        <f>NORMINV(RAND(),$K$10,$K$11)</f>
        <v/>
      </c>
      <c r="H445" s="16">
        <f>IF(RAND()&lt;$K$12,-$K$13*LN(1-RAND()),-$K$14*LN(1-RAND()))</f>
        <v/>
      </c>
    </row>
    <row r="446">
      <c r="A446" s="13" t="n">
        <v>442</v>
      </c>
      <c r="B446" s="14">
        <f>RAND()</f>
        <v/>
      </c>
      <c r="C446" s="16">
        <f>-$K$4*LN(1-B446)</f>
        <v/>
      </c>
      <c r="D446" s="16">
        <f>IF(B446&lt;$K$15,$K$5+SQRT(B446*($K$7-$K$5)*($K$6-$K$5)),$K$7-SQRT((1-B446)*($K$7-$K$5)*($K$7-$K$6)))</f>
        <v/>
      </c>
      <c r="E446" s="13">
        <f>INDEX($J$18:$J$22,MATCH(B446,$L$18:$L$22,1))</f>
        <v/>
      </c>
      <c r="F446" s="16">
        <f>-($K$9/$K$8)*LN(RAND()*RAND()*RAND())</f>
        <v/>
      </c>
      <c r="G446" s="16">
        <f>NORMINV(RAND(),$K$10,$K$11)</f>
        <v/>
      </c>
      <c r="H446" s="16">
        <f>IF(RAND()&lt;$K$12,-$K$13*LN(1-RAND()),-$K$14*LN(1-RAND()))</f>
        <v/>
      </c>
    </row>
    <row r="447">
      <c r="A447" s="13" t="n">
        <v>443</v>
      </c>
      <c r="B447" s="14">
        <f>RAND()</f>
        <v/>
      </c>
      <c r="C447" s="16">
        <f>-$K$4*LN(1-B447)</f>
        <v/>
      </c>
      <c r="D447" s="16">
        <f>IF(B447&lt;$K$15,$K$5+SQRT(B447*($K$7-$K$5)*($K$6-$K$5)),$K$7-SQRT((1-B447)*($K$7-$K$5)*($K$7-$K$6)))</f>
        <v/>
      </c>
      <c r="E447" s="13">
        <f>INDEX($J$18:$J$22,MATCH(B447,$L$18:$L$22,1))</f>
        <v/>
      </c>
      <c r="F447" s="16">
        <f>-($K$9/$K$8)*LN(RAND()*RAND()*RAND())</f>
        <v/>
      </c>
      <c r="G447" s="16">
        <f>NORMINV(RAND(),$K$10,$K$11)</f>
        <v/>
      </c>
      <c r="H447" s="16">
        <f>IF(RAND()&lt;$K$12,-$K$13*LN(1-RAND()),-$K$14*LN(1-RAND()))</f>
        <v/>
      </c>
    </row>
    <row r="448">
      <c r="A448" s="13" t="n">
        <v>444</v>
      </c>
      <c r="B448" s="14">
        <f>RAND()</f>
        <v/>
      </c>
      <c r="C448" s="16">
        <f>-$K$4*LN(1-B448)</f>
        <v/>
      </c>
      <c r="D448" s="16">
        <f>IF(B448&lt;$K$15,$K$5+SQRT(B448*($K$7-$K$5)*($K$6-$K$5)),$K$7-SQRT((1-B448)*($K$7-$K$5)*($K$7-$K$6)))</f>
        <v/>
      </c>
      <c r="E448" s="13">
        <f>INDEX($J$18:$J$22,MATCH(B448,$L$18:$L$22,1))</f>
        <v/>
      </c>
      <c r="F448" s="16">
        <f>-($K$9/$K$8)*LN(RAND()*RAND()*RAND())</f>
        <v/>
      </c>
      <c r="G448" s="16">
        <f>NORMINV(RAND(),$K$10,$K$11)</f>
        <v/>
      </c>
      <c r="H448" s="16">
        <f>IF(RAND()&lt;$K$12,-$K$13*LN(1-RAND()),-$K$14*LN(1-RAND()))</f>
        <v/>
      </c>
    </row>
    <row r="449">
      <c r="A449" s="13" t="n">
        <v>445</v>
      </c>
      <c r="B449" s="14">
        <f>RAND()</f>
        <v/>
      </c>
      <c r="C449" s="16">
        <f>-$K$4*LN(1-B449)</f>
        <v/>
      </c>
      <c r="D449" s="16">
        <f>IF(B449&lt;$K$15,$K$5+SQRT(B449*($K$7-$K$5)*($K$6-$K$5)),$K$7-SQRT((1-B449)*($K$7-$K$5)*($K$7-$K$6)))</f>
        <v/>
      </c>
      <c r="E449" s="13">
        <f>INDEX($J$18:$J$22,MATCH(B449,$L$18:$L$22,1))</f>
        <v/>
      </c>
      <c r="F449" s="16">
        <f>-($K$9/$K$8)*LN(RAND()*RAND()*RAND())</f>
        <v/>
      </c>
      <c r="G449" s="16">
        <f>NORMINV(RAND(),$K$10,$K$11)</f>
        <v/>
      </c>
      <c r="H449" s="16">
        <f>IF(RAND()&lt;$K$12,-$K$13*LN(1-RAND()),-$K$14*LN(1-RAND()))</f>
        <v/>
      </c>
    </row>
    <row r="450">
      <c r="A450" s="13" t="n">
        <v>446</v>
      </c>
      <c r="B450" s="14">
        <f>RAND()</f>
        <v/>
      </c>
      <c r="C450" s="16">
        <f>-$K$4*LN(1-B450)</f>
        <v/>
      </c>
      <c r="D450" s="16">
        <f>IF(B450&lt;$K$15,$K$5+SQRT(B450*($K$7-$K$5)*($K$6-$K$5)),$K$7-SQRT((1-B450)*($K$7-$K$5)*($K$7-$K$6)))</f>
        <v/>
      </c>
      <c r="E450" s="13">
        <f>INDEX($J$18:$J$22,MATCH(B450,$L$18:$L$22,1))</f>
        <v/>
      </c>
      <c r="F450" s="16">
        <f>-($K$9/$K$8)*LN(RAND()*RAND()*RAND())</f>
        <v/>
      </c>
      <c r="G450" s="16">
        <f>NORMINV(RAND(),$K$10,$K$11)</f>
        <v/>
      </c>
      <c r="H450" s="16">
        <f>IF(RAND()&lt;$K$12,-$K$13*LN(1-RAND()),-$K$14*LN(1-RAND()))</f>
        <v/>
      </c>
    </row>
    <row r="451">
      <c r="A451" s="13" t="n">
        <v>447</v>
      </c>
      <c r="B451" s="14">
        <f>RAND()</f>
        <v/>
      </c>
      <c r="C451" s="16">
        <f>-$K$4*LN(1-B451)</f>
        <v/>
      </c>
      <c r="D451" s="16">
        <f>IF(B451&lt;$K$15,$K$5+SQRT(B451*($K$7-$K$5)*($K$6-$K$5)),$K$7-SQRT((1-B451)*($K$7-$K$5)*($K$7-$K$6)))</f>
        <v/>
      </c>
      <c r="E451" s="13">
        <f>INDEX($J$18:$J$22,MATCH(B451,$L$18:$L$22,1))</f>
        <v/>
      </c>
      <c r="F451" s="16">
        <f>-($K$9/$K$8)*LN(RAND()*RAND()*RAND())</f>
        <v/>
      </c>
      <c r="G451" s="16">
        <f>NORMINV(RAND(),$K$10,$K$11)</f>
        <v/>
      </c>
      <c r="H451" s="16">
        <f>IF(RAND()&lt;$K$12,-$K$13*LN(1-RAND()),-$K$14*LN(1-RAND()))</f>
        <v/>
      </c>
    </row>
    <row r="452">
      <c r="A452" s="13" t="n">
        <v>448</v>
      </c>
      <c r="B452" s="14">
        <f>RAND()</f>
        <v/>
      </c>
      <c r="C452" s="16">
        <f>-$K$4*LN(1-B452)</f>
        <v/>
      </c>
      <c r="D452" s="16">
        <f>IF(B452&lt;$K$15,$K$5+SQRT(B452*($K$7-$K$5)*($K$6-$K$5)),$K$7-SQRT((1-B452)*($K$7-$K$5)*($K$7-$K$6)))</f>
        <v/>
      </c>
      <c r="E452" s="13">
        <f>INDEX($J$18:$J$22,MATCH(B452,$L$18:$L$22,1))</f>
        <v/>
      </c>
      <c r="F452" s="16">
        <f>-($K$9/$K$8)*LN(RAND()*RAND()*RAND())</f>
        <v/>
      </c>
      <c r="G452" s="16">
        <f>NORMINV(RAND(),$K$10,$K$11)</f>
        <v/>
      </c>
      <c r="H452" s="16">
        <f>IF(RAND()&lt;$K$12,-$K$13*LN(1-RAND()),-$K$14*LN(1-RAND()))</f>
        <v/>
      </c>
    </row>
    <row r="453">
      <c r="A453" s="13" t="n">
        <v>449</v>
      </c>
      <c r="B453" s="14">
        <f>RAND()</f>
        <v/>
      </c>
      <c r="C453" s="16">
        <f>-$K$4*LN(1-B453)</f>
        <v/>
      </c>
      <c r="D453" s="16">
        <f>IF(B453&lt;$K$15,$K$5+SQRT(B453*($K$7-$K$5)*($K$6-$K$5)),$K$7-SQRT((1-B453)*($K$7-$K$5)*($K$7-$K$6)))</f>
        <v/>
      </c>
      <c r="E453" s="13">
        <f>INDEX($J$18:$J$22,MATCH(B453,$L$18:$L$22,1))</f>
        <v/>
      </c>
      <c r="F453" s="16">
        <f>-($K$9/$K$8)*LN(RAND()*RAND()*RAND())</f>
        <v/>
      </c>
      <c r="G453" s="16">
        <f>NORMINV(RAND(),$K$10,$K$11)</f>
        <v/>
      </c>
      <c r="H453" s="16">
        <f>IF(RAND()&lt;$K$12,-$K$13*LN(1-RAND()),-$K$14*LN(1-RAND()))</f>
        <v/>
      </c>
    </row>
    <row r="454">
      <c r="A454" s="13" t="n">
        <v>450</v>
      </c>
      <c r="B454" s="14">
        <f>RAND()</f>
        <v/>
      </c>
      <c r="C454" s="16">
        <f>-$K$4*LN(1-B454)</f>
        <v/>
      </c>
      <c r="D454" s="16">
        <f>IF(B454&lt;$K$15,$K$5+SQRT(B454*($K$7-$K$5)*($K$6-$K$5)),$K$7-SQRT((1-B454)*($K$7-$K$5)*($K$7-$K$6)))</f>
        <v/>
      </c>
      <c r="E454" s="13">
        <f>INDEX($J$18:$J$22,MATCH(B454,$L$18:$L$22,1))</f>
        <v/>
      </c>
      <c r="F454" s="16">
        <f>-($K$9/$K$8)*LN(RAND()*RAND()*RAND())</f>
        <v/>
      </c>
      <c r="G454" s="16">
        <f>NORMINV(RAND(),$K$10,$K$11)</f>
        <v/>
      </c>
      <c r="H454" s="16">
        <f>IF(RAND()&lt;$K$12,-$K$13*LN(1-RAND()),-$K$14*LN(1-RAND()))</f>
        <v/>
      </c>
    </row>
    <row r="455">
      <c r="A455" s="13" t="n">
        <v>451</v>
      </c>
      <c r="B455" s="14">
        <f>RAND()</f>
        <v/>
      </c>
      <c r="C455" s="16">
        <f>-$K$4*LN(1-B455)</f>
        <v/>
      </c>
      <c r="D455" s="16">
        <f>IF(B455&lt;$K$15,$K$5+SQRT(B455*($K$7-$K$5)*($K$6-$K$5)),$K$7-SQRT((1-B455)*($K$7-$K$5)*($K$7-$K$6)))</f>
        <v/>
      </c>
      <c r="E455" s="13">
        <f>INDEX($J$18:$J$22,MATCH(B455,$L$18:$L$22,1))</f>
        <v/>
      </c>
      <c r="F455" s="16">
        <f>-($K$9/$K$8)*LN(RAND()*RAND()*RAND())</f>
        <v/>
      </c>
      <c r="G455" s="16">
        <f>NORMINV(RAND(),$K$10,$K$11)</f>
        <v/>
      </c>
      <c r="H455" s="16">
        <f>IF(RAND()&lt;$K$12,-$K$13*LN(1-RAND()),-$K$14*LN(1-RAND()))</f>
        <v/>
      </c>
    </row>
    <row r="456">
      <c r="A456" s="13" t="n">
        <v>452</v>
      </c>
      <c r="B456" s="14">
        <f>RAND()</f>
        <v/>
      </c>
      <c r="C456" s="16">
        <f>-$K$4*LN(1-B456)</f>
        <v/>
      </c>
      <c r="D456" s="16">
        <f>IF(B456&lt;$K$15,$K$5+SQRT(B456*($K$7-$K$5)*($K$6-$K$5)),$K$7-SQRT((1-B456)*($K$7-$K$5)*($K$7-$K$6)))</f>
        <v/>
      </c>
      <c r="E456" s="13">
        <f>INDEX($J$18:$J$22,MATCH(B456,$L$18:$L$22,1))</f>
        <v/>
      </c>
      <c r="F456" s="16">
        <f>-($K$9/$K$8)*LN(RAND()*RAND()*RAND())</f>
        <v/>
      </c>
      <c r="G456" s="16">
        <f>NORMINV(RAND(),$K$10,$K$11)</f>
        <v/>
      </c>
      <c r="H456" s="16">
        <f>IF(RAND()&lt;$K$12,-$K$13*LN(1-RAND()),-$K$14*LN(1-RAND()))</f>
        <v/>
      </c>
    </row>
    <row r="457">
      <c r="A457" s="13" t="n">
        <v>453</v>
      </c>
      <c r="B457" s="14">
        <f>RAND()</f>
        <v/>
      </c>
      <c r="C457" s="16">
        <f>-$K$4*LN(1-B457)</f>
        <v/>
      </c>
      <c r="D457" s="16">
        <f>IF(B457&lt;$K$15,$K$5+SQRT(B457*($K$7-$K$5)*($K$6-$K$5)),$K$7-SQRT((1-B457)*($K$7-$K$5)*($K$7-$K$6)))</f>
        <v/>
      </c>
      <c r="E457" s="13">
        <f>INDEX($J$18:$J$22,MATCH(B457,$L$18:$L$22,1))</f>
        <v/>
      </c>
      <c r="F457" s="16">
        <f>-($K$9/$K$8)*LN(RAND()*RAND()*RAND())</f>
        <v/>
      </c>
      <c r="G457" s="16">
        <f>NORMINV(RAND(),$K$10,$K$11)</f>
        <v/>
      </c>
      <c r="H457" s="16">
        <f>IF(RAND()&lt;$K$12,-$K$13*LN(1-RAND()),-$K$14*LN(1-RAND()))</f>
        <v/>
      </c>
    </row>
    <row r="458">
      <c r="A458" s="13" t="n">
        <v>454</v>
      </c>
      <c r="B458" s="14">
        <f>RAND()</f>
        <v/>
      </c>
      <c r="C458" s="16">
        <f>-$K$4*LN(1-B458)</f>
        <v/>
      </c>
      <c r="D458" s="16">
        <f>IF(B458&lt;$K$15,$K$5+SQRT(B458*($K$7-$K$5)*($K$6-$K$5)),$K$7-SQRT((1-B458)*($K$7-$K$5)*($K$7-$K$6)))</f>
        <v/>
      </c>
      <c r="E458" s="13">
        <f>INDEX($J$18:$J$22,MATCH(B458,$L$18:$L$22,1))</f>
        <v/>
      </c>
      <c r="F458" s="16">
        <f>-($K$9/$K$8)*LN(RAND()*RAND()*RAND())</f>
        <v/>
      </c>
      <c r="G458" s="16">
        <f>NORMINV(RAND(),$K$10,$K$11)</f>
        <v/>
      </c>
      <c r="H458" s="16">
        <f>IF(RAND()&lt;$K$12,-$K$13*LN(1-RAND()),-$K$14*LN(1-RAND()))</f>
        <v/>
      </c>
    </row>
    <row r="459">
      <c r="A459" s="13" t="n">
        <v>455</v>
      </c>
      <c r="B459" s="14">
        <f>RAND()</f>
        <v/>
      </c>
      <c r="C459" s="16">
        <f>-$K$4*LN(1-B459)</f>
        <v/>
      </c>
      <c r="D459" s="16">
        <f>IF(B459&lt;$K$15,$K$5+SQRT(B459*($K$7-$K$5)*($K$6-$K$5)),$K$7-SQRT((1-B459)*($K$7-$K$5)*($K$7-$K$6)))</f>
        <v/>
      </c>
      <c r="E459" s="13">
        <f>INDEX($J$18:$J$22,MATCH(B459,$L$18:$L$22,1))</f>
        <v/>
      </c>
      <c r="F459" s="16">
        <f>-($K$9/$K$8)*LN(RAND()*RAND()*RAND())</f>
        <v/>
      </c>
      <c r="G459" s="16">
        <f>NORMINV(RAND(),$K$10,$K$11)</f>
        <v/>
      </c>
      <c r="H459" s="16">
        <f>IF(RAND()&lt;$K$12,-$K$13*LN(1-RAND()),-$K$14*LN(1-RAND()))</f>
        <v/>
      </c>
    </row>
    <row r="460">
      <c r="A460" s="13" t="n">
        <v>456</v>
      </c>
      <c r="B460" s="14">
        <f>RAND()</f>
        <v/>
      </c>
      <c r="C460" s="16">
        <f>-$K$4*LN(1-B460)</f>
        <v/>
      </c>
      <c r="D460" s="16">
        <f>IF(B460&lt;$K$15,$K$5+SQRT(B460*($K$7-$K$5)*($K$6-$K$5)),$K$7-SQRT((1-B460)*($K$7-$K$5)*($K$7-$K$6)))</f>
        <v/>
      </c>
      <c r="E460" s="13">
        <f>INDEX($J$18:$J$22,MATCH(B460,$L$18:$L$22,1))</f>
        <v/>
      </c>
      <c r="F460" s="16">
        <f>-($K$9/$K$8)*LN(RAND()*RAND()*RAND())</f>
        <v/>
      </c>
      <c r="G460" s="16">
        <f>NORMINV(RAND(),$K$10,$K$11)</f>
        <v/>
      </c>
      <c r="H460" s="16">
        <f>IF(RAND()&lt;$K$12,-$K$13*LN(1-RAND()),-$K$14*LN(1-RAND()))</f>
        <v/>
      </c>
    </row>
    <row r="461">
      <c r="A461" s="13" t="n">
        <v>457</v>
      </c>
      <c r="B461" s="14">
        <f>RAND()</f>
        <v/>
      </c>
      <c r="C461" s="16">
        <f>-$K$4*LN(1-B461)</f>
        <v/>
      </c>
      <c r="D461" s="16">
        <f>IF(B461&lt;$K$15,$K$5+SQRT(B461*($K$7-$K$5)*($K$6-$K$5)),$K$7-SQRT((1-B461)*($K$7-$K$5)*($K$7-$K$6)))</f>
        <v/>
      </c>
      <c r="E461" s="13">
        <f>INDEX($J$18:$J$22,MATCH(B461,$L$18:$L$22,1))</f>
        <v/>
      </c>
      <c r="F461" s="16">
        <f>-($K$9/$K$8)*LN(RAND()*RAND()*RAND())</f>
        <v/>
      </c>
      <c r="G461" s="16">
        <f>NORMINV(RAND(),$K$10,$K$11)</f>
        <v/>
      </c>
      <c r="H461" s="16">
        <f>IF(RAND()&lt;$K$12,-$K$13*LN(1-RAND()),-$K$14*LN(1-RAND()))</f>
        <v/>
      </c>
    </row>
    <row r="462">
      <c r="A462" s="13" t="n">
        <v>458</v>
      </c>
      <c r="B462" s="14">
        <f>RAND()</f>
        <v/>
      </c>
      <c r="C462" s="16">
        <f>-$K$4*LN(1-B462)</f>
        <v/>
      </c>
      <c r="D462" s="16">
        <f>IF(B462&lt;$K$15,$K$5+SQRT(B462*($K$7-$K$5)*($K$6-$K$5)),$K$7-SQRT((1-B462)*($K$7-$K$5)*($K$7-$K$6)))</f>
        <v/>
      </c>
      <c r="E462" s="13">
        <f>INDEX($J$18:$J$22,MATCH(B462,$L$18:$L$22,1))</f>
        <v/>
      </c>
      <c r="F462" s="16">
        <f>-($K$9/$K$8)*LN(RAND()*RAND()*RAND())</f>
        <v/>
      </c>
      <c r="G462" s="16">
        <f>NORMINV(RAND(),$K$10,$K$11)</f>
        <v/>
      </c>
      <c r="H462" s="16">
        <f>IF(RAND()&lt;$K$12,-$K$13*LN(1-RAND()),-$K$14*LN(1-RAND()))</f>
        <v/>
      </c>
    </row>
    <row r="463">
      <c r="A463" s="13" t="n">
        <v>459</v>
      </c>
      <c r="B463" s="14">
        <f>RAND()</f>
        <v/>
      </c>
      <c r="C463" s="16">
        <f>-$K$4*LN(1-B463)</f>
        <v/>
      </c>
      <c r="D463" s="16">
        <f>IF(B463&lt;$K$15,$K$5+SQRT(B463*($K$7-$K$5)*($K$6-$K$5)),$K$7-SQRT((1-B463)*($K$7-$K$5)*($K$7-$K$6)))</f>
        <v/>
      </c>
      <c r="E463" s="13">
        <f>INDEX($J$18:$J$22,MATCH(B463,$L$18:$L$22,1))</f>
        <v/>
      </c>
      <c r="F463" s="16">
        <f>-($K$9/$K$8)*LN(RAND()*RAND()*RAND())</f>
        <v/>
      </c>
      <c r="G463" s="16">
        <f>NORMINV(RAND(),$K$10,$K$11)</f>
        <v/>
      </c>
      <c r="H463" s="16">
        <f>IF(RAND()&lt;$K$12,-$K$13*LN(1-RAND()),-$K$14*LN(1-RAND()))</f>
        <v/>
      </c>
    </row>
    <row r="464">
      <c r="A464" s="13" t="n">
        <v>460</v>
      </c>
      <c r="B464" s="14">
        <f>RAND()</f>
        <v/>
      </c>
      <c r="C464" s="16">
        <f>-$K$4*LN(1-B464)</f>
        <v/>
      </c>
      <c r="D464" s="16">
        <f>IF(B464&lt;$K$15,$K$5+SQRT(B464*($K$7-$K$5)*($K$6-$K$5)),$K$7-SQRT((1-B464)*($K$7-$K$5)*($K$7-$K$6)))</f>
        <v/>
      </c>
      <c r="E464" s="13">
        <f>INDEX($J$18:$J$22,MATCH(B464,$L$18:$L$22,1))</f>
        <v/>
      </c>
      <c r="F464" s="16">
        <f>-($K$9/$K$8)*LN(RAND()*RAND()*RAND())</f>
        <v/>
      </c>
      <c r="G464" s="16">
        <f>NORMINV(RAND(),$K$10,$K$11)</f>
        <v/>
      </c>
      <c r="H464" s="16">
        <f>IF(RAND()&lt;$K$12,-$K$13*LN(1-RAND()),-$K$14*LN(1-RAND()))</f>
        <v/>
      </c>
    </row>
    <row r="465">
      <c r="A465" s="13" t="n">
        <v>461</v>
      </c>
      <c r="B465" s="14">
        <f>RAND()</f>
        <v/>
      </c>
      <c r="C465" s="16">
        <f>-$K$4*LN(1-B465)</f>
        <v/>
      </c>
      <c r="D465" s="16">
        <f>IF(B465&lt;$K$15,$K$5+SQRT(B465*($K$7-$K$5)*($K$6-$K$5)),$K$7-SQRT((1-B465)*($K$7-$K$5)*($K$7-$K$6)))</f>
        <v/>
      </c>
      <c r="E465" s="13">
        <f>INDEX($J$18:$J$22,MATCH(B465,$L$18:$L$22,1))</f>
        <v/>
      </c>
      <c r="F465" s="16">
        <f>-($K$9/$K$8)*LN(RAND()*RAND()*RAND())</f>
        <v/>
      </c>
      <c r="G465" s="16">
        <f>NORMINV(RAND(),$K$10,$K$11)</f>
        <v/>
      </c>
      <c r="H465" s="16">
        <f>IF(RAND()&lt;$K$12,-$K$13*LN(1-RAND()),-$K$14*LN(1-RAND()))</f>
        <v/>
      </c>
    </row>
    <row r="466">
      <c r="A466" s="13" t="n">
        <v>462</v>
      </c>
      <c r="B466" s="14">
        <f>RAND()</f>
        <v/>
      </c>
      <c r="C466" s="16">
        <f>-$K$4*LN(1-B466)</f>
        <v/>
      </c>
      <c r="D466" s="16">
        <f>IF(B466&lt;$K$15,$K$5+SQRT(B466*($K$7-$K$5)*($K$6-$K$5)),$K$7-SQRT((1-B466)*($K$7-$K$5)*($K$7-$K$6)))</f>
        <v/>
      </c>
      <c r="E466" s="13">
        <f>INDEX($J$18:$J$22,MATCH(B466,$L$18:$L$22,1))</f>
        <v/>
      </c>
      <c r="F466" s="16">
        <f>-($K$9/$K$8)*LN(RAND()*RAND()*RAND())</f>
        <v/>
      </c>
      <c r="G466" s="16">
        <f>NORMINV(RAND(),$K$10,$K$11)</f>
        <v/>
      </c>
      <c r="H466" s="16">
        <f>IF(RAND()&lt;$K$12,-$K$13*LN(1-RAND()),-$K$14*LN(1-RAND()))</f>
        <v/>
      </c>
    </row>
    <row r="467">
      <c r="A467" s="13" t="n">
        <v>463</v>
      </c>
      <c r="B467" s="14">
        <f>RAND()</f>
        <v/>
      </c>
      <c r="C467" s="16">
        <f>-$K$4*LN(1-B467)</f>
        <v/>
      </c>
      <c r="D467" s="16">
        <f>IF(B467&lt;$K$15,$K$5+SQRT(B467*($K$7-$K$5)*($K$6-$K$5)),$K$7-SQRT((1-B467)*($K$7-$K$5)*($K$7-$K$6)))</f>
        <v/>
      </c>
      <c r="E467" s="13">
        <f>INDEX($J$18:$J$22,MATCH(B467,$L$18:$L$22,1))</f>
        <v/>
      </c>
      <c r="F467" s="16">
        <f>-($K$9/$K$8)*LN(RAND()*RAND()*RAND())</f>
        <v/>
      </c>
      <c r="G467" s="16">
        <f>NORMINV(RAND(),$K$10,$K$11)</f>
        <v/>
      </c>
      <c r="H467" s="16">
        <f>IF(RAND()&lt;$K$12,-$K$13*LN(1-RAND()),-$K$14*LN(1-RAND()))</f>
        <v/>
      </c>
    </row>
    <row r="468">
      <c r="A468" s="13" t="n">
        <v>464</v>
      </c>
      <c r="B468" s="14">
        <f>RAND()</f>
        <v/>
      </c>
      <c r="C468" s="16">
        <f>-$K$4*LN(1-B468)</f>
        <v/>
      </c>
      <c r="D468" s="16">
        <f>IF(B468&lt;$K$15,$K$5+SQRT(B468*($K$7-$K$5)*($K$6-$K$5)),$K$7-SQRT((1-B468)*($K$7-$K$5)*($K$7-$K$6)))</f>
        <v/>
      </c>
      <c r="E468" s="13">
        <f>INDEX($J$18:$J$22,MATCH(B468,$L$18:$L$22,1))</f>
        <v/>
      </c>
      <c r="F468" s="16">
        <f>-($K$9/$K$8)*LN(RAND()*RAND()*RAND())</f>
        <v/>
      </c>
      <c r="G468" s="16">
        <f>NORMINV(RAND(),$K$10,$K$11)</f>
        <v/>
      </c>
      <c r="H468" s="16">
        <f>IF(RAND()&lt;$K$12,-$K$13*LN(1-RAND()),-$K$14*LN(1-RAND()))</f>
        <v/>
      </c>
    </row>
    <row r="469">
      <c r="A469" s="13" t="n">
        <v>465</v>
      </c>
      <c r="B469" s="14">
        <f>RAND()</f>
        <v/>
      </c>
      <c r="C469" s="16">
        <f>-$K$4*LN(1-B469)</f>
        <v/>
      </c>
      <c r="D469" s="16">
        <f>IF(B469&lt;$K$15,$K$5+SQRT(B469*($K$7-$K$5)*($K$6-$K$5)),$K$7-SQRT((1-B469)*($K$7-$K$5)*($K$7-$K$6)))</f>
        <v/>
      </c>
      <c r="E469" s="13">
        <f>INDEX($J$18:$J$22,MATCH(B469,$L$18:$L$22,1))</f>
        <v/>
      </c>
      <c r="F469" s="16">
        <f>-($K$9/$K$8)*LN(RAND()*RAND()*RAND())</f>
        <v/>
      </c>
      <c r="G469" s="16">
        <f>NORMINV(RAND(),$K$10,$K$11)</f>
        <v/>
      </c>
      <c r="H469" s="16">
        <f>IF(RAND()&lt;$K$12,-$K$13*LN(1-RAND()),-$K$14*LN(1-RAND()))</f>
        <v/>
      </c>
    </row>
    <row r="470">
      <c r="A470" s="13" t="n">
        <v>466</v>
      </c>
      <c r="B470" s="14">
        <f>RAND()</f>
        <v/>
      </c>
      <c r="C470" s="16">
        <f>-$K$4*LN(1-B470)</f>
        <v/>
      </c>
      <c r="D470" s="16">
        <f>IF(B470&lt;$K$15,$K$5+SQRT(B470*($K$7-$K$5)*($K$6-$K$5)),$K$7-SQRT((1-B470)*($K$7-$K$5)*($K$7-$K$6)))</f>
        <v/>
      </c>
      <c r="E470" s="13">
        <f>INDEX($J$18:$J$22,MATCH(B470,$L$18:$L$22,1))</f>
        <v/>
      </c>
      <c r="F470" s="16">
        <f>-($K$9/$K$8)*LN(RAND()*RAND()*RAND())</f>
        <v/>
      </c>
      <c r="G470" s="16">
        <f>NORMINV(RAND(),$K$10,$K$11)</f>
        <v/>
      </c>
      <c r="H470" s="16">
        <f>IF(RAND()&lt;$K$12,-$K$13*LN(1-RAND()),-$K$14*LN(1-RAND()))</f>
        <v/>
      </c>
    </row>
    <row r="471">
      <c r="A471" s="13" t="n">
        <v>467</v>
      </c>
      <c r="B471" s="14">
        <f>RAND()</f>
        <v/>
      </c>
      <c r="C471" s="16">
        <f>-$K$4*LN(1-B471)</f>
        <v/>
      </c>
      <c r="D471" s="16">
        <f>IF(B471&lt;$K$15,$K$5+SQRT(B471*($K$7-$K$5)*($K$6-$K$5)),$K$7-SQRT((1-B471)*($K$7-$K$5)*($K$7-$K$6)))</f>
        <v/>
      </c>
      <c r="E471" s="13">
        <f>INDEX($J$18:$J$22,MATCH(B471,$L$18:$L$22,1))</f>
        <v/>
      </c>
      <c r="F471" s="16">
        <f>-($K$9/$K$8)*LN(RAND()*RAND()*RAND())</f>
        <v/>
      </c>
      <c r="G471" s="16">
        <f>NORMINV(RAND(),$K$10,$K$11)</f>
        <v/>
      </c>
      <c r="H471" s="16">
        <f>IF(RAND()&lt;$K$12,-$K$13*LN(1-RAND()),-$K$14*LN(1-RAND()))</f>
        <v/>
      </c>
    </row>
    <row r="472">
      <c r="A472" s="13" t="n">
        <v>468</v>
      </c>
      <c r="B472" s="14">
        <f>RAND()</f>
        <v/>
      </c>
      <c r="C472" s="16">
        <f>-$K$4*LN(1-B472)</f>
        <v/>
      </c>
      <c r="D472" s="16">
        <f>IF(B472&lt;$K$15,$K$5+SQRT(B472*($K$7-$K$5)*($K$6-$K$5)),$K$7-SQRT((1-B472)*($K$7-$K$5)*($K$7-$K$6)))</f>
        <v/>
      </c>
      <c r="E472" s="13">
        <f>INDEX($J$18:$J$22,MATCH(B472,$L$18:$L$22,1))</f>
        <v/>
      </c>
      <c r="F472" s="16">
        <f>-($K$9/$K$8)*LN(RAND()*RAND()*RAND())</f>
        <v/>
      </c>
      <c r="G472" s="16">
        <f>NORMINV(RAND(),$K$10,$K$11)</f>
        <v/>
      </c>
      <c r="H472" s="16">
        <f>IF(RAND()&lt;$K$12,-$K$13*LN(1-RAND()),-$K$14*LN(1-RAND()))</f>
        <v/>
      </c>
    </row>
    <row r="473">
      <c r="A473" s="13" t="n">
        <v>469</v>
      </c>
      <c r="B473" s="14">
        <f>RAND()</f>
        <v/>
      </c>
      <c r="C473" s="16">
        <f>-$K$4*LN(1-B473)</f>
        <v/>
      </c>
      <c r="D473" s="16">
        <f>IF(B473&lt;$K$15,$K$5+SQRT(B473*($K$7-$K$5)*($K$6-$K$5)),$K$7-SQRT((1-B473)*($K$7-$K$5)*($K$7-$K$6)))</f>
        <v/>
      </c>
      <c r="E473" s="13">
        <f>INDEX($J$18:$J$22,MATCH(B473,$L$18:$L$22,1))</f>
        <v/>
      </c>
      <c r="F473" s="16">
        <f>-($K$9/$K$8)*LN(RAND()*RAND()*RAND())</f>
        <v/>
      </c>
      <c r="G473" s="16">
        <f>NORMINV(RAND(),$K$10,$K$11)</f>
        <v/>
      </c>
      <c r="H473" s="16">
        <f>IF(RAND()&lt;$K$12,-$K$13*LN(1-RAND()),-$K$14*LN(1-RAND()))</f>
        <v/>
      </c>
    </row>
    <row r="474">
      <c r="A474" s="13" t="n">
        <v>470</v>
      </c>
      <c r="B474" s="14">
        <f>RAND()</f>
        <v/>
      </c>
      <c r="C474" s="16">
        <f>-$K$4*LN(1-B474)</f>
        <v/>
      </c>
      <c r="D474" s="16">
        <f>IF(B474&lt;$K$15,$K$5+SQRT(B474*($K$7-$K$5)*($K$6-$K$5)),$K$7-SQRT((1-B474)*($K$7-$K$5)*($K$7-$K$6)))</f>
        <v/>
      </c>
      <c r="E474" s="13">
        <f>INDEX($J$18:$J$22,MATCH(B474,$L$18:$L$22,1))</f>
        <v/>
      </c>
      <c r="F474" s="16">
        <f>-($K$9/$K$8)*LN(RAND()*RAND()*RAND())</f>
        <v/>
      </c>
      <c r="G474" s="16">
        <f>NORMINV(RAND(),$K$10,$K$11)</f>
        <v/>
      </c>
      <c r="H474" s="16">
        <f>IF(RAND()&lt;$K$12,-$K$13*LN(1-RAND()),-$K$14*LN(1-RAND()))</f>
        <v/>
      </c>
    </row>
    <row r="475">
      <c r="A475" s="13" t="n">
        <v>471</v>
      </c>
      <c r="B475" s="14">
        <f>RAND()</f>
        <v/>
      </c>
      <c r="C475" s="16">
        <f>-$K$4*LN(1-B475)</f>
        <v/>
      </c>
      <c r="D475" s="16">
        <f>IF(B475&lt;$K$15,$K$5+SQRT(B475*($K$7-$K$5)*($K$6-$K$5)),$K$7-SQRT((1-B475)*($K$7-$K$5)*($K$7-$K$6)))</f>
        <v/>
      </c>
      <c r="E475" s="13">
        <f>INDEX($J$18:$J$22,MATCH(B475,$L$18:$L$22,1))</f>
        <v/>
      </c>
      <c r="F475" s="16">
        <f>-($K$9/$K$8)*LN(RAND()*RAND()*RAND())</f>
        <v/>
      </c>
      <c r="G475" s="16">
        <f>NORMINV(RAND(),$K$10,$K$11)</f>
        <v/>
      </c>
      <c r="H475" s="16">
        <f>IF(RAND()&lt;$K$12,-$K$13*LN(1-RAND()),-$K$14*LN(1-RAND()))</f>
        <v/>
      </c>
    </row>
    <row r="476">
      <c r="A476" s="13" t="n">
        <v>472</v>
      </c>
      <c r="B476" s="14">
        <f>RAND()</f>
        <v/>
      </c>
      <c r="C476" s="16">
        <f>-$K$4*LN(1-B476)</f>
        <v/>
      </c>
      <c r="D476" s="16">
        <f>IF(B476&lt;$K$15,$K$5+SQRT(B476*($K$7-$K$5)*($K$6-$K$5)),$K$7-SQRT((1-B476)*($K$7-$K$5)*($K$7-$K$6)))</f>
        <v/>
      </c>
      <c r="E476" s="13">
        <f>INDEX($J$18:$J$22,MATCH(B476,$L$18:$L$22,1))</f>
        <v/>
      </c>
      <c r="F476" s="16">
        <f>-($K$9/$K$8)*LN(RAND()*RAND()*RAND())</f>
        <v/>
      </c>
      <c r="G476" s="16">
        <f>NORMINV(RAND(),$K$10,$K$11)</f>
        <v/>
      </c>
      <c r="H476" s="16">
        <f>IF(RAND()&lt;$K$12,-$K$13*LN(1-RAND()),-$K$14*LN(1-RAND()))</f>
        <v/>
      </c>
    </row>
    <row r="477">
      <c r="A477" s="13" t="n">
        <v>473</v>
      </c>
      <c r="B477" s="14">
        <f>RAND()</f>
        <v/>
      </c>
      <c r="C477" s="16">
        <f>-$K$4*LN(1-B477)</f>
        <v/>
      </c>
      <c r="D477" s="16">
        <f>IF(B477&lt;$K$15,$K$5+SQRT(B477*($K$7-$K$5)*($K$6-$K$5)),$K$7-SQRT((1-B477)*($K$7-$K$5)*($K$7-$K$6)))</f>
        <v/>
      </c>
      <c r="E477" s="13">
        <f>INDEX($J$18:$J$22,MATCH(B477,$L$18:$L$22,1))</f>
        <v/>
      </c>
      <c r="F477" s="16">
        <f>-($K$9/$K$8)*LN(RAND()*RAND()*RAND())</f>
        <v/>
      </c>
      <c r="G477" s="16">
        <f>NORMINV(RAND(),$K$10,$K$11)</f>
        <v/>
      </c>
      <c r="H477" s="16">
        <f>IF(RAND()&lt;$K$12,-$K$13*LN(1-RAND()),-$K$14*LN(1-RAND()))</f>
        <v/>
      </c>
    </row>
    <row r="478">
      <c r="A478" s="13" t="n">
        <v>474</v>
      </c>
      <c r="B478" s="14">
        <f>RAND()</f>
        <v/>
      </c>
      <c r="C478" s="16">
        <f>-$K$4*LN(1-B478)</f>
        <v/>
      </c>
      <c r="D478" s="16">
        <f>IF(B478&lt;$K$15,$K$5+SQRT(B478*($K$7-$K$5)*($K$6-$K$5)),$K$7-SQRT((1-B478)*($K$7-$K$5)*($K$7-$K$6)))</f>
        <v/>
      </c>
      <c r="E478" s="13">
        <f>INDEX($J$18:$J$22,MATCH(B478,$L$18:$L$22,1))</f>
        <v/>
      </c>
      <c r="F478" s="16">
        <f>-($K$9/$K$8)*LN(RAND()*RAND()*RAND())</f>
        <v/>
      </c>
      <c r="G478" s="16">
        <f>NORMINV(RAND(),$K$10,$K$11)</f>
        <v/>
      </c>
      <c r="H478" s="16">
        <f>IF(RAND()&lt;$K$12,-$K$13*LN(1-RAND()),-$K$14*LN(1-RAND()))</f>
        <v/>
      </c>
    </row>
    <row r="479">
      <c r="A479" s="13" t="n">
        <v>475</v>
      </c>
      <c r="B479" s="14">
        <f>RAND()</f>
        <v/>
      </c>
      <c r="C479" s="16">
        <f>-$K$4*LN(1-B479)</f>
        <v/>
      </c>
      <c r="D479" s="16">
        <f>IF(B479&lt;$K$15,$K$5+SQRT(B479*($K$7-$K$5)*($K$6-$K$5)),$K$7-SQRT((1-B479)*($K$7-$K$5)*($K$7-$K$6)))</f>
        <v/>
      </c>
      <c r="E479" s="13">
        <f>INDEX($J$18:$J$22,MATCH(B479,$L$18:$L$22,1))</f>
        <v/>
      </c>
      <c r="F479" s="16">
        <f>-($K$9/$K$8)*LN(RAND()*RAND()*RAND())</f>
        <v/>
      </c>
      <c r="G479" s="16">
        <f>NORMINV(RAND(),$K$10,$K$11)</f>
        <v/>
      </c>
      <c r="H479" s="16">
        <f>IF(RAND()&lt;$K$12,-$K$13*LN(1-RAND()),-$K$14*LN(1-RAND()))</f>
        <v/>
      </c>
    </row>
    <row r="480">
      <c r="A480" s="13" t="n">
        <v>476</v>
      </c>
      <c r="B480" s="14">
        <f>RAND()</f>
        <v/>
      </c>
      <c r="C480" s="16">
        <f>-$K$4*LN(1-B480)</f>
        <v/>
      </c>
      <c r="D480" s="16">
        <f>IF(B480&lt;$K$15,$K$5+SQRT(B480*($K$7-$K$5)*($K$6-$K$5)),$K$7-SQRT((1-B480)*($K$7-$K$5)*($K$7-$K$6)))</f>
        <v/>
      </c>
      <c r="E480" s="13">
        <f>INDEX($J$18:$J$22,MATCH(B480,$L$18:$L$22,1))</f>
        <v/>
      </c>
      <c r="F480" s="16">
        <f>-($K$9/$K$8)*LN(RAND()*RAND()*RAND())</f>
        <v/>
      </c>
      <c r="G480" s="16">
        <f>NORMINV(RAND(),$K$10,$K$11)</f>
        <v/>
      </c>
      <c r="H480" s="16">
        <f>IF(RAND()&lt;$K$12,-$K$13*LN(1-RAND()),-$K$14*LN(1-RAND()))</f>
        <v/>
      </c>
    </row>
    <row r="481">
      <c r="A481" s="13" t="n">
        <v>477</v>
      </c>
      <c r="B481" s="14">
        <f>RAND()</f>
        <v/>
      </c>
      <c r="C481" s="16">
        <f>-$K$4*LN(1-B481)</f>
        <v/>
      </c>
      <c r="D481" s="16">
        <f>IF(B481&lt;$K$15,$K$5+SQRT(B481*($K$7-$K$5)*($K$6-$K$5)),$K$7-SQRT((1-B481)*($K$7-$K$5)*($K$7-$K$6)))</f>
        <v/>
      </c>
      <c r="E481" s="13">
        <f>INDEX($J$18:$J$22,MATCH(B481,$L$18:$L$22,1))</f>
        <v/>
      </c>
      <c r="F481" s="16">
        <f>-($K$9/$K$8)*LN(RAND()*RAND()*RAND())</f>
        <v/>
      </c>
      <c r="G481" s="16">
        <f>NORMINV(RAND(),$K$10,$K$11)</f>
        <v/>
      </c>
      <c r="H481" s="16">
        <f>IF(RAND()&lt;$K$12,-$K$13*LN(1-RAND()),-$K$14*LN(1-RAND()))</f>
        <v/>
      </c>
    </row>
    <row r="482">
      <c r="A482" s="13" t="n">
        <v>478</v>
      </c>
      <c r="B482" s="14">
        <f>RAND()</f>
        <v/>
      </c>
      <c r="C482" s="16">
        <f>-$K$4*LN(1-B482)</f>
        <v/>
      </c>
      <c r="D482" s="16">
        <f>IF(B482&lt;$K$15,$K$5+SQRT(B482*($K$7-$K$5)*($K$6-$K$5)),$K$7-SQRT((1-B482)*($K$7-$K$5)*($K$7-$K$6)))</f>
        <v/>
      </c>
      <c r="E482" s="13">
        <f>INDEX($J$18:$J$22,MATCH(B482,$L$18:$L$22,1))</f>
        <v/>
      </c>
      <c r="F482" s="16">
        <f>-($K$9/$K$8)*LN(RAND()*RAND()*RAND())</f>
        <v/>
      </c>
      <c r="G482" s="16">
        <f>NORMINV(RAND(),$K$10,$K$11)</f>
        <v/>
      </c>
      <c r="H482" s="16">
        <f>IF(RAND()&lt;$K$12,-$K$13*LN(1-RAND()),-$K$14*LN(1-RAND()))</f>
        <v/>
      </c>
    </row>
    <row r="483">
      <c r="A483" s="13" t="n">
        <v>479</v>
      </c>
      <c r="B483" s="14">
        <f>RAND()</f>
        <v/>
      </c>
      <c r="C483" s="16">
        <f>-$K$4*LN(1-B483)</f>
        <v/>
      </c>
      <c r="D483" s="16">
        <f>IF(B483&lt;$K$15,$K$5+SQRT(B483*($K$7-$K$5)*($K$6-$K$5)),$K$7-SQRT((1-B483)*($K$7-$K$5)*($K$7-$K$6)))</f>
        <v/>
      </c>
      <c r="E483" s="13">
        <f>INDEX($J$18:$J$22,MATCH(B483,$L$18:$L$22,1))</f>
        <v/>
      </c>
      <c r="F483" s="16">
        <f>-($K$9/$K$8)*LN(RAND()*RAND()*RAND())</f>
        <v/>
      </c>
      <c r="G483" s="16">
        <f>NORMINV(RAND(),$K$10,$K$11)</f>
        <v/>
      </c>
      <c r="H483" s="16">
        <f>IF(RAND()&lt;$K$12,-$K$13*LN(1-RAND()),-$K$14*LN(1-RAND()))</f>
        <v/>
      </c>
    </row>
    <row r="484">
      <c r="A484" s="13" t="n">
        <v>480</v>
      </c>
      <c r="B484" s="14">
        <f>RAND()</f>
        <v/>
      </c>
      <c r="C484" s="16">
        <f>-$K$4*LN(1-B484)</f>
        <v/>
      </c>
      <c r="D484" s="16">
        <f>IF(B484&lt;$K$15,$K$5+SQRT(B484*($K$7-$K$5)*($K$6-$K$5)),$K$7-SQRT((1-B484)*($K$7-$K$5)*($K$7-$K$6)))</f>
        <v/>
      </c>
      <c r="E484" s="13">
        <f>INDEX($J$18:$J$22,MATCH(B484,$L$18:$L$22,1))</f>
        <v/>
      </c>
      <c r="F484" s="16">
        <f>-($K$9/$K$8)*LN(RAND()*RAND()*RAND())</f>
        <v/>
      </c>
      <c r="G484" s="16">
        <f>NORMINV(RAND(),$K$10,$K$11)</f>
        <v/>
      </c>
      <c r="H484" s="16">
        <f>IF(RAND()&lt;$K$12,-$K$13*LN(1-RAND()),-$K$14*LN(1-RAND()))</f>
        <v/>
      </c>
    </row>
    <row r="485">
      <c r="A485" s="13" t="n">
        <v>481</v>
      </c>
      <c r="B485" s="14">
        <f>RAND()</f>
        <v/>
      </c>
      <c r="C485" s="16">
        <f>-$K$4*LN(1-B485)</f>
        <v/>
      </c>
      <c r="D485" s="16">
        <f>IF(B485&lt;$K$15,$K$5+SQRT(B485*($K$7-$K$5)*($K$6-$K$5)),$K$7-SQRT((1-B485)*($K$7-$K$5)*($K$7-$K$6)))</f>
        <v/>
      </c>
      <c r="E485" s="13">
        <f>INDEX($J$18:$J$22,MATCH(B485,$L$18:$L$22,1))</f>
        <v/>
      </c>
      <c r="F485" s="16">
        <f>-($K$9/$K$8)*LN(RAND()*RAND()*RAND())</f>
        <v/>
      </c>
      <c r="G485" s="16">
        <f>NORMINV(RAND(),$K$10,$K$11)</f>
        <v/>
      </c>
      <c r="H485" s="16">
        <f>IF(RAND()&lt;$K$12,-$K$13*LN(1-RAND()),-$K$14*LN(1-RAND()))</f>
        <v/>
      </c>
    </row>
    <row r="486">
      <c r="A486" s="13" t="n">
        <v>482</v>
      </c>
      <c r="B486" s="14">
        <f>RAND()</f>
        <v/>
      </c>
      <c r="C486" s="16">
        <f>-$K$4*LN(1-B486)</f>
        <v/>
      </c>
      <c r="D486" s="16">
        <f>IF(B486&lt;$K$15,$K$5+SQRT(B486*($K$7-$K$5)*($K$6-$K$5)),$K$7-SQRT((1-B486)*($K$7-$K$5)*($K$7-$K$6)))</f>
        <v/>
      </c>
      <c r="E486" s="13">
        <f>INDEX($J$18:$J$22,MATCH(B486,$L$18:$L$22,1))</f>
        <v/>
      </c>
      <c r="F486" s="16">
        <f>-($K$9/$K$8)*LN(RAND()*RAND()*RAND())</f>
        <v/>
      </c>
      <c r="G486" s="16">
        <f>NORMINV(RAND(),$K$10,$K$11)</f>
        <v/>
      </c>
      <c r="H486" s="16">
        <f>IF(RAND()&lt;$K$12,-$K$13*LN(1-RAND()),-$K$14*LN(1-RAND()))</f>
        <v/>
      </c>
    </row>
    <row r="487">
      <c r="A487" s="13" t="n">
        <v>483</v>
      </c>
      <c r="B487" s="14">
        <f>RAND()</f>
        <v/>
      </c>
      <c r="C487" s="16">
        <f>-$K$4*LN(1-B487)</f>
        <v/>
      </c>
      <c r="D487" s="16">
        <f>IF(B487&lt;$K$15,$K$5+SQRT(B487*($K$7-$K$5)*($K$6-$K$5)),$K$7-SQRT((1-B487)*($K$7-$K$5)*($K$7-$K$6)))</f>
        <v/>
      </c>
      <c r="E487" s="13">
        <f>INDEX($J$18:$J$22,MATCH(B487,$L$18:$L$22,1))</f>
        <v/>
      </c>
      <c r="F487" s="16">
        <f>-($K$9/$K$8)*LN(RAND()*RAND()*RAND())</f>
        <v/>
      </c>
      <c r="G487" s="16">
        <f>NORMINV(RAND(),$K$10,$K$11)</f>
        <v/>
      </c>
      <c r="H487" s="16">
        <f>IF(RAND()&lt;$K$12,-$K$13*LN(1-RAND()),-$K$14*LN(1-RAND()))</f>
        <v/>
      </c>
    </row>
    <row r="488">
      <c r="A488" s="13" t="n">
        <v>484</v>
      </c>
      <c r="B488" s="14">
        <f>RAND()</f>
        <v/>
      </c>
      <c r="C488" s="16">
        <f>-$K$4*LN(1-B488)</f>
        <v/>
      </c>
      <c r="D488" s="16">
        <f>IF(B488&lt;$K$15,$K$5+SQRT(B488*($K$7-$K$5)*($K$6-$K$5)),$K$7-SQRT((1-B488)*($K$7-$K$5)*($K$7-$K$6)))</f>
        <v/>
      </c>
      <c r="E488" s="13">
        <f>INDEX($J$18:$J$22,MATCH(B488,$L$18:$L$22,1))</f>
        <v/>
      </c>
      <c r="F488" s="16">
        <f>-($K$9/$K$8)*LN(RAND()*RAND()*RAND())</f>
        <v/>
      </c>
      <c r="G488" s="16">
        <f>NORMINV(RAND(),$K$10,$K$11)</f>
        <v/>
      </c>
      <c r="H488" s="16">
        <f>IF(RAND()&lt;$K$12,-$K$13*LN(1-RAND()),-$K$14*LN(1-RAND()))</f>
        <v/>
      </c>
    </row>
    <row r="489">
      <c r="A489" s="13" t="n">
        <v>485</v>
      </c>
      <c r="B489" s="14">
        <f>RAND()</f>
        <v/>
      </c>
      <c r="C489" s="16">
        <f>-$K$4*LN(1-B489)</f>
        <v/>
      </c>
      <c r="D489" s="16">
        <f>IF(B489&lt;$K$15,$K$5+SQRT(B489*($K$7-$K$5)*($K$6-$K$5)),$K$7-SQRT((1-B489)*($K$7-$K$5)*($K$7-$K$6)))</f>
        <v/>
      </c>
      <c r="E489" s="13">
        <f>INDEX($J$18:$J$22,MATCH(B489,$L$18:$L$22,1))</f>
        <v/>
      </c>
      <c r="F489" s="16">
        <f>-($K$9/$K$8)*LN(RAND()*RAND()*RAND())</f>
        <v/>
      </c>
      <c r="G489" s="16">
        <f>NORMINV(RAND(),$K$10,$K$11)</f>
        <v/>
      </c>
      <c r="H489" s="16">
        <f>IF(RAND()&lt;$K$12,-$K$13*LN(1-RAND()),-$K$14*LN(1-RAND()))</f>
        <v/>
      </c>
    </row>
    <row r="490">
      <c r="A490" s="13" t="n">
        <v>486</v>
      </c>
      <c r="B490" s="14">
        <f>RAND()</f>
        <v/>
      </c>
      <c r="C490" s="16">
        <f>-$K$4*LN(1-B490)</f>
        <v/>
      </c>
      <c r="D490" s="16">
        <f>IF(B490&lt;$K$15,$K$5+SQRT(B490*($K$7-$K$5)*($K$6-$K$5)),$K$7-SQRT((1-B490)*($K$7-$K$5)*($K$7-$K$6)))</f>
        <v/>
      </c>
      <c r="E490" s="13">
        <f>INDEX($J$18:$J$22,MATCH(B490,$L$18:$L$22,1))</f>
        <v/>
      </c>
      <c r="F490" s="16">
        <f>-($K$9/$K$8)*LN(RAND()*RAND()*RAND())</f>
        <v/>
      </c>
      <c r="G490" s="16">
        <f>NORMINV(RAND(),$K$10,$K$11)</f>
        <v/>
      </c>
      <c r="H490" s="16">
        <f>IF(RAND()&lt;$K$12,-$K$13*LN(1-RAND()),-$K$14*LN(1-RAND()))</f>
        <v/>
      </c>
    </row>
    <row r="491">
      <c r="A491" s="13" t="n">
        <v>487</v>
      </c>
      <c r="B491" s="14">
        <f>RAND()</f>
        <v/>
      </c>
      <c r="C491" s="16">
        <f>-$K$4*LN(1-B491)</f>
        <v/>
      </c>
      <c r="D491" s="16">
        <f>IF(B491&lt;$K$15,$K$5+SQRT(B491*($K$7-$K$5)*($K$6-$K$5)),$K$7-SQRT((1-B491)*($K$7-$K$5)*($K$7-$K$6)))</f>
        <v/>
      </c>
      <c r="E491" s="13">
        <f>INDEX($J$18:$J$22,MATCH(B491,$L$18:$L$22,1))</f>
        <v/>
      </c>
      <c r="F491" s="16">
        <f>-($K$9/$K$8)*LN(RAND()*RAND()*RAND())</f>
        <v/>
      </c>
      <c r="G491" s="16">
        <f>NORMINV(RAND(),$K$10,$K$11)</f>
        <v/>
      </c>
      <c r="H491" s="16">
        <f>IF(RAND()&lt;$K$12,-$K$13*LN(1-RAND()),-$K$14*LN(1-RAND()))</f>
        <v/>
      </c>
    </row>
    <row r="492">
      <c r="A492" s="13" t="n">
        <v>488</v>
      </c>
      <c r="B492" s="14">
        <f>RAND()</f>
        <v/>
      </c>
      <c r="C492" s="16">
        <f>-$K$4*LN(1-B492)</f>
        <v/>
      </c>
      <c r="D492" s="16">
        <f>IF(B492&lt;$K$15,$K$5+SQRT(B492*($K$7-$K$5)*($K$6-$K$5)),$K$7-SQRT((1-B492)*($K$7-$K$5)*($K$7-$K$6)))</f>
        <v/>
      </c>
      <c r="E492" s="13">
        <f>INDEX($J$18:$J$22,MATCH(B492,$L$18:$L$22,1))</f>
        <v/>
      </c>
      <c r="F492" s="16">
        <f>-($K$9/$K$8)*LN(RAND()*RAND()*RAND())</f>
        <v/>
      </c>
      <c r="G492" s="16">
        <f>NORMINV(RAND(),$K$10,$K$11)</f>
        <v/>
      </c>
      <c r="H492" s="16">
        <f>IF(RAND()&lt;$K$12,-$K$13*LN(1-RAND()),-$K$14*LN(1-RAND()))</f>
        <v/>
      </c>
    </row>
    <row r="493">
      <c r="A493" s="13" t="n">
        <v>489</v>
      </c>
      <c r="B493" s="14">
        <f>RAND()</f>
        <v/>
      </c>
      <c r="C493" s="16">
        <f>-$K$4*LN(1-B493)</f>
        <v/>
      </c>
      <c r="D493" s="16">
        <f>IF(B493&lt;$K$15,$K$5+SQRT(B493*($K$7-$K$5)*($K$6-$K$5)),$K$7-SQRT((1-B493)*($K$7-$K$5)*($K$7-$K$6)))</f>
        <v/>
      </c>
      <c r="E493" s="13">
        <f>INDEX($J$18:$J$22,MATCH(B493,$L$18:$L$22,1))</f>
        <v/>
      </c>
      <c r="F493" s="16">
        <f>-($K$9/$K$8)*LN(RAND()*RAND()*RAND())</f>
        <v/>
      </c>
      <c r="G493" s="16">
        <f>NORMINV(RAND(),$K$10,$K$11)</f>
        <v/>
      </c>
      <c r="H493" s="16">
        <f>IF(RAND()&lt;$K$12,-$K$13*LN(1-RAND()),-$K$14*LN(1-RAND()))</f>
        <v/>
      </c>
    </row>
    <row r="494">
      <c r="A494" s="13" t="n">
        <v>490</v>
      </c>
      <c r="B494" s="14">
        <f>RAND()</f>
        <v/>
      </c>
      <c r="C494" s="16">
        <f>-$K$4*LN(1-B494)</f>
        <v/>
      </c>
      <c r="D494" s="16">
        <f>IF(B494&lt;$K$15,$K$5+SQRT(B494*($K$7-$K$5)*($K$6-$K$5)),$K$7-SQRT((1-B494)*($K$7-$K$5)*($K$7-$K$6)))</f>
        <v/>
      </c>
      <c r="E494" s="13">
        <f>INDEX($J$18:$J$22,MATCH(B494,$L$18:$L$22,1))</f>
        <v/>
      </c>
      <c r="F494" s="16">
        <f>-($K$9/$K$8)*LN(RAND()*RAND()*RAND())</f>
        <v/>
      </c>
      <c r="G494" s="16">
        <f>NORMINV(RAND(),$K$10,$K$11)</f>
        <v/>
      </c>
      <c r="H494" s="16">
        <f>IF(RAND()&lt;$K$12,-$K$13*LN(1-RAND()),-$K$14*LN(1-RAND()))</f>
        <v/>
      </c>
    </row>
    <row r="495">
      <c r="A495" s="13" t="n">
        <v>491</v>
      </c>
      <c r="B495" s="14">
        <f>RAND()</f>
        <v/>
      </c>
      <c r="C495" s="16">
        <f>-$K$4*LN(1-B495)</f>
        <v/>
      </c>
      <c r="D495" s="16">
        <f>IF(B495&lt;$K$15,$K$5+SQRT(B495*($K$7-$K$5)*($K$6-$K$5)),$K$7-SQRT((1-B495)*($K$7-$K$5)*($K$7-$K$6)))</f>
        <v/>
      </c>
      <c r="E495" s="13">
        <f>INDEX($J$18:$J$22,MATCH(B495,$L$18:$L$22,1))</f>
        <v/>
      </c>
      <c r="F495" s="16">
        <f>-($K$9/$K$8)*LN(RAND()*RAND()*RAND())</f>
        <v/>
      </c>
      <c r="G495" s="16">
        <f>NORMINV(RAND(),$K$10,$K$11)</f>
        <v/>
      </c>
      <c r="H495" s="16">
        <f>IF(RAND()&lt;$K$12,-$K$13*LN(1-RAND()),-$K$14*LN(1-RAND()))</f>
        <v/>
      </c>
    </row>
    <row r="496">
      <c r="A496" s="13" t="n">
        <v>492</v>
      </c>
      <c r="B496" s="14">
        <f>RAND()</f>
        <v/>
      </c>
      <c r="C496" s="16">
        <f>-$K$4*LN(1-B496)</f>
        <v/>
      </c>
      <c r="D496" s="16">
        <f>IF(B496&lt;$K$15,$K$5+SQRT(B496*($K$7-$K$5)*($K$6-$K$5)),$K$7-SQRT((1-B496)*($K$7-$K$5)*($K$7-$K$6)))</f>
        <v/>
      </c>
      <c r="E496" s="13">
        <f>INDEX($J$18:$J$22,MATCH(B496,$L$18:$L$22,1))</f>
        <v/>
      </c>
      <c r="F496" s="16">
        <f>-($K$9/$K$8)*LN(RAND()*RAND()*RAND())</f>
        <v/>
      </c>
      <c r="G496" s="16">
        <f>NORMINV(RAND(),$K$10,$K$11)</f>
        <v/>
      </c>
      <c r="H496" s="16">
        <f>IF(RAND()&lt;$K$12,-$K$13*LN(1-RAND()),-$K$14*LN(1-RAND()))</f>
        <v/>
      </c>
    </row>
    <row r="497">
      <c r="A497" s="13" t="n">
        <v>493</v>
      </c>
      <c r="B497" s="14">
        <f>RAND()</f>
        <v/>
      </c>
      <c r="C497" s="16">
        <f>-$K$4*LN(1-B497)</f>
        <v/>
      </c>
      <c r="D497" s="16">
        <f>IF(B497&lt;$K$15,$K$5+SQRT(B497*($K$7-$K$5)*($K$6-$K$5)),$K$7-SQRT((1-B497)*($K$7-$K$5)*($K$7-$K$6)))</f>
        <v/>
      </c>
      <c r="E497" s="13">
        <f>INDEX($J$18:$J$22,MATCH(B497,$L$18:$L$22,1))</f>
        <v/>
      </c>
      <c r="F497" s="16">
        <f>-($K$9/$K$8)*LN(RAND()*RAND()*RAND())</f>
        <v/>
      </c>
      <c r="G497" s="16">
        <f>NORMINV(RAND(),$K$10,$K$11)</f>
        <v/>
      </c>
      <c r="H497" s="16">
        <f>IF(RAND()&lt;$K$12,-$K$13*LN(1-RAND()),-$K$14*LN(1-RAND()))</f>
        <v/>
      </c>
    </row>
    <row r="498">
      <c r="A498" s="13" t="n">
        <v>494</v>
      </c>
      <c r="B498" s="14">
        <f>RAND()</f>
        <v/>
      </c>
      <c r="C498" s="16">
        <f>-$K$4*LN(1-B498)</f>
        <v/>
      </c>
      <c r="D498" s="16">
        <f>IF(B498&lt;$K$15,$K$5+SQRT(B498*($K$7-$K$5)*($K$6-$K$5)),$K$7-SQRT((1-B498)*($K$7-$K$5)*($K$7-$K$6)))</f>
        <v/>
      </c>
      <c r="E498" s="13">
        <f>INDEX($J$18:$J$22,MATCH(B498,$L$18:$L$22,1))</f>
        <v/>
      </c>
      <c r="F498" s="16">
        <f>-($K$9/$K$8)*LN(RAND()*RAND()*RAND())</f>
        <v/>
      </c>
      <c r="G498" s="16">
        <f>NORMINV(RAND(),$K$10,$K$11)</f>
        <v/>
      </c>
      <c r="H498" s="16">
        <f>IF(RAND()&lt;$K$12,-$K$13*LN(1-RAND()),-$K$14*LN(1-RAND()))</f>
        <v/>
      </c>
    </row>
    <row r="499">
      <c r="A499" s="13" t="n">
        <v>495</v>
      </c>
      <c r="B499" s="14">
        <f>RAND()</f>
        <v/>
      </c>
      <c r="C499" s="16">
        <f>-$K$4*LN(1-B499)</f>
        <v/>
      </c>
      <c r="D499" s="16">
        <f>IF(B499&lt;$K$15,$K$5+SQRT(B499*($K$7-$K$5)*($K$6-$K$5)),$K$7-SQRT((1-B499)*($K$7-$K$5)*($K$7-$K$6)))</f>
        <v/>
      </c>
      <c r="E499" s="13">
        <f>INDEX($J$18:$J$22,MATCH(B499,$L$18:$L$22,1))</f>
        <v/>
      </c>
      <c r="F499" s="16">
        <f>-($K$9/$K$8)*LN(RAND()*RAND()*RAND())</f>
        <v/>
      </c>
      <c r="G499" s="16">
        <f>NORMINV(RAND(),$K$10,$K$11)</f>
        <v/>
      </c>
      <c r="H499" s="16">
        <f>IF(RAND()&lt;$K$12,-$K$13*LN(1-RAND()),-$K$14*LN(1-RAND()))</f>
        <v/>
      </c>
    </row>
    <row r="500">
      <c r="A500" s="13" t="n">
        <v>496</v>
      </c>
      <c r="B500" s="14">
        <f>RAND()</f>
        <v/>
      </c>
      <c r="C500" s="16">
        <f>-$K$4*LN(1-B500)</f>
        <v/>
      </c>
      <c r="D500" s="16">
        <f>IF(B500&lt;$K$15,$K$5+SQRT(B500*($K$7-$K$5)*($K$6-$K$5)),$K$7-SQRT((1-B500)*($K$7-$K$5)*($K$7-$K$6)))</f>
        <v/>
      </c>
      <c r="E500" s="13">
        <f>INDEX($J$18:$J$22,MATCH(B500,$L$18:$L$22,1))</f>
        <v/>
      </c>
      <c r="F500" s="16">
        <f>-($K$9/$K$8)*LN(RAND()*RAND()*RAND())</f>
        <v/>
      </c>
      <c r="G500" s="16">
        <f>NORMINV(RAND(),$K$10,$K$11)</f>
        <v/>
      </c>
      <c r="H500" s="16">
        <f>IF(RAND()&lt;$K$12,-$K$13*LN(1-RAND()),-$K$14*LN(1-RAND()))</f>
        <v/>
      </c>
    </row>
    <row r="501">
      <c r="A501" s="13" t="n">
        <v>497</v>
      </c>
      <c r="B501" s="14">
        <f>RAND()</f>
        <v/>
      </c>
      <c r="C501" s="16">
        <f>-$K$4*LN(1-B501)</f>
        <v/>
      </c>
      <c r="D501" s="16">
        <f>IF(B501&lt;$K$15,$K$5+SQRT(B501*($K$7-$K$5)*($K$6-$K$5)),$K$7-SQRT((1-B501)*($K$7-$K$5)*($K$7-$K$6)))</f>
        <v/>
      </c>
      <c r="E501" s="13">
        <f>INDEX($J$18:$J$22,MATCH(B501,$L$18:$L$22,1))</f>
        <v/>
      </c>
      <c r="F501" s="16">
        <f>-($K$9/$K$8)*LN(RAND()*RAND()*RAND())</f>
        <v/>
      </c>
      <c r="G501" s="16">
        <f>NORMINV(RAND(),$K$10,$K$11)</f>
        <v/>
      </c>
      <c r="H501" s="16">
        <f>IF(RAND()&lt;$K$12,-$K$13*LN(1-RAND()),-$K$14*LN(1-RAND()))</f>
        <v/>
      </c>
    </row>
    <row r="502">
      <c r="A502" s="13" t="n">
        <v>498</v>
      </c>
      <c r="B502" s="14">
        <f>RAND()</f>
        <v/>
      </c>
      <c r="C502" s="16">
        <f>-$K$4*LN(1-B502)</f>
        <v/>
      </c>
      <c r="D502" s="16">
        <f>IF(B502&lt;$K$15,$K$5+SQRT(B502*($K$7-$K$5)*($K$6-$K$5)),$K$7-SQRT((1-B502)*($K$7-$K$5)*($K$7-$K$6)))</f>
        <v/>
      </c>
      <c r="E502" s="13">
        <f>INDEX($J$18:$J$22,MATCH(B502,$L$18:$L$22,1))</f>
        <v/>
      </c>
      <c r="F502" s="16">
        <f>-($K$9/$K$8)*LN(RAND()*RAND()*RAND())</f>
        <v/>
      </c>
      <c r="G502" s="16">
        <f>NORMINV(RAND(),$K$10,$K$11)</f>
        <v/>
      </c>
      <c r="H502" s="16">
        <f>IF(RAND()&lt;$K$12,-$K$13*LN(1-RAND()),-$K$14*LN(1-RAND()))</f>
        <v/>
      </c>
    </row>
    <row r="503">
      <c r="A503" s="13" t="n">
        <v>499</v>
      </c>
      <c r="B503" s="14">
        <f>RAND()</f>
        <v/>
      </c>
      <c r="C503" s="16">
        <f>-$K$4*LN(1-B503)</f>
        <v/>
      </c>
      <c r="D503" s="16">
        <f>IF(B503&lt;$K$15,$K$5+SQRT(B503*($K$7-$K$5)*($K$6-$K$5)),$K$7-SQRT((1-B503)*($K$7-$K$5)*($K$7-$K$6)))</f>
        <v/>
      </c>
      <c r="E503" s="13">
        <f>INDEX($J$18:$J$22,MATCH(B503,$L$18:$L$22,1))</f>
        <v/>
      </c>
      <c r="F503" s="16">
        <f>-($K$9/$K$8)*LN(RAND()*RAND()*RAND())</f>
        <v/>
      </c>
      <c r="G503" s="16">
        <f>NORMINV(RAND(),$K$10,$K$11)</f>
        <v/>
      </c>
      <c r="H503" s="16">
        <f>IF(RAND()&lt;$K$12,-$K$13*LN(1-RAND()),-$K$14*LN(1-RAND()))</f>
        <v/>
      </c>
    </row>
    <row r="504">
      <c r="A504" s="13" t="n">
        <v>500</v>
      </c>
      <c r="B504" s="14">
        <f>RAND()</f>
        <v/>
      </c>
      <c r="C504" s="16">
        <f>-$K$4*LN(1-B504)</f>
        <v/>
      </c>
      <c r="D504" s="16">
        <f>IF(B504&lt;$K$15,$K$5+SQRT(B504*($K$7-$K$5)*($K$6-$K$5)),$K$7-SQRT((1-B504)*($K$7-$K$5)*($K$7-$K$6)))</f>
        <v/>
      </c>
      <c r="E504" s="13">
        <f>INDEX($J$18:$J$22,MATCH(B504,$L$18:$L$22,1))</f>
        <v/>
      </c>
      <c r="F504" s="16">
        <f>-($K$9/$K$8)*LN(RAND()*RAND()*RAND())</f>
        <v/>
      </c>
      <c r="G504" s="16">
        <f>NORMINV(RAND(),$K$10,$K$11)</f>
        <v/>
      </c>
      <c r="H504" s="16">
        <f>IF(RAND()&lt;$K$12,-$K$13*LN(1-RAND()),-$K$14*LN(1-RAND()))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4" customWidth="1" min="9" max="9"/>
    <col width="26" customWidth="1" min="10" max="10"/>
    <col width="12" customWidth="1" min="11" max="11"/>
  </cols>
  <sheetData>
    <row r="1">
      <c r="A1" s="1" t="inlineStr">
        <is>
          <t>Método de aceptación y rechazo</t>
        </is>
      </c>
    </row>
    <row r="2">
      <c r="A2" s="2" t="inlineStr">
        <is>
          <t>f(x) = 6x(1 − x) en [0, 1], cota M = 1.5. Se acepta x si y = M·r₂ ≤ f(x).</t>
        </is>
      </c>
    </row>
    <row r="4">
      <c r="A4" s="10" t="inlineStr">
        <is>
          <t>i</t>
        </is>
      </c>
      <c r="B4" s="10" t="inlineStr">
        <is>
          <t>x = r₁</t>
        </is>
      </c>
      <c r="C4" s="10" t="inlineStr">
        <is>
          <t>r₂</t>
        </is>
      </c>
      <c r="D4" s="10" t="inlineStr">
        <is>
          <t>y = M·r₂</t>
        </is>
      </c>
      <c r="E4" s="10" t="inlineStr">
        <is>
          <t>f(x)</t>
        </is>
      </c>
      <c r="F4" s="10" t="inlineStr">
        <is>
          <t>¿Acepta?</t>
        </is>
      </c>
      <c r="G4" s="10" t="inlineStr">
        <is>
          <t>x aceptado</t>
        </is>
      </c>
      <c r="H4" s="10" t="inlineStr">
        <is>
          <t>x rechazado</t>
        </is>
      </c>
      <c r="J4" s="11" t="inlineStr">
        <is>
          <t>Cota M</t>
        </is>
      </c>
      <c r="K4" s="12" t="n">
        <v>1.5</v>
      </c>
    </row>
    <row r="5">
      <c r="A5" s="13" t="n">
        <v>1</v>
      </c>
      <c r="B5" s="14">
        <f>RAND()</f>
        <v/>
      </c>
      <c r="C5" s="14">
        <f>RAND()</f>
        <v/>
      </c>
      <c r="D5" s="14">
        <f>$K$4*C5</f>
        <v/>
      </c>
      <c r="E5" s="14">
        <f>6*B5*(1-B5)</f>
        <v/>
      </c>
      <c r="F5" s="13">
        <f>IF(D5&lt;=E5,1,0)</f>
        <v/>
      </c>
      <c r="G5" s="14">
        <f>IF(F5=1,B5,-1)</f>
        <v/>
      </c>
      <c r="H5" s="14">
        <f>IF(F5=0,B5,-1)</f>
        <v/>
      </c>
      <c r="J5" s="11" t="inlineStr">
        <is>
          <t>Puntos</t>
        </is>
      </c>
      <c r="K5" s="13" t="n">
        <v>300</v>
      </c>
    </row>
    <row r="6">
      <c r="A6" s="13" t="n">
        <v>2</v>
      </c>
      <c r="B6" s="14">
        <f>RAND()</f>
        <v/>
      </c>
      <c r="C6" s="14">
        <f>RAND()</f>
        <v/>
      </c>
      <c r="D6" s="14">
        <f>$K$4*C6</f>
        <v/>
      </c>
      <c r="E6" s="14">
        <f>6*B6*(1-B6)</f>
        <v/>
      </c>
      <c r="F6" s="13">
        <f>IF(D6&lt;=E6,1,0)</f>
        <v/>
      </c>
      <c r="G6" s="14">
        <f>IF(F6=1,B6,-1)</f>
        <v/>
      </c>
      <c r="H6" s="14">
        <f>IF(F6=0,B6,-1)</f>
        <v/>
      </c>
      <c r="J6" s="11" t="inlineStr">
        <is>
          <t>Aceptados</t>
        </is>
      </c>
      <c r="K6" s="13">
        <f>SUM(F5:F304)</f>
        <v/>
      </c>
    </row>
    <row r="7">
      <c r="A7" s="13" t="n">
        <v>3</v>
      </c>
      <c r="B7" s="14">
        <f>RAND()</f>
        <v/>
      </c>
      <c r="C7" s="14">
        <f>RAND()</f>
        <v/>
      </c>
      <c r="D7" s="14">
        <f>$K$4*C7</f>
        <v/>
      </c>
      <c r="E7" s="14">
        <f>6*B7*(1-B7)</f>
        <v/>
      </c>
      <c r="F7" s="13">
        <f>IF(D7&lt;=E7,1,0)</f>
        <v/>
      </c>
      <c r="G7" s="14">
        <f>IF(F7=1,B7,-1)</f>
        <v/>
      </c>
      <c r="H7" s="14">
        <f>IF(F7=0,B7,-1)</f>
        <v/>
      </c>
      <c r="J7" s="11" t="inlineStr">
        <is>
          <t>Eficiencia observada</t>
        </is>
      </c>
      <c r="K7" s="20">
        <f>K6/K5</f>
        <v/>
      </c>
    </row>
    <row r="8">
      <c r="A8" s="13" t="n">
        <v>4</v>
      </c>
      <c r="B8" s="14">
        <f>RAND()</f>
        <v/>
      </c>
      <c r="C8" s="14">
        <f>RAND()</f>
        <v/>
      </c>
      <c r="D8" s="14">
        <f>$K$4*C8</f>
        <v/>
      </c>
      <c r="E8" s="14">
        <f>6*B8*(1-B8)</f>
        <v/>
      </c>
      <c r="F8" s="13">
        <f>IF(D8&lt;=E8,1,0)</f>
        <v/>
      </c>
      <c r="G8" s="14">
        <f>IF(F8=1,B8,-1)</f>
        <v/>
      </c>
      <c r="H8" s="14">
        <f>IF(F8=0,B8,-1)</f>
        <v/>
      </c>
      <c r="J8" s="11" t="inlineStr">
        <is>
          <t>Eficiencia teórica 1/(M(b − a))</t>
        </is>
      </c>
      <c r="K8" s="20">
        <f>1/K4</f>
        <v/>
      </c>
    </row>
    <row r="9">
      <c r="A9" s="13" t="n">
        <v>5</v>
      </c>
      <c r="B9" s="14">
        <f>RAND()</f>
        <v/>
      </c>
      <c r="C9" s="14">
        <f>RAND()</f>
        <v/>
      </c>
      <c r="D9" s="14">
        <f>$K$4*C9</f>
        <v/>
      </c>
      <c r="E9" s="14">
        <f>6*B9*(1-B9)</f>
        <v/>
      </c>
      <c r="F9" s="13">
        <f>IF(D9&lt;=E9,1,0)</f>
        <v/>
      </c>
      <c r="G9" s="14">
        <f>IF(F9=1,B9,-1)</f>
        <v/>
      </c>
      <c r="H9" s="14">
        <f>IF(F9=0,B9,-1)</f>
        <v/>
      </c>
    </row>
    <row r="10">
      <c r="A10" s="13" t="n">
        <v>6</v>
      </c>
      <c r="B10" s="14">
        <f>RAND()</f>
        <v/>
      </c>
      <c r="C10" s="14">
        <f>RAND()</f>
        <v/>
      </c>
      <c r="D10" s="14">
        <f>$K$4*C10</f>
        <v/>
      </c>
      <c r="E10" s="14">
        <f>6*B10*(1-B10)</f>
        <v/>
      </c>
      <c r="F10" s="13">
        <f>IF(D10&lt;=E10,1,0)</f>
        <v/>
      </c>
      <c r="G10" s="14">
        <f>IF(F10=1,B10,-1)</f>
        <v/>
      </c>
      <c r="H10" s="14">
        <f>IF(F10=0,B10,-1)</f>
        <v/>
      </c>
    </row>
    <row r="11">
      <c r="A11" s="13" t="n">
        <v>7</v>
      </c>
      <c r="B11" s="14">
        <f>RAND()</f>
        <v/>
      </c>
      <c r="C11" s="14">
        <f>RAND()</f>
        <v/>
      </c>
      <c r="D11" s="14">
        <f>$K$4*C11</f>
        <v/>
      </c>
      <c r="E11" s="14">
        <f>6*B11*(1-B11)</f>
        <v/>
      </c>
      <c r="F11" s="13">
        <f>IF(D11&lt;=E11,1,0)</f>
        <v/>
      </c>
      <c r="G11" s="14">
        <f>IF(F11=1,B11,-1)</f>
        <v/>
      </c>
      <c r="H11" s="14">
        <f>IF(F11=0,B11,-1)</f>
        <v/>
      </c>
    </row>
    <row r="12">
      <c r="A12" s="13" t="n">
        <v>8</v>
      </c>
      <c r="B12" s="14">
        <f>RAND()</f>
        <v/>
      </c>
      <c r="C12" s="14">
        <f>RAND()</f>
        <v/>
      </c>
      <c r="D12" s="14">
        <f>$K$4*C12</f>
        <v/>
      </c>
      <c r="E12" s="14">
        <f>6*B12*(1-B12)</f>
        <v/>
      </c>
      <c r="F12" s="13">
        <f>IF(D12&lt;=E12,1,0)</f>
        <v/>
      </c>
      <c r="G12" s="14">
        <f>IF(F12=1,B12,-1)</f>
        <v/>
      </c>
      <c r="H12" s="14">
        <f>IF(F12=0,B12,-1)</f>
        <v/>
      </c>
    </row>
    <row r="13">
      <c r="A13" s="13" t="n">
        <v>9</v>
      </c>
      <c r="B13" s="14">
        <f>RAND()</f>
        <v/>
      </c>
      <c r="C13" s="14">
        <f>RAND()</f>
        <v/>
      </c>
      <c r="D13" s="14">
        <f>$K$4*C13</f>
        <v/>
      </c>
      <c r="E13" s="14">
        <f>6*B13*(1-B13)</f>
        <v/>
      </c>
      <c r="F13" s="13">
        <f>IF(D13&lt;=E13,1,0)</f>
        <v/>
      </c>
      <c r="G13" s="14">
        <f>IF(F13=1,B13,-1)</f>
        <v/>
      </c>
      <c r="H13" s="14">
        <f>IF(F13=0,B13,-1)</f>
        <v/>
      </c>
    </row>
    <row r="14">
      <c r="A14" s="13" t="n">
        <v>10</v>
      </c>
      <c r="B14" s="14">
        <f>RAND()</f>
        <v/>
      </c>
      <c r="C14" s="14">
        <f>RAND()</f>
        <v/>
      </c>
      <c r="D14" s="14">
        <f>$K$4*C14</f>
        <v/>
      </c>
      <c r="E14" s="14">
        <f>6*B14*(1-B14)</f>
        <v/>
      </c>
      <c r="F14" s="13">
        <f>IF(D14&lt;=E14,1,0)</f>
        <v/>
      </c>
      <c r="G14" s="14">
        <f>IF(F14=1,B14,-1)</f>
        <v/>
      </c>
      <c r="H14" s="14">
        <f>IF(F14=0,B14,-1)</f>
        <v/>
      </c>
    </row>
    <row r="15">
      <c r="A15" s="13" t="n">
        <v>11</v>
      </c>
      <c r="B15" s="14">
        <f>RAND()</f>
        <v/>
      </c>
      <c r="C15" s="14">
        <f>RAND()</f>
        <v/>
      </c>
      <c r="D15" s="14">
        <f>$K$4*C15</f>
        <v/>
      </c>
      <c r="E15" s="14">
        <f>6*B15*(1-B15)</f>
        <v/>
      </c>
      <c r="F15" s="13">
        <f>IF(D15&lt;=E15,1,0)</f>
        <v/>
      </c>
      <c r="G15" s="14">
        <f>IF(F15=1,B15,-1)</f>
        <v/>
      </c>
      <c r="H15" s="14">
        <f>IF(F15=0,B15,-1)</f>
        <v/>
      </c>
    </row>
    <row r="16">
      <c r="A16" s="13" t="n">
        <v>12</v>
      </c>
      <c r="B16" s="14">
        <f>RAND()</f>
        <v/>
      </c>
      <c r="C16" s="14">
        <f>RAND()</f>
        <v/>
      </c>
      <c r="D16" s="14">
        <f>$K$4*C16</f>
        <v/>
      </c>
      <c r="E16" s="14">
        <f>6*B16*(1-B16)</f>
        <v/>
      </c>
      <c r="F16" s="13">
        <f>IF(D16&lt;=E16,1,0)</f>
        <v/>
      </c>
      <c r="G16" s="14">
        <f>IF(F16=1,B16,-1)</f>
        <v/>
      </c>
      <c r="H16" s="14">
        <f>IF(F16=0,B16,-1)</f>
        <v/>
      </c>
    </row>
    <row r="17">
      <c r="A17" s="13" t="n">
        <v>13</v>
      </c>
      <c r="B17" s="14">
        <f>RAND()</f>
        <v/>
      </c>
      <c r="C17" s="14">
        <f>RAND()</f>
        <v/>
      </c>
      <c r="D17" s="14">
        <f>$K$4*C17</f>
        <v/>
      </c>
      <c r="E17" s="14">
        <f>6*B17*(1-B17)</f>
        <v/>
      </c>
      <c r="F17" s="13">
        <f>IF(D17&lt;=E17,1,0)</f>
        <v/>
      </c>
      <c r="G17" s="14">
        <f>IF(F17=1,B17,-1)</f>
        <v/>
      </c>
      <c r="H17" s="14">
        <f>IF(F17=0,B17,-1)</f>
        <v/>
      </c>
    </row>
    <row r="18">
      <c r="A18" s="13" t="n">
        <v>14</v>
      </c>
      <c r="B18" s="14">
        <f>RAND()</f>
        <v/>
      </c>
      <c r="C18" s="14">
        <f>RAND()</f>
        <v/>
      </c>
      <c r="D18" s="14">
        <f>$K$4*C18</f>
        <v/>
      </c>
      <c r="E18" s="14">
        <f>6*B18*(1-B18)</f>
        <v/>
      </c>
      <c r="F18" s="13">
        <f>IF(D18&lt;=E18,1,0)</f>
        <v/>
      </c>
      <c r="G18" s="14">
        <f>IF(F18=1,B18,-1)</f>
        <v/>
      </c>
      <c r="H18" s="14">
        <f>IF(F18=0,B18,-1)</f>
        <v/>
      </c>
    </row>
    <row r="19">
      <c r="A19" s="13" t="n">
        <v>15</v>
      </c>
      <c r="B19" s="14">
        <f>RAND()</f>
        <v/>
      </c>
      <c r="C19" s="14">
        <f>RAND()</f>
        <v/>
      </c>
      <c r="D19" s="14">
        <f>$K$4*C19</f>
        <v/>
      </c>
      <c r="E19" s="14">
        <f>6*B19*(1-B19)</f>
        <v/>
      </c>
      <c r="F19" s="13">
        <f>IF(D19&lt;=E19,1,0)</f>
        <v/>
      </c>
      <c r="G19" s="14">
        <f>IF(F19=1,B19,-1)</f>
        <v/>
      </c>
      <c r="H19" s="14">
        <f>IF(F19=0,B19,-1)</f>
        <v/>
      </c>
    </row>
    <row r="20">
      <c r="A20" s="13" t="n">
        <v>16</v>
      </c>
      <c r="B20" s="14">
        <f>RAND()</f>
        <v/>
      </c>
      <c r="C20" s="14">
        <f>RAND()</f>
        <v/>
      </c>
      <c r="D20" s="14">
        <f>$K$4*C20</f>
        <v/>
      </c>
      <c r="E20" s="14">
        <f>6*B20*(1-B20)</f>
        <v/>
      </c>
      <c r="F20" s="13">
        <f>IF(D20&lt;=E20,1,0)</f>
        <v/>
      </c>
      <c r="G20" s="14">
        <f>IF(F20=1,B20,-1)</f>
        <v/>
      </c>
      <c r="H20" s="14">
        <f>IF(F20=0,B20,-1)</f>
        <v/>
      </c>
    </row>
    <row r="21">
      <c r="A21" s="13" t="n">
        <v>17</v>
      </c>
      <c r="B21" s="14">
        <f>RAND()</f>
        <v/>
      </c>
      <c r="C21" s="14">
        <f>RAND()</f>
        <v/>
      </c>
      <c r="D21" s="14">
        <f>$K$4*C21</f>
        <v/>
      </c>
      <c r="E21" s="14">
        <f>6*B21*(1-B21)</f>
        <v/>
      </c>
      <c r="F21" s="13">
        <f>IF(D21&lt;=E21,1,0)</f>
        <v/>
      </c>
      <c r="G21" s="14">
        <f>IF(F21=1,B21,-1)</f>
        <v/>
      </c>
      <c r="H21" s="14">
        <f>IF(F21=0,B21,-1)</f>
        <v/>
      </c>
    </row>
    <row r="22">
      <c r="A22" s="13" t="n">
        <v>18</v>
      </c>
      <c r="B22" s="14">
        <f>RAND()</f>
        <v/>
      </c>
      <c r="C22" s="14">
        <f>RAND()</f>
        <v/>
      </c>
      <c r="D22" s="14">
        <f>$K$4*C22</f>
        <v/>
      </c>
      <c r="E22" s="14">
        <f>6*B22*(1-B22)</f>
        <v/>
      </c>
      <c r="F22" s="13">
        <f>IF(D22&lt;=E22,1,0)</f>
        <v/>
      </c>
      <c r="G22" s="14">
        <f>IF(F22=1,B22,-1)</f>
        <v/>
      </c>
      <c r="H22" s="14">
        <f>IF(F22=0,B22,-1)</f>
        <v/>
      </c>
    </row>
    <row r="23">
      <c r="A23" s="13" t="n">
        <v>19</v>
      </c>
      <c r="B23" s="14">
        <f>RAND()</f>
        <v/>
      </c>
      <c r="C23" s="14">
        <f>RAND()</f>
        <v/>
      </c>
      <c r="D23" s="14">
        <f>$K$4*C23</f>
        <v/>
      </c>
      <c r="E23" s="14">
        <f>6*B23*(1-B23)</f>
        <v/>
      </c>
      <c r="F23" s="13">
        <f>IF(D23&lt;=E23,1,0)</f>
        <v/>
      </c>
      <c r="G23" s="14">
        <f>IF(F23=1,B23,-1)</f>
        <v/>
      </c>
      <c r="H23" s="14">
        <f>IF(F23=0,B23,-1)</f>
        <v/>
      </c>
    </row>
    <row r="24">
      <c r="A24" s="13" t="n">
        <v>20</v>
      </c>
      <c r="B24" s="14">
        <f>RAND()</f>
        <v/>
      </c>
      <c r="C24" s="14">
        <f>RAND()</f>
        <v/>
      </c>
      <c r="D24" s="14">
        <f>$K$4*C24</f>
        <v/>
      </c>
      <c r="E24" s="14">
        <f>6*B24*(1-B24)</f>
        <v/>
      </c>
      <c r="F24" s="13">
        <f>IF(D24&lt;=E24,1,0)</f>
        <v/>
      </c>
      <c r="G24" s="14">
        <f>IF(F24=1,B24,-1)</f>
        <v/>
      </c>
      <c r="H24" s="14">
        <f>IF(F24=0,B24,-1)</f>
        <v/>
      </c>
    </row>
    <row r="25">
      <c r="A25" s="13" t="n">
        <v>21</v>
      </c>
      <c r="B25" s="14">
        <f>RAND()</f>
        <v/>
      </c>
      <c r="C25" s="14">
        <f>RAND()</f>
        <v/>
      </c>
      <c r="D25" s="14">
        <f>$K$4*C25</f>
        <v/>
      </c>
      <c r="E25" s="14">
        <f>6*B25*(1-B25)</f>
        <v/>
      </c>
      <c r="F25" s="13">
        <f>IF(D25&lt;=E25,1,0)</f>
        <v/>
      </c>
      <c r="G25" s="14">
        <f>IF(F25=1,B25,-1)</f>
        <v/>
      </c>
      <c r="H25" s="14">
        <f>IF(F25=0,B25,-1)</f>
        <v/>
      </c>
    </row>
    <row r="26">
      <c r="A26" s="13" t="n">
        <v>22</v>
      </c>
      <c r="B26" s="14">
        <f>RAND()</f>
        <v/>
      </c>
      <c r="C26" s="14">
        <f>RAND()</f>
        <v/>
      </c>
      <c r="D26" s="14">
        <f>$K$4*C26</f>
        <v/>
      </c>
      <c r="E26" s="14">
        <f>6*B26*(1-B26)</f>
        <v/>
      </c>
      <c r="F26" s="13">
        <f>IF(D26&lt;=E26,1,0)</f>
        <v/>
      </c>
      <c r="G26" s="14">
        <f>IF(F26=1,B26,-1)</f>
        <v/>
      </c>
      <c r="H26" s="14">
        <f>IF(F26=0,B26,-1)</f>
        <v/>
      </c>
    </row>
    <row r="27">
      <c r="A27" s="13" t="n">
        <v>23</v>
      </c>
      <c r="B27" s="14">
        <f>RAND()</f>
        <v/>
      </c>
      <c r="C27" s="14">
        <f>RAND()</f>
        <v/>
      </c>
      <c r="D27" s="14">
        <f>$K$4*C27</f>
        <v/>
      </c>
      <c r="E27" s="14">
        <f>6*B27*(1-B27)</f>
        <v/>
      </c>
      <c r="F27" s="13">
        <f>IF(D27&lt;=E27,1,0)</f>
        <v/>
      </c>
      <c r="G27" s="14">
        <f>IF(F27=1,B27,-1)</f>
        <v/>
      </c>
      <c r="H27" s="14">
        <f>IF(F27=0,B27,-1)</f>
        <v/>
      </c>
    </row>
    <row r="28">
      <c r="A28" s="13" t="n">
        <v>24</v>
      </c>
      <c r="B28" s="14">
        <f>RAND()</f>
        <v/>
      </c>
      <c r="C28" s="14">
        <f>RAND()</f>
        <v/>
      </c>
      <c r="D28" s="14">
        <f>$K$4*C28</f>
        <v/>
      </c>
      <c r="E28" s="14">
        <f>6*B28*(1-B28)</f>
        <v/>
      </c>
      <c r="F28" s="13">
        <f>IF(D28&lt;=E28,1,0)</f>
        <v/>
      </c>
      <c r="G28" s="14">
        <f>IF(F28=1,B28,-1)</f>
        <v/>
      </c>
      <c r="H28" s="14">
        <f>IF(F28=0,B28,-1)</f>
        <v/>
      </c>
    </row>
    <row r="29">
      <c r="A29" s="13" t="n">
        <v>25</v>
      </c>
      <c r="B29" s="14">
        <f>RAND()</f>
        <v/>
      </c>
      <c r="C29" s="14">
        <f>RAND()</f>
        <v/>
      </c>
      <c r="D29" s="14">
        <f>$K$4*C29</f>
        <v/>
      </c>
      <c r="E29" s="14">
        <f>6*B29*(1-B29)</f>
        <v/>
      </c>
      <c r="F29" s="13">
        <f>IF(D29&lt;=E29,1,0)</f>
        <v/>
      </c>
      <c r="G29" s="14">
        <f>IF(F29=1,B29,-1)</f>
        <v/>
      </c>
      <c r="H29" s="14">
        <f>IF(F29=0,B29,-1)</f>
        <v/>
      </c>
    </row>
    <row r="30">
      <c r="A30" s="13" t="n">
        <v>26</v>
      </c>
      <c r="B30" s="14">
        <f>RAND()</f>
        <v/>
      </c>
      <c r="C30" s="14">
        <f>RAND()</f>
        <v/>
      </c>
      <c r="D30" s="14">
        <f>$K$4*C30</f>
        <v/>
      </c>
      <c r="E30" s="14">
        <f>6*B30*(1-B30)</f>
        <v/>
      </c>
      <c r="F30" s="13">
        <f>IF(D30&lt;=E30,1,0)</f>
        <v/>
      </c>
      <c r="G30" s="14">
        <f>IF(F30=1,B30,-1)</f>
        <v/>
      </c>
      <c r="H30" s="14">
        <f>IF(F30=0,B30,-1)</f>
        <v/>
      </c>
    </row>
    <row r="31">
      <c r="A31" s="13" t="n">
        <v>27</v>
      </c>
      <c r="B31" s="14">
        <f>RAND()</f>
        <v/>
      </c>
      <c r="C31" s="14">
        <f>RAND()</f>
        <v/>
      </c>
      <c r="D31" s="14">
        <f>$K$4*C31</f>
        <v/>
      </c>
      <c r="E31" s="14">
        <f>6*B31*(1-B31)</f>
        <v/>
      </c>
      <c r="F31" s="13">
        <f>IF(D31&lt;=E31,1,0)</f>
        <v/>
      </c>
      <c r="G31" s="14">
        <f>IF(F31=1,B31,-1)</f>
        <v/>
      </c>
      <c r="H31" s="14">
        <f>IF(F31=0,B31,-1)</f>
        <v/>
      </c>
    </row>
    <row r="32">
      <c r="A32" s="13" t="n">
        <v>28</v>
      </c>
      <c r="B32" s="14">
        <f>RAND()</f>
        <v/>
      </c>
      <c r="C32" s="14">
        <f>RAND()</f>
        <v/>
      </c>
      <c r="D32" s="14">
        <f>$K$4*C32</f>
        <v/>
      </c>
      <c r="E32" s="14">
        <f>6*B32*(1-B32)</f>
        <v/>
      </c>
      <c r="F32" s="13">
        <f>IF(D32&lt;=E32,1,0)</f>
        <v/>
      </c>
      <c r="G32" s="14">
        <f>IF(F32=1,B32,-1)</f>
        <v/>
      </c>
      <c r="H32" s="14">
        <f>IF(F32=0,B32,-1)</f>
        <v/>
      </c>
    </row>
    <row r="33">
      <c r="A33" s="13" t="n">
        <v>29</v>
      </c>
      <c r="B33" s="14">
        <f>RAND()</f>
        <v/>
      </c>
      <c r="C33" s="14">
        <f>RAND()</f>
        <v/>
      </c>
      <c r="D33" s="14">
        <f>$K$4*C33</f>
        <v/>
      </c>
      <c r="E33" s="14">
        <f>6*B33*(1-B33)</f>
        <v/>
      </c>
      <c r="F33" s="13">
        <f>IF(D33&lt;=E33,1,0)</f>
        <v/>
      </c>
      <c r="G33" s="14">
        <f>IF(F33=1,B33,-1)</f>
        <v/>
      </c>
      <c r="H33" s="14">
        <f>IF(F33=0,B33,-1)</f>
        <v/>
      </c>
    </row>
    <row r="34">
      <c r="A34" s="13" t="n">
        <v>30</v>
      </c>
      <c r="B34" s="14">
        <f>RAND()</f>
        <v/>
      </c>
      <c r="C34" s="14">
        <f>RAND()</f>
        <v/>
      </c>
      <c r="D34" s="14">
        <f>$K$4*C34</f>
        <v/>
      </c>
      <c r="E34" s="14">
        <f>6*B34*(1-B34)</f>
        <v/>
      </c>
      <c r="F34" s="13">
        <f>IF(D34&lt;=E34,1,0)</f>
        <v/>
      </c>
      <c r="G34" s="14">
        <f>IF(F34=1,B34,-1)</f>
        <v/>
      </c>
      <c r="H34" s="14">
        <f>IF(F34=0,B34,-1)</f>
        <v/>
      </c>
    </row>
    <row r="35">
      <c r="A35" s="13" t="n">
        <v>31</v>
      </c>
      <c r="B35" s="14">
        <f>RAND()</f>
        <v/>
      </c>
      <c r="C35" s="14">
        <f>RAND()</f>
        <v/>
      </c>
      <c r="D35" s="14">
        <f>$K$4*C35</f>
        <v/>
      </c>
      <c r="E35" s="14">
        <f>6*B35*(1-B35)</f>
        <v/>
      </c>
      <c r="F35" s="13">
        <f>IF(D35&lt;=E35,1,0)</f>
        <v/>
      </c>
      <c r="G35" s="14">
        <f>IF(F35=1,B35,-1)</f>
        <v/>
      </c>
      <c r="H35" s="14">
        <f>IF(F35=0,B35,-1)</f>
        <v/>
      </c>
    </row>
    <row r="36">
      <c r="A36" s="13" t="n">
        <v>32</v>
      </c>
      <c r="B36" s="14">
        <f>RAND()</f>
        <v/>
      </c>
      <c r="C36" s="14">
        <f>RAND()</f>
        <v/>
      </c>
      <c r="D36" s="14">
        <f>$K$4*C36</f>
        <v/>
      </c>
      <c r="E36" s="14">
        <f>6*B36*(1-B36)</f>
        <v/>
      </c>
      <c r="F36" s="13">
        <f>IF(D36&lt;=E36,1,0)</f>
        <v/>
      </c>
      <c r="G36" s="14">
        <f>IF(F36=1,B36,-1)</f>
        <v/>
      </c>
      <c r="H36" s="14">
        <f>IF(F36=0,B36,-1)</f>
        <v/>
      </c>
    </row>
    <row r="37">
      <c r="A37" s="13" t="n">
        <v>33</v>
      </c>
      <c r="B37" s="14">
        <f>RAND()</f>
        <v/>
      </c>
      <c r="C37" s="14">
        <f>RAND()</f>
        <v/>
      </c>
      <c r="D37" s="14">
        <f>$K$4*C37</f>
        <v/>
      </c>
      <c r="E37" s="14">
        <f>6*B37*(1-B37)</f>
        <v/>
      </c>
      <c r="F37" s="13">
        <f>IF(D37&lt;=E37,1,0)</f>
        <v/>
      </c>
      <c r="G37" s="14">
        <f>IF(F37=1,B37,-1)</f>
        <v/>
      </c>
      <c r="H37" s="14">
        <f>IF(F37=0,B37,-1)</f>
        <v/>
      </c>
    </row>
    <row r="38">
      <c r="A38" s="13" t="n">
        <v>34</v>
      </c>
      <c r="B38" s="14">
        <f>RAND()</f>
        <v/>
      </c>
      <c r="C38" s="14">
        <f>RAND()</f>
        <v/>
      </c>
      <c r="D38" s="14">
        <f>$K$4*C38</f>
        <v/>
      </c>
      <c r="E38" s="14">
        <f>6*B38*(1-B38)</f>
        <v/>
      </c>
      <c r="F38" s="13">
        <f>IF(D38&lt;=E38,1,0)</f>
        <v/>
      </c>
      <c r="G38" s="14">
        <f>IF(F38=1,B38,-1)</f>
        <v/>
      </c>
      <c r="H38" s="14">
        <f>IF(F38=0,B38,-1)</f>
        <v/>
      </c>
    </row>
    <row r="39">
      <c r="A39" s="13" t="n">
        <v>35</v>
      </c>
      <c r="B39" s="14">
        <f>RAND()</f>
        <v/>
      </c>
      <c r="C39" s="14">
        <f>RAND()</f>
        <v/>
      </c>
      <c r="D39" s="14">
        <f>$K$4*C39</f>
        <v/>
      </c>
      <c r="E39" s="14">
        <f>6*B39*(1-B39)</f>
        <v/>
      </c>
      <c r="F39" s="13">
        <f>IF(D39&lt;=E39,1,0)</f>
        <v/>
      </c>
      <c r="G39" s="14">
        <f>IF(F39=1,B39,-1)</f>
        <v/>
      </c>
      <c r="H39" s="14">
        <f>IF(F39=0,B39,-1)</f>
        <v/>
      </c>
    </row>
    <row r="40">
      <c r="A40" s="13" t="n">
        <v>36</v>
      </c>
      <c r="B40" s="14">
        <f>RAND()</f>
        <v/>
      </c>
      <c r="C40" s="14">
        <f>RAND()</f>
        <v/>
      </c>
      <c r="D40" s="14">
        <f>$K$4*C40</f>
        <v/>
      </c>
      <c r="E40" s="14">
        <f>6*B40*(1-B40)</f>
        <v/>
      </c>
      <c r="F40" s="13">
        <f>IF(D40&lt;=E40,1,0)</f>
        <v/>
      </c>
      <c r="G40" s="14">
        <f>IF(F40=1,B40,-1)</f>
        <v/>
      </c>
      <c r="H40" s="14">
        <f>IF(F40=0,B40,-1)</f>
        <v/>
      </c>
    </row>
    <row r="41">
      <c r="A41" s="13" t="n">
        <v>37</v>
      </c>
      <c r="B41" s="14">
        <f>RAND()</f>
        <v/>
      </c>
      <c r="C41" s="14">
        <f>RAND()</f>
        <v/>
      </c>
      <c r="D41" s="14">
        <f>$K$4*C41</f>
        <v/>
      </c>
      <c r="E41" s="14">
        <f>6*B41*(1-B41)</f>
        <v/>
      </c>
      <c r="F41" s="13">
        <f>IF(D41&lt;=E41,1,0)</f>
        <v/>
      </c>
      <c r="G41" s="14">
        <f>IF(F41=1,B41,-1)</f>
        <v/>
      </c>
      <c r="H41" s="14">
        <f>IF(F41=0,B41,-1)</f>
        <v/>
      </c>
    </row>
    <row r="42">
      <c r="A42" s="13" t="n">
        <v>38</v>
      </c>
      <c r="B42" s="14">
        <f>RAND()</f>
        <v/>
      </c>
      <c r="C42" s="14">
        <f>RAND()</f>
        <v/>
      </c>
      <c r="D42" s="14">
        <f>$K$4*C42</f>
        <v/>
      </c>
      <c r="E42" s="14">
        <f>6*B42*(1-B42)</f>
        <v/>
      </c>
      <c r="F42" s="13">
        <f>IF(D42&lt;=E42,1,0)</f>
        <v/>
      </c>
      <c r="G42" s="14">
        <f>IF(F42=1,B42,-1)</f>
        <v/>
      </c>
      <c r="H42" s="14">
        <f>IF(F42=0,B42,-1)</f>
        <v/>
      </c>
    </row>
    <row r="43">
      <c r="A43" s="13" t="n">
        <v>39</v>
      </c>
      <c r="B43" s="14">
        <f>RAND()</f>
        <v/>
      </c>
      <c r="C43" s="14">
        <f>RAND()</f>
        <v/>
      </c>
      <c r="D43" s="14">
        <f>$K$4*C43</f>
        <v/>
      </c>
      <c r="E43" s="14">
        <f>6*B43*(1-B43)</f>
        <v/>
      </c>
      <c r="F43" s="13">
        <f>IF(D43&lt;=E43,1,0)</f>
        <v/>
      </c>
      <c r="G43" s="14">
        <f>IF(F43=1,B43,-1)</f>
        <v/>
      </c>
      <c r="H43" s="14">
        <f>IF(F43=0,B43,-1)</f>
        <v/>
      </c>
    </row>
    <row r="44">
      <c r="A44" s="13" t="n">
        <v>40</v>
      </c>
      <c r="B44" s="14">
        <f>RAND()</f>
        <v/>
      </c>
      <c r="C44" s="14">
        <f>RAND()</f>
        <v/>
      </c>
      <c r="D44" s="14">
        <f>$K$4*C44</f>
        <v/>
      </c>
      <c r="E44" s="14">
        <f>6*B44*(1-B44)</f>
        <v/>
      </c>
      <c r="F44" s="13">
        <f>IF(D44&lt;=E44,1,0)</f>
        <v/>
      </c>
      <c r="G44" s="14">
        <f>IF(F44=1,B44,-1)</f>
        <v/>
      </c>
      <c r="H44" s="14">
        <f>IF(F44=0,B44,-1)</f>
        <v/>
      </c>
    </row>
    <row r="45">
      <c r="A45" s="13" t="n">
        <v>41</v>
      </c>
      <c r="B45" s="14">
        <f>RAND()</f>
        <v/>
      </c>
      <c r="C45" s="14">
        <f>RAND()</f>
        <v/>
      </c>
      <c r="D45" s="14">
        <f>$K$4*C45</f>
        <v/>
      </c>
      <c r="E45" s="14">
        <f>6*B45*(1-B45)</f>
        <v/>
      </c>
      <c r="F45" s="13">
        <f>IF(D45&lt;=E45,1,0)</f>
        <v/>
      </c>
      <c r="G45" s="14">
        <f>IF(F45=1,B45,-1)</f>
        <v/>
      </c>
      <c r="H45" s="14">
        <f>IF(F45=0,B45,-1)</f>
        <v/>
      </c>
    </row>
    <row r="46">
      <c r="A46" s="13" t="n">
        <v>42</v>
      </c>
      <c r="B46" s="14">
        <f>RAND()</f>
        <v/>
      </c>
      <c r="C46" s="14">
        <f>RAND()</f>
        <v/>
      </c>
      <c r="D46" s="14">
        <f>$K$4*C46</f>
        <v/>
      </c>
      <c r="E46" s="14">
        <f>6*B46*(1-B46)</f>
        <v/>
      </c>
      <c r="F46" s="13">
        <f>IF(D46&lt;=E46,1,0)</f>
        <v/>
      </c>
      <c r="G46" s="14">
        <f>IF(F46=1,B46,-1)</f>
        <v/>
      </c>
      <c r="H46" s="14">
        <f>IF(F46=0,B46,-1)</f>
        <v/>
      </c>
    </row>
    <row r="47">
      <c r="A47" s="13" t="n">
        <v>43</v>
      </c>
      <c r="B47" s="14">
        <f>RAND()</f>
        <v/>
      </c>
      <c r="C47" s="14">
        <f>RAND()</f>
        <v/>
      </c>
      <c r="D47" s="14">
        <f>$K$4*C47</f>
        <v/>
      </c>
      <c r="E47" s="14">
        <f>6*B47*(1-B47)</f>
        <v/>
      </c>
      <c r="F47" s="13">
        <f>IF(D47&lt;=E47,1,0)</f>
        <v/>
      </c>
      <c r="G47" s="14">
        <f>IF(F47=1,B47,-1)</f>
        <v/>
      </c>
      <c r="H47" s="14">
        <f>IF(F47=0,B47,-1)</f>
        <v/>
      </c>
    </row>
    <row r="48">
      <c r="A48" s="13" t="n">
        <v>44</v>
      </c>
      <c r="B48" s="14">
        <f>RAND()</f>
        <v/>
      </c>
      <c r="C48" s="14">
        <f>RAND()</f>
        <v/>
      </c>
      <c r="D48" s="14">
        <f>$K$4*C48</f>
        <v/>
      </c>
      <c r="E48" s="14">
        <f>6*B48*(1-B48)</f>
        <v/>
      </c>
      <c r="F48" s="13">
        <f>IF(D48&lt;=E48,1,0)</f>
        <v/>
      </c>
      <c r="G48" s="14">
        <f>IF(F48=1,B48,-1)</f>
        <v/>
      </c>
      <c r="H48" s="14">
        <f>IF(F48=0,B48,-1)</f>
        <v/>
      </c>
    </row>
    <row r="49">
      <c r="A49" s="13" t="n">
        <v>45</v>
      </c>
      <c r="B49" s="14">
        <f>RAND()</f>
        <v/>
      </c>
      <c r="C49" s="14">
        <f>RAND()</f>
        <v/>
      </c>
      <c r="D49" s="14">
        <f>$K$4*C49</f>
        <v/>
      </c>
      <c r="E49" s="14">
        <f>6*B49*(1-B49)</f>
        <v/>
      </c>
      <c r="F49" s="13">
        <f>IF(D49&lt;=E49,1,0)</f>
        <v/>
      </c>
      <c r="G49" s="14">
        <f>IF(F49=1,B49,-1)</f>
        <v/>
      </c>
      <c r="H49" s="14">
        <f>IF(F49=0,B49,-1)</f>
        <v/>
      </c>
    </row>
    <row r="50">
      <c r="A50" s="13" t="n">
        <v>46</v>
      </c>
      <c r="B50" s="14">
        <f>RAND()</f>
        <v/>
      </c>
      <c r="C50" s="14">
        <f>RAND()</f>
        <v/>
      </c>
      <c r="D50" s="14">
        <f>$K$4*C50</f>
        <v/>
      </c>
      <c r="E50" s="14">
        <f>6*B50*(1-B50)</f>
        <v/>
      </c>
      <c r="F50" s="13">
        <f>IF(D50&lt;=E50,1,0)</f>
        <v/>
      </c>
      <c r="G50" s="14">
        <f>IF(F50=1,B50,-1)</f>
        <v/>
      </c>
      <c r="H50" s="14">
        <f>IF(F50=0,B50,-1)</f>
        <v/>
      </c>
    </row>
    <row r="51">
      <c r="A51" s="13" t="n">
        <v>47</v>
      </c>
      <c r="B51" s="14">
        <f>RAND()</f>
        <v/>
      </c>
      <c r="C51" s="14">
        <f>RAND()</f>
        <v/>
      </c>
      <c r="D51" s="14">
        <f>$K$4*C51</f>
        <v/>
      </c>
      <c r="E51" s="14">
        <f>6*B51*(1-B51)</f>
        <v/>
      </c>
      <c r="F51" s="13">
        <f>IF(D51&lt;=E51,1,0)</f>
        <v/>
      </c>
      <c r="G51" s="14">
        <f>IF(F51=1,B51,-1)</f>
        <v/>
      </c>
      <c r="H51" s="14">
        <f>IF(F51=0,B51,-1)</f>
        <v/>
      </c>
    </row>
    <row r="52">
      <c r="A52" s="13" t="n">
        <v>48</v>
      </c>
      <c r="B52" s="14">
        <f>RAND()</f>
        <v/>
      </c>
      <c r="C52" s="14">
        <f>RAND()</f>
        <v/>
      </c>
      <c r="D52" s="14">
        <f>$K$4*C52</f>
        <v/>
      </c>
      <c r="E52" s="14">
        <f>6*B52*(1-B52)</f>
        <v/>
      </c>
      <c r="F52" s="13">
        <f>IF(D52&lt;=E52,1,0)</f>
        <v/>
      </c>
      <c r="G52" s="14">
        <f>IF(F52=1,B52,-1)</f>
        <v/>
      </c>
      <c r="H52" s="14">
        <f>IF(F52=0,B52,-1)</f>
        <v/>
      </c>
    </row>
    <row r="53">
      <c r="A53" s="13" t="n">
        <v>49</v>
      </c>
      <c r="B53" s="14">
        <f>RAND()</f>
        <v/>
      </c>
      <c r="C53" s="14">
        <f>RAND()</f>
        <v/>
      </c>
      <c r="D53" s="14">
        <f>$K$4*C53</f>
        <v/>
      </c>
      <c r="E53" s="14">
        <f>6*B53*(1-B53)</f>
        <v/>
      </c>
      <c r="F53" s="13">
        <f>IF(D53&lt;=E53,1,0)</f>
        <v/>
      </c>
      <c r="G53" s="14">
        <f>IF(F53=1,B53,-1)</f>
        <v/>
      </c>
      <c r="H53" s="14">
        <f>IF(F53=0,B53,-1)</f>
        <v/>
      </c>
    </row>
    <row r="54">
      <c r="A54" s="13" t="n">
        <v>50</v>
      </c>
      <c r="B54" s="14">
        <f>RAND()</f>
        <v/>
      </c>
      <c r="C54" s="14">
        <f>RAND()</f>
        <v/>
      </c>
      <c r="D54" s="14">
        <f>$K$4*C54</f>
        <v/>
      </c>
      <c r="E54" s="14">
        <f>6*B54*(1-B54)</f>
        <v/>
      </c>
      <c r="F54" s="13">
        <f>IF(D54&lt;=E54,1,0)</f>
        <v/>
      </c>
      <c r="G54" s="14">
        <f>IF(F54=1,B54,-1)</f>
        <v/>
      </c>
      <c r="H54" s="14">
        <f>IF(F54=0,B54,-1)</f>
        <v/>
      </c>
    </row>
    <row r="55">
      <c r="A55" s="13" t="n">
        <v>51</v>
      </c>
      <c r="B55" s="14">
        <f>RAND()</f>
        <v/>
      </c>
      <c r="C55" s="14">
        <f>RAND()</f>
        <v/>
      </c>
      <c r="D55" s="14">
        <f>$K$4*C55</f>
        <v/>
      </c>
      <c r="E55" s="14">
        <f>6*B55*(1-B55)</f>
        <v/>
      </c>
      <c r="F55" s="13">
        <f>IF(D55&lt;=E55,1,0)</f>
        <v/>
      </c>
      <c r="G55" s="14">
        <f>IF(F55=1,B55,-1)</f>
        <v/>
      </c>
      <c r="H55" s="14">
        <f>IF(F55=0,B55,-1)</f>
        <v/>
      </c>
    </row>
    <row r="56">
      <c r="A56" s="13" t="n">
        <v>52</v>
      </c>
      <c r="B56" s="14">
        <f>RAND()</f>
        <v/>
      </c>
      <c r="C56" s="14">
        <f>RAND()</f>
        <v/>
      </c>
      <c r="D56" s="14">
        <f>$K$4*C56</f>
        <v/>
      </c>
      <c r="E56" s="14">
        <f>6*B56*(1-B56)</f>
        <v/>
      </c>
      <c r="F56" s="13">
        <f>IF(D56&lt;=E56,1,0)</f>
        <v/>
      </c>
      <c r="G56" s="14">
        <f>IF(F56=1,B56,-1)</f>
        <v/>
      </c>
      <c r="H56" s="14">
        <f>IF(F56=0,B56,-1)</f>
        <v/>
      </c>
    </row>
    <row r="57">
      <c r="A57" s="13" t="n">
        <v>53</v>
      </c>
      <c r="B57" s="14">
        <f>RAND()</f>
        <v/>
      </c>
      <c r="C57" s="14">
        <f>RAND()</f>
        <v/>
      </c>
      <c r="D57" s="14">
        <f>$K$4*C57</f>
        <v/>
      </c>
      <c r="E57" s="14">
        <f>6*B57*(1-B57)</f>
        <v/>
      </c>
      <c r="F57" s="13">
        <f>IF(D57&lt;=E57,1,0)</f>
        <v/>
      </c>
      <c r="G57" s="14">
        <f>IF(F57=1,B57,-1)</f>
        <v/>
      </c>
      <c r="H57" s="14">
        <f>IF(F57=0,B57,-1)</f>
        <v/>
      </c>
    </row>
    <row r="58">
      <c r="A58" s="13" t="n">
        <v>54</v>
      </c>
      <c r="B58" s="14">
        <f>RAND()</f>
        <v/>
      </c>
      <c r="C58" s="14">
        <f>RAND()</f>
        <v/>
      </c>
      <c r="D58" s="14">
        <f>$K$4*C58</f>
        <v/>
      </c>
      <c r="E58" s="14">
        <f>6*B58*(1-B58)</f>
        <v/>
      </c>
      <c r="F58" s="13">
        <f>IF(D58&lt;=E58,1,0)</f>
        <v/>
      </c>
      <c r="G58" s="14">
        <f>IF(F58=1,B58,-1)</f>
        <v/>
      </c>
      <c r="H58" s="14">
        <f>IF(F58=0,B58,-1)</f>
        <v/>
      </c>
    </row>
    <row r="59">
      <c r="A59" s="13" t="n">
        <v>55</v>
      </c>
      <c r="B59" s="14">
        <f>RAND()</f>
        <v/>
      </c>
      <c r="C59" s="14">
        <f>RAND()</f>
        <v/>
      </c>
      <c r="D59" s="14">
        <f>$K$4*C59</f>
        <v/>
      </c>
      <c r="E59" s="14">
        <f>6*B59*(1-B59)</f>
        <v/>
      </c>
      <c r="F59" s="13">
        <f>IF(D59&lt;=E59,1,0)</f>
        <v/>
      </c>
      <c r="G59" s="14">
        <f>IF(F59=1,B59,-1)</f>
        <v/>
      </c>
      <c r="H59" s="14">
        <f>IF(F59=0,B59,-1)</f>
        <v/>
      </c>
    </row>
    <row r="60">
      <c r="A60" s="13" t="n">
        <v>56</v>
      </c>
      <c r="B60" s="14">
        <f>RAND()</f>
        <v/>
      </c>
      <c r="C60" s="14">
        <f>RAND()</f>
        <v/>
      </c>
      <c r="D60" s="14">
        <f>$K$4*C60</f>
        <v/>
      </c>
      <c r="E60" s="14">
        <f>6*B60*(1-B60)</f>
        <v/>
      </c>
      <c r="F60" s="13">
        <f>IF(D60&lt;=E60,1,0)</f>
        <v/>
      </c>
      <c r="G60" s="14">
        <f>IF(F60=1,B60,-1)</f>
        <v/>
      </c>
      <c r="H60" s="14">
        <f>IF(F60=0,B60,-1)</f>
        <v/>
      </c>
    </row>
    <row r="61">
      <c r="A61" s="13" t="n">
        <v>57</v>
      </c>
      <c r="B61" s="14">
        <f>RAND()</f>
        <v/>
      </c>
      <c r="C61" s="14">
        <f>RAND()</f>
        <v/>
      </c>
      <c r="D61" s="14">
        <f>$K$4*C61</f>
        <v/>
      </c>
      <c r="E61" s="14">
        <f>6*B61*(1-B61)</f>
        <v/>
      </c>
      <c r="F61" s="13">
        <f>IF(D61&lt;=E61,1,0)</f>
        <v/>
      </c>
      <c r="G61" s="14">
        <f>IF(F61=1,B61,-1)</f>
        <v/>
      </c>
      <c r="H61" s="14">
        <f>IF(F61=0,B61,-1)</f>
        <v/>
      </c>
    </row>
    <row r="62">
      <c r="A62" s="13" t="n">
        <v>58</v>
      </c>
      <c r="B62" s="14">
        <f>RAND()</f>
        <v/>
      </c>
      <c r="C62" s="14">
        <f>RAND()</f>
        <v/>
      </c>
      <c r="D62" s="14">
        <f>$K$4*C62</f>
        <v/>
      </c>
      <c r="E62" s="14">
        <f>6*B62*(1-B62)</f>
        <v/>
      </c>
      <c r="F62" s="13">
        <f>IF(D62&lt;=E62,1,0)</f>
        <v/>
      </c>
      <c r="G62" s="14">
        <f>IF(F62=1,B62,-1)</f>
        <v/>
      </c>
      <c r="H62" s="14">
        <f>IF(F62=0,B62,-1)</f>
        <v/>
      </c>
    </row>
    <row r="63">
      <c r="A63" s="13" t="n">
        <v>59</v>
      </c>
      <c r="B63" s="14">
        <f>RAND()</f>
        <v/>
      </c>
      <c r="C63" s="14">
        <f>RAND()</f>
        <v/>
      </c>
      <c r="D63" s="14">
        <f>$K$4*C63</f>
        <v/>
      </c>
      <c r="E63" s="14">
        <f>6*B63*(1-B63)</f>
        <v/>
      </c>
      <c r="F63" s="13">
        <f>IF(D63&lt;=E63,1,0)</f>
        <v/>
      </c>
      <c r="G63" s="14">
        <f>IF(F63=1,B63,-1)</f>
        <v/>
      </c>
      <c r="H63" s="14">
        <f>IF(F63=0,B63,-1)</f>
        <v/>
      </c>
    </row>
    <row r="64">
      <c r="A64" s="13" t="n">
        <v>60</v>
      </c>
      <c r="B64" s="14">
        <f>RAND()</f>
        <v/>
      </c>
      <c r="C64" s="14">
        <f>RAND()</f>
        <v/>
      </c>
      <c r="D64" s="14">
        <f>$K$4*C64</f>
        <v/>
      </c>
      <c r="E64" s="14">
        <f>6*B64*(1-B64)</f>
        <v/>
      </c>
      <c r="F64" s="13">
        <f>IF(D64&lt;=E64,1,0)</f>
        <v/>
      </c>
      <c r="G64" s="14">
        <f>IF(F64=1,B64,-1)</f>
        <v/>
      </c>
      <c r="H64" s="14">
        <f>IF(F64=0,B64,-1)</f>
        <v/>
      </c>
    </row>
    <row r="65">
      <c r="A65" s="13" t="n">
        <v>61</v>
      </c>
      <c r="B65" s="14">
        <f>RAND()</f>
        <v/>
      </c>
      <c r="C65" s="14">
        <f>RAND()</f>
        <v/>
      </c>
      <c r="D65" s="14">
        <f>$K$4*C65</f>
        <v/>
      </c>
      <c r="E65" s="14">
        <f>6*B65*(1-B65)</f>
        <v/>
      </c>
      <c r="F65" s="13">
        <f>IF(D65&lt;=E65,1,0)</f>
        <v/>
      </c>
      <c r="G65" s="14">
        <f>IF(F65=1,B65,-1)</f>
        <v/>
      </c>
      <c r="H65" s="14">
        <f>IF(F65=0,B65,-1)</f>
        <v/>
      </c>
    </row>
    <row r="66">
      <c r="A66" s="13" t="n">
        <v>62</v>
      </c>
      <c r="B66" s="14">
        <f>RAND()</f>
        <v/>
      </c>
      <c r="C66" s="14">
        <f>RAND()</f>
        <v/>
      </c>
      <c r="D66" s="14">
        <f>$K$4*C66</f>
        <v/>
      </c>
      <c r="E66" s="14">
        <f>6*B66*(1-B66)</f>
        <v/>
      </c>
      <c r="F66" s="13">
        <f>IF(D66&lt;=E66,1,0)</f>
        <v/>
      </c>
      <c r="G66" s="14">
        <f>IF(F66=1,B66,-1)</f>
        <v/>
      </c>
      <c r="H66" s="14">
        <f>IF(F66=0,B66,-1)</f>
        <v/>
      </c>
    </row>
    <row r="67">
      <c r="A67" s="13" t="n">
        <v>63</v>
      </c>
      <c r="B67" s="14">
        <f>RAND()</f>
        <v/>
      </c>
      <c r="C67" s="14">
        <f>RAND()</f>
        <v/>
      </c>
      <c r="D67" s="14">
        <f>$K$4*C67</f>
        <v/>
      </c>
      <c r="E67" s="14">
        <f>6*B67*(1-B67)</f>
        <v/>
      </c>
      <c r="F67" s="13">
        <f>IF(D67&lt;=E67,1,0)</f>
        <v/>
      </c>
      <c r="G67" s="14">
        <f>IF(F67=1,B67,-1)</f>
        <v/>
      </c>
      <c r="H67" s="14">
        <f>IF(F67=0,B67,-1)</f>
        <v/>
      </c>
    </row>
    <row r="68">
      <c r="A68" s="13" t="n">
        <v>64</v>
      </c>
      <c r="B68" s="14">
        <f>RAND()</f>
        <v/>
      </c>
      <c r="C68" s="14">
        <f>RAND()</f>
        <v/>
      </c>
      <c r="D68" s="14">
        <f>$K$4*C68</f>
        <v/>
      </c>
      <c r="E68" s="14">
        <f>6*B68*(1-B68)</f>
        <v/>
      </c>
      <c r="F68" s="13">
        <f>IF(D68&lt;=E68,1,0)</f>
        <v/>
      </c>
      <c r="G68" s="14">
        <f>IF(F68=1,B68,-1)</f>
        <v/>
      </c>
      <c r="H68" s="14">
        <f>IF(F68=0,B68,-1)</f>
        <v/>
      </c>
    </row>
    <row r="69">
      <c r="A69" s="13" t="n">
        <v>65</v>
      </c>
      <c r="B69" s="14">
        <f>RAND()</f>
        <v/>
      </c>
      <c r="C69" s="14">
        <f>RAND()</f>
        <v/>
      </c>
      <c r="D69" s="14">
        <f>$K$4*C69</f>
        <v/>
      </c>
      <c r="E69" s="14">
        <f>6*B69*(1-B69)</f>
        <v/>
      </c>
      <c r="F69" s="13">
        <f>IF(D69&lt;=E69,1,0)</f>
        <v/>
      </c>
      <c r="G69" s="14">
        <f>IF(F69=1,B69,-1)</f>
        <v/>
      </c>
      <c r="H69" s="14">
        <f>IF(F69=0,B69,-1)</f>
        <v/>
      </c>
    </row>
    <row r="70">
      <c r="A70" s="13" t="n">
        <v>66</v>
      </c>
      <c r="B70" s="14">
        <f>RAND()</f>
        <v/>
      </c>
      <c r="C70" s="14">
        <f>RAND()</f>
        <v/>
      </c>
      <c r="D70" s="14">
        <f>$K$4*C70</f>
        <v/>
      </c>
      <c r="E70" s="14">
        <f>6*B70*(1-B70)</f>
        <v/>
      </c>
      <c r="F70" s="13">
        <f>IF(D70&lt;=E70,1,0)</f>
        <v/>
      </c>
      <c r="G70" s="14">
        <f>IF(F70=1,B70,-1)</f>
        <v/>
      </c>
      <c r="H70" s="14">
        <f>IF(F70=0,B70,-1)</f>
        <v/>
      </c>
    </row>
    <row r="71">
      <c r="A71" s="13" t="n">
        <v>67</v>
      </c>
      <c r="B71" s="14">
        <f>RAND()</f>
        <v/>
      </c>
      <c r="C71" s="14">
        <f>RAND()</f>
        <v/>
      </c>
      <c r="D71" s="14">
        <f>$K$4*C71</f>
        <v/>
      </c>
      <c r="E71" s="14">
        <f>6*B71*(1-B71)</f>
        <v/>
      </c>
      <c r="F71" s="13">
        <f>IF(D71&lt;=E71,1,0)</f>
        <v/>
      </c>
      <c r="G71" s="14">
        <f>IF(F71=1,B71,-1)</f>
        <v/>
      </c>
      <c r="H71" s="14">
        <f>IF(F71=0,B71,-1)</f>
        <v/>
      </c>
    </row>
    <row r="72">
      <c r="A72" s="13" t="n">
        <v>68</v>
      </c>
      <c r="B72" s="14">
        <f>RAND()</f>
        <v/>
      </c>
      <c r="C72" s="14">
        <f>RAND()</f>
        <v/>
      </c>
      <c r="D72" s="14">
        <f>$K$4*C72</f>
        <v/>
      </c>
      <c r="E72" s="14">
        <f>6*B72*(1-B72)</f>
        <v/>
      </c>
      <c r="F72" s="13">
        <f>IF(D72&lt;=E72,1,0)</f>
        <v/>
      </c>
      <c r="G72" s="14">
        <f>IF(F72=1,B72,-1)</f>
        <v/>
      </c>
      <c r="H72" s="14">
        <f>IF(F72=0,B72,-1)</f>
        <v/>
      </c>
    </row>
    <row r="73">
      <c r="A73" s="13" t="n">
        <v>69</v>
      </c>
      <c r="B73" s="14">
        <f>RAND()</f>
        <v/>
      </c>
      <c r="C73" s="14">
        <f>RAND()</f>
        <v/>
      </c>
      <c r="D73" s="14">
        <f>$K$4*C73</f>
        <v/>
      </c>
      <c r="E73" s="14">
        <f>6*B73*(1-B73)</f>
        <v/>
      </c>
      <c r="F73" s="13">
        <f>IF(D73&lt;=E73,1,0)</f>
        <v/>
      </c>
      <c r="G73" s="14">
        <f>IF(F73=1,B73,-1)</f>
        <v/>
      </c>
      <c r="H73" s="14">
        <f>IF(F73=0,B73,-1)</f>
        <v/>
      </c>
    </row>
    <row r="74">
      <c r="A74" s="13" t="n">
        <v>70</v>
      </c>
      <c r="B74" s="14">
        <f>RAND()</f>
        <v/>
      </c>
      <c r="C74" s="14">
        <f>RAND()</f>
        <v/>
      </c>
      <c r="D74" s="14">
        <f>$K$4*C74</f>
        <v/>
      </c>
      <c r="E74" s="14">
        <f>6*B74*(1-B74)</f>
        <v/>
      </c>
      <c r="F74" s="13">
        <f>IF(D74&lt;=E74,1,0)</f>
        <v/>
      </c>
      <c r="G74" s="14">
        <f>IF(F74=1,B74,-1)</f>
        <v/>
      </c>
      <c r="H74" s="14">
        <f>IF(F74=0,B74,-1)</f>
        <v/>
      </c>
    </row>
    <row r="75">
      <c r="A75" s="13" t="n">
        <v>71</v>
      </c>
      <c r="B75" s="14">
        <f>RAND()</f>
        <v/>
      </c>
      <c r="C75" s="14">
        <f>RAND()</f>
        <v/>
      </c>
      <c r="D75" s="14">
        <f>$K$4*C75</f>
        <v/>
      </c>
      <c r="E75" s="14">
        <f>6*B75*(1-B75)</f>
        <v/>
      </c>
      <c r="F75" s="13">
        <f>IF(D75&lt;=E75,1,0)</f>
        <v/>
      </c>
      <c r="G75" s="14">
        <f>IF(F75=1,B75,-1)</f>
        <v/>
      </c>
      <c r="H75" s="14">
        <f>IF(F75=0,B75,-1)</f>
        <v/>
      </c>
    </row>
    <row r="76">
      <c r="A76" s="13" t="n">
        <v>72</v>
      </c>
      <c r="B76" s="14">
        <f>RAND()</f>
        <v/>
      </c>
      <c r="C76" s="14">
        <f>RAND()</f>
        <v/>
      </c>
      <c r="D76" s="14">
        <f>$K$4*C76</f>
        <v/>
      </c>
      <c r="E76" s="14">
        <f>6*B76*(1-B76)</f>
        <v/>
      </c>
      <c r="F76" s="13">
        <f>IF(D76&lt;=E76,1,0)</f>
        <v/>
      </c>
      <c r="G76" s="14">
        <f>IF(F76=1,B76,-1)</f>
        <v/>
      </c>
      <c r="H76" s="14">
        <f>IF(F76=0,B76,-1)</f>
        <v/>
      </c>
    </row>
    <row r="77">
      <c r="A77" s="13" t="n">
        <v>73</v>
      </c>
      <c r="B77" s="14">
        <f>RAND()</f>
        <v/>
      </c>
      <c r="C77" s="14">
        <f>RAND()</f>
        <v/>
      </c>
      <c r="D77" s="14">
        <f>$K$4*C77</f>
        <v/>
      </c>
      <c r="E77" s="14">
        <f>6*B77*(1-B77)</f>
        <v/>
      </c>
      <c r="F77" s="13">
        <f>IF(D77&lt;=E77,1,0)</f>
        <v/>
      </c>
      <c r="G77" s="14">
        <f>IF(F77=1,B77,-1)</f>
        <v/>
      </c>
      <c r="H77" s="14">
        <f>IF(F77=0,B77,-1)</f>
        <v/>
      </c>
    </row>
    <row r="78">
      <c r="A78" s="13" t="n">
        <v>74</v>
      </c>
      <c r="B78" s="14">
        <f>RAND()</f>
        <v/>
      </c>
      <c r="C78" s="14">
        <f>RAND()</f>
        <v/>
      </c>
      <c r="D78" s="14">
        <f>$K$4*C78</f>
        <v/>
      </c>
      <c r="E78" s="14">
        <f>6*B78*(1-B78)</f>
        <v/>
      </c>
      <c r="F78" s="13">
        <f>IF(D78&lt;=E78,1,0)</f>
        <v/>
      </c>
      <c r="G78" s="14">
        <f>IF(F78=1,B78,-1)</f>
        <v/>
      </c>
      <c r="H78" s="14">
        <f>IF(F78=0,B78,-1)</f>
        <v/>
      </c>
    </row>
    <row r="79">
      <c r="A79" s="13" t="n">
        <v>75</v>
      </c>
      <c r="B79" s="14">
        <f>RAND()</f>
        <v/>
      </c>
      <c r="C79" s="14">
        <f>RAND()</f>
        <v/>
      </c>
      <c r="D79" s="14">
        <f>$K$4*C79</f>
        <v/>
      </c>
      <c r="E79" s="14">
        <f>6*B79*(1-B79)</f>
        <v/>
      </c>
      <c r="F79" s="13">
        <f>IF(D79&lt;=E79,1,0)</f>
        <v/>
      </c>
      <c r="G79" s="14">
        <f>IF(F79=1,B79,-1)</f>
        <v/>
      </c>
      <c r="H79" s="14">
        <f>IF(F79=0,B79,-1)</f>
        <v/>
      </c>
    </row>
    <row r="80">
      <c r="A80" s="13" t="n">
        <v>76</v>
      </c>
      <c r="B80" s="14">
        <f>RAND()</f>
        <v/>
      </c>
      <c r="C80" s="14">
        <f>RAND()</f>
        <v/>
      </c>
      <c r="D80" s="14">
        <f>$K$4*C80</f>
        <v/>
      </c>
      <c r="E80" s="14">
        <f>6*B80*(1-B80)</f>
        <v/>
      </c>
      <c r="F80" s="13">
        <f>IF(D80&lt;=E80,1,0)</f>
        <v/>
      </c>
      <c r="G80" s="14">
        <f>IF(F80=1,B80,-1)</f>
        <v/>
      </c>
      <c r="H80" s="14">
        <f>IF(F80=0,B80,-1)</f>
        <v/>
      </c>
    </row>
    <row r="81">
      <c r="A81" s="13" t="n">
        <v>77</v>
      </c>
      <c r="B81" s="14">
        <f>RAND()</f>
        <v/>
      </c>
      <c r="C81" s="14">
        <f>RAND()</f>
        <v/>
      </c>
      <c r="D81" s="14">
        <f>$K$4*C81</f>
        <v/>
      </c>
      <c r="E81" s="14">
        <f>6*B81*(1-B81)</f>
        <v/>
      </c>
      <c r="F81" s="13">
        <f>IF(D81&lt;=E81,1,0)</f>
        <v/>
      </c>
      <c r="G81" s="14">
        <f>IF(F81=1,B81,-1)</f>
        <v/>
      </c>
      <c r="H81" s="14">
        <f>IF(F81=0,B81,-1)</f>
        <v/>
      </c>
    </row>
    <row r="82">
      <c r="A82" s="13" t="n">
        <v>78</v>
      </c>
      <c r="B82" s="14">
        <f>RAND()</f>
        <v/>
      </c>
      <c r="C82" s="14">
        <f>RAND()</f>
        <v/>
      </c>
      <c r="D82" s="14">
        <f>$K$4*C82</f>
        <v/>
      </c>
      <c r="E82" s="14">
        <f>6*B82*(1-B82)</f>
        <v/>
      </c>
      <c r="F82" s="13">
        <f>IF(D82&lt;=E82,1,0)</f>
        <v/>
      </c>
      <c r="G82" s="14">
        <f>IF(F82=1,B82,-1)</f>
        <v/>
      </c>
      <c r="H82" s="14">
        <f>IF(F82=0,B82,-1)</f>
        <v/>
      </c>
    </row>
    <row r="83">
      <c r="A83" s="13" t="n">
        <v>79</v>
      </c>
      <c r="B83" s="14">
        <f>RAND()</f>
        <v/>
      </c>
      <c r="C83" s="14">
        <f>RAND()</f>
        <v/>
      </c>
      <c r="D83" s="14">
        <f>$K$4*C83</f>
        <v/>
      </c>
      <c r="E83" s="14">
        <f>6*B83*(1-B83)</f>
        <v/>
      </c>
      <c r="F83" s="13">
        <f>IF(D83&lt;=E83,1,0)</f>
        <v/>
      </c>
      <c r="G83" s="14">
        <f>IF(F83=1,B83,-1)</f>
        <v/>
      </c>
      <c r="H83" s="14">
        <f>IF(F83=0,B83,-1)</f>
        <v/>
      </c>
    </row>
    <row r="84">
      <c r="A84" s="13" t="n">
        <v>80</v>
      </c>
      <c r="B84" s="14">
        <f>RAND()</f>
        <v/>
      </c>
      <c r="C84" s="14">
        <f>RAND()</f>
        <v/>
      </c>
      <c r="D84" s="14">
        <f>$K$4*C84</f>
        <v/>
      </c>
      <c r="E84" s="14">
        <f>6*B84*(1-B84)</f>
        <v/>
      </c>
      <c r="F84" s="13">
        <f>IF(D84&lt;=E84,1,0)</f>
        <v/>
      </c>
      <c r="G84" s="14">
        <f>IF(F84=1,B84,-1)</f>
        <v/>
      </c>
      <c r="H84" s="14">
        <f>IF(F84=0,B84,-1)</f>
        <v/>
      </c>
    </row>
    <row r="85">
      <c r="A85" s="13" t="n">
        <v>81</v>
      </c>
      <c r="B85" s="14">
        <f>RAND()</f>
        <v/>
      </c>
      <c r="C85" s="14">
        <f>RAND()</f>
        <v/>
      </c>
      <c r="D85" s="14">
        <f>$K$4*C85</f>
        <v/>
      </c>
      <c r="E85" s="14">
        <f>6*B85*(1-B85)</f>
        <v/>
      </c>
      <c r="F85" s="13">
        <f>IF(D85&lt;=E85,1,0)</f>
        <v/>
      </c>
      <c r="G85" s="14">
        <f>IF(F85=1,B85,-1)</f>
        <v/>
      </c>
      <c r="H85" s="14">
        <f>IF(F85=0,B85,-1)</f>
        <v/>
      </c>
    </row>
    <row r="86">
      <c r="A86" s="13" t="n">
        <v>82</v>
      </c>
      <c r="B86" s="14">
        <f>RAND()</f>
        <v/>
      </c>
      <c r="C86" s="14">
        <f>RAND()</f>
        <v/>
      </c>
      <c r="D86" s="14">
        <f>$K$4*C86</f>
        <v/>
      </c>
      <c r="E86" s="14">
        <f>6*B86*(1-B86)</f>
        <v/>
      </c>
      <c r="F86" s="13">
        <f>IF(D86&lt;=E86,1,0)</f>
        <v/>
      </c>
      <c r="G86" s="14">
        <f>IF(F86=1,B86,-1)</f>
        <v/>
      </c>
      <c r="H86" s="14">
        <f>IF(F86=0,B86,-1)</f>
        <v/>
      </c>
    </row>
    <row r="87">
      <c r="A87" s="13" t="n">
        <v>83</v>
      </c>
      <c r="B87" s="14">
        <f>RAND()</f>
        <v/>
      </c>
      <c r="C87" s="14">
        <f>RAND()</f>
        <v/>
      </c>
      <c r="D87" s="14">
        <f>$K$4*C87</f>
        <v/>
      </c>
      <c r="E87" s="14">
        <f>6*B87*(1-B87)</f>
        <v/>
      </c>
      <c r="F87" s="13">
        <f>IF(D87&lt;=E87,1,0)</f>
        <v/>
      </c>
      <c r="G87" s="14">
        <f>IF(F87=1,B87,-1)</f>
        <v/>
      </c>
      <c r="H87" s="14">
        <f>IF(F87=0,B87,-1)</f>
        <v/>
      </c>
    </row>
    <row r="88">
      <c r="A88" s="13" t="n">
        <v>84</v>
      </c>
      <c r="B88" s="14">
        <f>RAND()</f>
        <v/>
      </c>
      <c r="C88" s="14">
        <f>RAND()</f>
        <v/>
      </c>
      <c r="D88" s="14">
        <f>$K$4*C88</f>
        <v/>
      </c>
      <c r="E88" s="14">
        <f>6*B88*(1-B88)</f>
        <v/>
      </c>
      <c r="F88" s="13">
        <f>IF(D88&lt;=E88,1,0)</f>
        <v/>
      </c>
      <c r="G88" s="14">
        <f>IF(F88=1,B88,-1)</f>
        <v/>
      </c>
      <c r="H88" s="14">
        <f>IF(F88=0,B88,-1)</f>
        <v/>
      </c>
    </row>
    <row r="89">
      <c r="A89" s="13" t="n">
        <v>85</v>
      </c>
      <c r="B89" s="14">
        <f>RAND()</f>
        <v/>
      </c>
      <c r="C89" s="14">
        <f>RAND()</f>
        <v/>
      </c>
      <c r="D89" s="14">
        <f>$K$4*C89</f>
        <v/>
      </c>
      <c r="E89" s="14">
        <f>6*B89*(1-B89)</f>
        <v/>
      </c>
      <c r="F89" s="13">
        <f>IF(D89&lt;=E89,1,0)</f>
        <v/>
      </c>
      <c r="G89" s="14">
        <f>IF(F89=1,B89,-1)</f>
        <v/>
      </c>
      <c r="H89" s="14">
        <f>IF(F89=0,B89,-1)</f>
        <v/>
      </c>
    </row>
    <row r="90">
      <c r="A90" s="13" t="n">
        <v>86</v>
      </c>
      <c r="B90" s="14">
        <f>RAND()</f>
        <v/>
      </c>
      <c r="C90" s="14">
        <f>RAND()</f>
        <v/>
      </c>
      <c r="D90" s="14">
        <f>$K$4*C90</f>
        <v/>
      </c>
      <c r="E90" s="14">
        <f>6*B90*(1-B90)</f>
        <v/>
      </c>
      <c r="F90" s="13">
        <f>IF(D90&lt;=E90,1,0)</f>
        <v/>
      </c>
      <c r="G90" s="14">
        <f>IF(F90=1,B90,-1)</f>
        <v/>
      </c>
      <c r="H90" s="14">
        <f>IF(F90=0,B90,-1)</f>
        <v/>
      </c>
    </row>
    <row r="91">
      <c r="A91" s="13" t="n">
        <v>87</v>
      </c>
      <c r="B91" s="14">
        <f>RAND()</f>
        <v/>
      </c>
      <c r="C91" s="14">
        <f>RAND()</f>
        <v/>
      </c>
      <c r="D91" s="14">
        <f>$K$4*C91</f>
        <v/>
      </c>
      <c r="E91" s="14">
        <f>6*B91*(1-B91)</f>
        <v/>
      </c>
      <c r="F91" s="13">
        <f>IF(D91&lt;=E91,1,0)</f>
        <v/>
      </c>
      <c r="G91" s="14">
        <f>IF(F91=1,B91,-1)</f>
        <v/>
      </c>
      <c r="H91" s="14">
        <f>IF(F91=0,B91,-1)</f>
        <v/>
      </c>
    </row>
    <row r="92">
      <c r="A92" s="13" t="n">
        <v>88</v>
      </c>
      <c r="B92" s="14">
        <f>RAND()</f>
        <v/>
      </c>
      <c r="C92" s="14">
        <f>RAND()</f>
        <v/>
      </c>
      <c r="D92" s="14">
        <f>$K$4*C92</f>
        <v/>
      </c>
      <c r="E92" s="14">
        <f>6*B92*(1-B92)</f>
        <v/>
      </c>
      <c r="F92" s="13">
        <f>IF(D92&lt;=E92,1,0)</f>
        <v/>
      </c>
      <c r="G92" s="14">
        <f>IF(F92=1,B92,-1)</f>
        <v/>
      </c>
      <c r="H92" s="14">
        <f>IF(F92=0,B92,-1)</f>
        <v/>
      </c>
    </row>
    <row r="93">
      <c r="A93" s="13" t="n">
        <v>89</v>
      </c>
      <c r="B93" s="14">
        <f>RAND()</f>
        <v/>
      </c>
      <c r="C93" s="14">
        <f>RAND()</f>
        <v/>
      </c>
      <c r="D93" s="14">
        <f>$K$4*C93</f>
        <v/>
      </c>
      <c r="E93" s="14">
        <f>6*B93*(1-B93)</f>
        <v/>
      </c>
      <c r="F93" s="13">
        <f>IF(D93&lt;=E93,1,0)</f>
        <v/>
      </c>
      <c r="G93" s="14">
        <f>IF(F93=1,B93,-1)</f>
        <v/>
      </c>
      <c r="H93" s="14">
        <f>IF(F93=0,B93,-1)</f>
        <v/>
      </c>
    </row>
    <row r="94">
      <c r="A94" s="13" t="n">
        <v>90</v>
      </c>
      <c r="B94" s="14">
        <f>RAND()</f>
        <v/>
      </c>
      <c r="C94" s="14">
        <f>RAND()</f>
        <v/>
      </c>
      <c r="D94" s="14">
        <f>$K$4*C94</f>
        <v/>
      </c>
      <c r="E94" s="14">
        <f>6*B94*(1-B94)</f>
        <v/>
      </c>
      <c r="F94" s="13">
        <f>IF(D94&lt;=E94,1,0)</f>
        <v/>
      </c>
      <c r="G94" s="14">
        <f>IF(F94=1,B94,-1)</f>
        <v/>
      </c>
      <c r="H94" s="14">
        <f>IF(F94=0,B94,-1)</f>
        <v/>
      </c>
    </row>
    <row r="95">
      <c r="A95" s="13" t="n">
        <v>91</v>
      </c>
      <c r="B95" s="14">
        <f>RAND()</f>
        <v/>
      </c>
      <c r="C95" s="14">
        <f>RAND()</f>
        <v/>
      </c>
      <c r="D95" s="14">
        <f>$K$4*C95</f>
        <v/>
      </c>
      <c r="E95" s="14">
        <f>6*B95*(1-B95)</f>
        <v/>
      </c>
      <c r="F95" s="13">
        <f>IF(D95&lt;=E95,1,0)</f>
        <v/>
      </c>
      <c r="G95" s="14">
        <f>IF(F95=1,B95,-1)</f>
        <v/>
      </c>
      <c r="H95" s="14">
        <f>IF(F95=0,B95,-1)</f>
        <v/>
      </c>
    </row>
    <row r="96">
      <c r="A96" s="13" t="n">
        <v>92</v>
      </c>
      <c r="B96" s="14">
        <f>RAND()</f>
        <v/>
      </c>
      <c r="C96" s="14">
        <f>RAND()</f>
        <v/>
      </c>
      <c r="D96" s="14">
        <f>$K$4*C96</f>
        <v/>
      </c>
      <c r="E96" s="14">
        <f>6*B96*(1-B96)</f>
        <v/>
      </c>
      <c r="F96" s="13">
        <f>IF(D96&lt;=E96,1,0)</f>
        <v/>
      </c>
      <c r="G96" s="14">
        <f>IF(F96=1,B96,-1)</f>
        <v/>
      </c>
      <c r="H96" s="14">
        <f>IF(F96=0,B96,-1)</f>
        <v/>
      </c>
    </row>
    <row r="97">
      <c r="A97" s="13" t="n">
        <v>93</v>
      </c>
      <c r="B97" s="14">
        <f>RAND()</f>
        <v/>
      </c>
      <c r="C97" s="14">
        <f>RAND()</f>
        <v/>
      </c>
      <c r="D97" s="14">
        <f>$K$4*C97</f>
        <v/>
      </c>
      <c r="E97" s="14">
        <f>6*B97*(1-B97)</f>
        <v/>
      </c>
      <c r="F97" s="13">
        <f>IF(D97&lt;=E97,1,0)</f>
        <v/>
      </c>
      <c r="G97" s="14">
        <f>IF(F97=1,B97,-1)</f>
        <v/>
      </c>
      <c r="H97" s="14">
        <f>IF(F97=0,B97,-1)</f>
        <v/>
      </c>
    </row>
    <row r="98">
      <c r="A98" s="13" t="n">
        <v>94</v>
      </c>
      <c r="B98" s="14">
        <f>RAND()</f>
        <v/>
      </c>
      <c r="C98" s="14">
        <f>RAND()</f>
        <v/>
      </c>
      <c r="D98" s="14">
        <f>$K$4*C98</f>
        <v/>
      </c>
      <c r="E98" s="14">
        <f>6*B98*(1-B98)</f>
        <v/>
      </c>
      <c r="F98" s="13">
        <f>IF(D98&lt;=E98,1,0)</f>
        <v/>
      </c>
      <c r="G98" s="14">
        <f>IF(F98=1,B98,-1)</f>
        <v/>
      </c>
      <c r="H98" s="14">
        <f>IF(F98=0,B98,-1)</f>
        <v/>
      </c>
    </row>
    <row r="99">
      <c r="A99" s="13" t="n">
        <v>95</v>
      </c>
      <c r="B99" s="14">
        <f>RAND()</f>
        <v/>
      </c>
      <c r="C99" s="14">
        <f>RAND()</f>
        <v/>
      </c>
      <c r="D99" s="14">
        <f>$K$4*C99</f>
        <v/>
      </c>
      <c r="E99" s="14">
        <f>6*B99*(1-B99)</f>
        <v/>
      </c>
      <c r="F99" s="13">
        <f>IF(D99&lt;=E99,1,0)</f>
        <v/>
      </c>
      <c r="G99" s="14">
        <f>IF(F99=1,B99,-1)</f>
        <v/>
      </c>
      <c r="H99" s="14">
        <f>IF(F99=0,B99,-1)</f>
        <v/>
      </c>
    </row>
    <row r="100">
      <c r="A100" s="13" t="n">
        <v>96</v>
      </c>
      <c r="B100" s="14">
        <f>RAND()</f>
        <v/>
      </c>
      <c r="C100" s="14">
        <f>RAND()</f>
        <v/>
      </c>
      <c r="D100" s="14">
        <f>$K$4*C100</f>
        <v/>
      </c>
      <c r="E100" s="14">
        <f>6*B100*(1-B100)</f>
        <v/>
      </c>
      <c r="F100" s="13">
        <f>IF(D100&lt;=E100,1,0)</f>
        <v/>
      </c>
      <c r="G100" s="14">
        <f>IF(F100=1,B100,-1)</f>
        <v/>
      </c>
      <c r="H100" s="14">
        <f>IF(F100=0,B100,-1)</f>
        <v/>
      </c>
    </row>
    <row r="101">
      <c r="A101" s="13" t="n">
        <v>97</v>
      </c>
      <c r="B101" s="14">
        <f>RAND()</f>
        <v/>
      </c>
      <c r="C101" s="14">
        <f>RAND()</f>
        <v/>
      </c>
      <c r="D101" s="14">
        <f>$K$4*C101</f>
        <v/>
      </c>
      <c r="E101" s="14">
        <f>6*B101*(1-B101)</f>
        <v/>
      </c>
      <c r="F101" s="13">
        <f>IF(D101&lt;=E101,1,0)</f>
        <v/>
      </c>
      <c r="G101" s="14">
        <f>IF(F101=1,B101,-1)</f>
        <v/>
      </c>
      <c r="H101" s="14">
        <f>IF(F101=0,B101,-1)</f>
        <v/>
      </c>
    </row>
    <row r="102">
      <c r="A102" s="13" t="n">
        <v>98</v>
      </c>
      <c r="B102" s="14">
        <f>RAND()</f>
        <v/>
      </c>
      <c r="C102" s="14">
        <f>RAND()</f>
        <v/>
      </c>
      <c r="D102" s="14">
        <f>$K$4*C102</f>
        <v/>
      </c>
      <c r="E102" s="14">
        <f>6*B102*(1-B102)</f>
        <v/>
      </c>
      <c r="F102" s="13">
        <f>IF(D102&lt;=E102,1,0)</f>
        <v/>
      </c>
      <c r="G102" s="14">
        <f>IF(F102=1,B102,-1)</f>
        <v/>
      </c>
      <c r="H102" s="14">
        <f>IF(F102=0,B102,-1)</f>
        <v/>
      </c>
    </row>
    <row r="103">
      <c r="A103" s="13" t="n">
        <v>99</v>
      </c>
      <c r="B103" s="14">
        <f>RAND()</f>
        <v/>
      </c>
      <c r="C103" s="14">
        <f>RAND()</f>
        <v/>
      </c>
      <c r="D103" s="14">
        <f>$K$4*C103</f>
        <v/>
      </c>
      <c r="E103" s="14">
        <f>6*B103*(1-B103)</f>
        <v/>
      </c>
      <c r="F103" s="13">
        <f>IF(D103&lt;=E103,1,0)</f>
        <v/>
      </c>
      <c r="G103" s="14">
        <f>IF(F103=1,B103,-1)</f>
        <v/>
      </c>
      <c r="H103" s="14">
        <f>IF(F103=0,B103,-1)</f>
        <v/>
      </c>
    </row>
    <row r="104">
      <c r="A104" s="13" t="n">
        <v>100</v>
      </c>
      <c r="B104" s="14">
        <f>RAND()</f>
        <v/>
      </c>
      <c r="C104" s="14">
        <f>RAND()</f>
        <v/>
      </c>
      <c r="D104" s="14">
        <f>$K$4*C104</f>
        <v/>
      </c>
      <c r="E104" s="14">
        <f>6*B104*(1-B104)</f>
        <v/>
      </c>
      <c r="F104" s="13">
        <f>IF(D104&lt;=E104,1,0)</f>
        <v/>
      </c>
      <c r="G104" s="14">
        <f>IF(F104=1,B104,-1)</f>
        <v/>
      </c>
      <c r="H104" s="14">
        <f>IF(F104=0,B104,-1)</f>
        <v/>
      </c>
    </row>
    <row r="105">
      <c r="A105" s="13" t="n">
        <v>101</v>
      </c>
      <c r="B105" s="14">
        <f>RAND()</f>
        <v/>
      </c>
      <c r="C105" s="14">
        <f>RAND()</f>
        <v/>
      </c>
      <c r="D105" s="14">
        <f>$K$4*C105</f>
        <v/>
      </c>
      <c r="E105" s="14">
        <f>6*B105*(1-B105)</f>
        <v/>
      </c>
      <c r="F105" s="13">
        <f>IF(D105&lt;=E105,1,0)</f>
        <v/>
      </c>
      <c r="G105" s="14">
        <f>IF(F105=1,B105,-1)</f>
        <v/>
      </c>
      <c r="H105" s="14">
        <f>IF(F105=0,B105,-1)</f>
        <v/>
      </c>
    </row>
    <row r="106">
      <c r="A106" s="13" t="n">
        <v>102</v>
      </c>
      <c r="B106" s="14">
        <f>RAND()</f>
        <v/>
      </c>
      <c r="C106" s="14">
        <f>RAND()</f>
        <v/>
      </c>
      <c r="D106" s="14">
        <f>$K$4*C106</f>
        <v/>
      </c>
      <c r="E106" s="14">
        <f>6*B106*(1-B106)</f>
        <v/>
      </c>
      <c r="F106" s="13">
        <f>IF(D106&lt;=E106,1,0)</f>
        <v/>
      </c>
      <c r="G106" s="14">
        <f>IF(F106=1,B106,-1)</f>
        <v/>
      </c>
      <c r="H106" s="14">
        <f>IF(F106=0,B106,-1)</f>
        <v/>
      </c>
    </row>
    <row r="107">
      <c r="A107" s="13" t="n">
        <v>103</v>
      </c>
      <c r="B107" s="14">
        <f>RAND()</f>
        <v/>
      </c>
      <c r="C107" s="14">
        <f>RAND()</f>
        <v/>
      </c>
      <c r="D107" s="14">
        <f>$K$4*C107</f>
        <v/>
      </c>
      <c r="E107" s="14">
        <f>6*B107*(1-B107)</f>
        <v/>
      </c>
      <c r="F107" s="13">
        <f>IF(D107&lt;=E107,1,0)</f>
        <v/>
      </c>
      <c r="G107" s="14">
        <f>IF(F107=1,B107,-1)</f>
        <v/>
      </c>
      <c r="H107" s="14">
        <f>IF(F107=0,B107,-1)</f>
        <v/>
      </c>
    </row>
    <row r="108">
      <c r="A108" s="13" t="n">
        <v>104</v>
      </c>
      <c r="B108" s="14">
        <f>RAND()</f>
        <v/>
      </c>
      <c r="C108" s="14">
        <f>RAND()</f>
        <v/>
      </c>
      <c r="D108" s="14">
        <f>$K$4*C108</f>
        <v/>
      </c>
      <c r="E108" s="14">
        <f>6*B108*(1-B108)</f>
        <v/>
      </c>
      <c r="F108" s="13">
        <f>IF(D108&lt;=E108,1,0)</f>
        <v/>
      </c>
      <c r="G108" s="14">
        <f>IF(F108=1,B108,-1)</f>
        <v/>
      </c>
      <c r="H108" s="14">
        <f>IF(F108=0,B108,-1)</f>
        <v/>
      </c>
    </row>
    <row r="109">
      <c r="A109" s="13" t="n">
        <v>105</v>
      </c>
      <c r="B109" s="14">
        <f>RAND()</f>
        <v/>
      </c>
      <c r="C109" s="14">
        <f>RAND()</f>
        <v/>
      </c>
      <c r="D109" s="14">
        <f>$K$4*C109</f>
        <v/>
      </c>
      <c r="E109" s="14">
        <f>6*B109*(1-B109)</f>
        <v/>
      </c>
      <c r="F109" s="13">
        <f>IF(D109&lt;=E109,1,0)</f>
        <v/>
      </c>
      <c r="G109" s="14">
        <f>IF(F109=1,B109,-1)</f>
        <v/>
      </c>
      <c r="H109" s="14">
        <f>IF(F109=0,B109,-1)</f>
        <v/>
      </c>
    </row>
    <row r="110">
      <c r="A110" s="13" t="n">
        <v>106</v>
      </c>
      <c r="B110" s="14">
        <f>RAND()</f>
        <v/>
      </c>
      <c r="C110" s="14">
        <f>RAND()</f>
        <v/>
      </c>
      <c r="D110" s="14">
        <f>$K$4*C110</f>
        <v/>
      </c>
      <c r="E110" s="14">
        <f>6*B110*(1-B110)</f>
        <v/>
      </c>
      <c r="F110" s="13">
        <f>IF(D110&lt;=E110,1,0)</f>
        <v/>
      </c>
      <c r="G110" s="14">
        <f>IF(F110=1,B110,-1)</f>
        <v/>
      </c>
      <c r="H110" s="14">
        <f>IF(F110=0,B110,-1)</f>
        <v/>
      </c>
    </row>
    <row r="111">
      <c r="A111" s="13" t="n">
        <v>107</v>
      </c>
      <c r="B111" s="14">
        <f>RAND()</f>
        <v/>
      </c>
      <c r="C111" s="14">
        <f>RAND()</f>
        <v/>
      </c>
      <c r="D111" s="14">
        <f>$K$4*C111</f>
        <v/>
      </c>
      <c r="E111" s="14">
        <f>6*B111*(1-B111)</f>
        <v/>
      </c>
      <c r="F111" s="13">
        <f>IF(D111&lt;=E111,1,0)</f>
        <v/>
      </c>
      <c r="G111" s="14">
        <f>IF(F111=1,B111,-1)</f>
        <v/>
      </c>
      <c r="H111" s="14">
        <f>IF(F111=0,B111,-1)</f>
        <v/>
      </c>
    </row>
    <row r="112">
      <c r="A112" s="13" t="n">
        <v>108</v>
      </c>
      <c r="B112" s="14">
        <f>RAND()</f>
        <v/>
      </c>
      <c r="C112" s="14">
        <f>RAND()</f>
        <v/>
      </c>
      <c r="D112" s="14">
        <f>$K$4*C112</f>
        <v/>
      </c>
      <c r="E112" s="14">
        <f>6*B112*(1-B112)</f>
        <v/>
      </c>
      <c r="F112" s="13">
        <f>IF(D112&lt;=E112,1,0)</f>
        <v/>
      </c>
      <c r="G112" s="14">
        <f>IF(F112=1,B112,-1)</f>
        <v/>
      </c>
      <c r="H112" s="14">
        <f>IF(F112=0,B112,-1)</f>
        <v/>
      </c>
    </row>
    <row r="113">
      <c r="A113" s="13" t="n">
        <v>109</v>
      </c>
      <c r="B113" s="14">
        <f>RAND()</f>
        <v/>
      </c>
      <c r="C113" s="14">
        <f>RAND()</f>
        <v/>
      </c>
      <c r="D113" s="14">
        <f>$K$4*C113</f>
        <v/>
      </c>
      <c r="E113" s="14">
        <f>6*B113*(1-B113)</f>
        <v/>
      </c>
      <c r="F113" s="13">
        <f>IF(D113&lt;=E113,1,0)</f>
        <v/>
      </c>
      <c r="G113" s="14">
        <f>IF(F113=1,B113,-1)</f>
        <v/>
      </c>
      <c r="H113" s="14">
        <f>IF(F113=0,B113,-1)</f>
        <v/>
      </c>
    </row>
    <row r="114">
      <c r="A114" s="13" t="n">
        <v>110</v>
      </c>
      <c r="B114" s="14">
        <f>RAND()</f>
        <v/>
      </c>
      <c r="C114" s="14">
        <f>RAND()</f>
        <v/>
      </c>
      <c r="D114" s="14">
        <f>$K$4*C114</f>
        <v/>
      </c>
      <c r="E114" s="14">
        <f>6*B114*(1-B114)</f>
        <v/>
      </c>
      <c r="F114" s="13">
        <f>IF(D114&lt;=E114,1,0)</f>
        <v/>
      </c>
      <c r="G114" s="14">
        <f>IF(F114=1,B114,-1)</f>
        <v/>
      </c>
      <c r="H114" s="14">
        <f>IF(F114=0,B114,-1)</f>
        <v/>
      </c>
    </row>
    <row r="115">
      <c r="A115" s="13" t="n">
        <v>111</v>
      </c>
      <c r="B115" s="14">
        <f>RAND()</f>
        <v/>
      </c>
      <c r="C115" s="14">
        <f>RAND()</f>
        <v/>
      </c>
      <c r="D115" s="14">
        <f>$K$4*C115</f>
        <v/>
      </c>
      <c r="E115" s="14">
        <f>6*B115*(1-B115)</f>
        <v/>
      </c>
      <c r="F115" s="13">
        <f>IF(D115&lt;=E115,1,0)</f>
        <v/>
      </c>
      <c r="G115" s="14">
        <f>IF(F115=1,B115,-1)</f>
        <v/>
      </c>
      <c r="H115" s="14">
        <f>IF(F115=0,B115,-1)</f>
        <v/>
      </c>
    </row>
    <row r="116">
      <c r="A116" s="13" t="n">
        <v>112</v>
      </c>
      <c r="B116" s="14">
        <f>RAND()</f>
        <v/>
      </c>
      <c r="C116" s="14">
        <f>RAND()</f>
        <v/>
      </c>
      <c r="D116" s="14">
        <f>$K$4*C116</f>
        <v/>
      </c>
      <c r="E116" s="14">
        <f>6*B116*(1-B116)</f>
        <v/>
      </c>
      <c r="F116" s="13">
        <f>IF(D116&lt;=E116,1,0)</f>
        <v/>
      </c>
      <c r="G116" s="14">
        <f>IF(F116=1,B116,-1)</f>
        <v/>
      </c>
      <c r="H116" s="14">
        <f>IF(F116=0,B116,-1)</f>
        <v/>
      </c>
    </row>
    <row r="117">
      <c r="A117" s="13" t="n">
        <v>113</v>
      </c>
      <c r="B117" s="14">
        <f>RAND()</f>
        <v/>
      </c>
      <c r="C117" s="14">
        <f>RAND()</f>
        <v/>
      </c>
      <c r="D117" s="14">
        <f>$K$4*C117</f>
        <v/>
      </c>
      <c r="E117" s="14">
        <f>6*B117*(1-B117)</f>
        <v/>
      </c>
      <c r="F117" s="13">
        <f>IF(D117&lt;=E117,1,0)</f>
        <v/>
      </c>
      <c r="G117" s="14">
        <f>IF(F117=1,B117,-1)</f>
        <v/>
      </c>
      <c r="H117" s="14">
        <f>IF(F117=0,B117,-1)</f>
        <v/>
      </c>
    </row>
    <row r="118">
      <c r="A118" s="13" t="n">
        <v>114</v>
      </c>
      <c r="B118" s="14">
        <f>RAND()</f>
        <v/>
      </c>
      <c r="C118" s="14">
        <f>RAND()</f>
        <v/>
      </c>
      <c r="D118" s="14">
        <f>$K$4*C118</f>
        <v/>
      </c>
      <c r="E118" s="14">
        <f>6*B118*(1-B118)</f>
        <v/>
      </c>
      <c r="F118" s="13">
        <f>IF(D118&lt;=E118,1,0)</f>
        <v/>
      </c>
      <c r="G118" s="14">
        <f>IF(F118=1,B118,-1)</f>
        <v/>
      </c>
      <c r="H118" s="14">
        <f>IF(F118=0,B118,-1)</f>
        <v/>
      </c>
    </row>
    <row r="119">
      <c r="A119" s="13" t="n">
        <v>115</v>
      </c>
      <c r="B119" s="14">
        <f>RAND()</f>
        <v/>
      </c>
      <c r="C119" s="14">
        <f>RAND()</f>
        <v/>
      </c>
      <c r="D119" s="14">
        <f>$K$4*C119</f>
        <v/>
      </c>
      <c r="E119" s="14">
        <f>6*B119*(1-B119)</f>
        <v/>
      </c>
      <c r="F119" s="13">
        <f>IF(D119&lt;=E119,1,0)</f>
        <v/>
      </c>
      <c r="G119" s="14">
        <f>IF(F119=1,B119,-1)</f>
        <v/>
      </c>
      <c r="H119" s="14">
        <f>IF(F119=0,B119,-1)</f>
        <v/>
      </c>
    </row>
    <row r="120">
      <c r="A120" s="13" t="n">
        <v>116</v>
      </c>
      <c r="B120" s="14">
        <f>RAND()</f>
        <v/>
      </c>
      <c r="C120" s="14">
        <f>RAND()</f>
        <v/>
      </c>
      <c r="D120" s="14">
        <f>$K$4*C120</f>
        <v/>
      </c>
      <c r="E120" s="14">
        <f>6*B120*(1-B120)</f>
        <v/>
      </c>
      <c r="F120" s="13">
        <f>IF(D120&lt;=E120,1,0)</f>
        <v/>
      </c>
      <c r="G120" s="14">
        <f>IF(F120=1,B120,-1)</f>
        <v/>
      </c>
      <c r="H120" s="14">
        <f>IF(F120=0,B120,-1)</f>
        <v/>
      </c>
    </row>
    <row r="121">
      <c r="A121" s="13" t="n">
        <v>117</v>
      </c>
      <c r="B121" s="14">
        <f>RAND()</f>
        <v/>
      </c>
      <c r="C121" s="14">
        <f>RAND()</f>
        <v/>
      </c>
      <c r="D121" s="14">
        <f>$K$4*C121</f>
        <v/>
      </c>
      <c r="E121" s="14">
        <f>6*B121*(1-B121)</f>
        <v/>
      </c>
      <c r="F121" s="13">
        <f>IF(D121&lt;=E121,1,0)</f>
        <v/>
      </c>
      <c r="G121" s="14">
        <f>IF(F121=1,B121,-1)</f>
        <v/>
      </c>
      <c r="H121" s="14">
        <f>IF(F121=0,B121,-1)</f>
        <v/>
      </c>
    </row>
    <row r="122">
      <c r="A122" s="13" t="n">
        <v>118</v>
      </c>
      <c r="B122" s="14">
        <f>RAND()</f>
        <v/>
      </c>
      <c r="C122" s="14">
        <f>RAND()</f>
        <v/>
      </c>
      <c r="D122" s="14">
        <f>$K$4*C122</f>
        <v/>
      </c>
      <c r="E122" s="14">
        <f>6*B122*(1-B122)</f>
        <v/>
      </c>
      <c r="F122" s="13">
        <f>IF(D122&lt;=E122,1,0)</f>
        <v/>
      </c>
      <c r="G122" s="14">
        <f>IF(F122=1,B122,-1)</f>
        <v/>
      </c>
      <c r="H122" s="14">
        <f>IF(F122=0,B122,-1)</f>
        <v/>
      </c>
    </row>
    <row r="123">
      <c r="A123" s="13" t="n">
        <v>119</v>
      </c>
      <c r="B123" s="14">
        <f>RAND()</f>
        <v/>
      </c>
      <c r="C123" s="14">
        <f>RAND()</f>
        <v/>
      </c>
      <c r="D123" s="14">
        <f>$K$4*C123</f>
        <v/>
      </c>
      <c r="E123" s="14">
        <f>6*B123*(1-B123)</f>
        <v/>
      </c>
      <c r="F123" s="13">
        <f>IF(D123&lt;=E123,1,0)</f>
        <v/>
      </c>
      <c r="G123" s="14">
        <f>IF(F123=1,B123,-1)</f>
        <v/>
      </c>
      <c r="H123" s="14">
        <f>IF(F123=0,B123,-1)</f>
        <v/>
      </c>
    </row>
    <row r="124">
      <c r="A124" s="13" t="n">
        <v>120</v>
      </c>
      <c r="B124" s="14">
        <f>RAND()</f>
        <v/>
      </c>
      <c r="C124" s="14">
        <f>RAND()</f>
        <v/>
      </c>
      <c r="D124" s="14">
        <f>$K$4*C124</f>
        <v/>
      </c>
      <c r="E124" s="14">
        <f>6*B124*(1-B124)</f>
        <v/>
      </c>
      <c r="F124" s="13">
        <f>IF(D124&lt;=E124,1,0)</f>
        <v/>
      </c>
      <c r="G124" s="14">
        <f>IF(F124=1,B124,-1)</f>
        <v/>
      </c>
      <c r="H124" s="14">
        <f>IF(F124=0,B124,-1)</f>
        <v/>
      </c>
    </row>
    <row r="125">
      <c r="A125" s="13" t="n">
        <v>121</v>
      </c>
      <c r="B125" s="14">
        <f>RAND()</f>
        <v/>
      </c>
      <c r="C125" s="14">
        <f>RAND()</f>
        <v/>
      </c>
      <c r="D125" s="14">
        <f>$K$4*C125</f>
        <v/>
      </c>
      <c r="E125" s="14">
        <f>6*B125*(1-B125)</f>
        <v/>
      </c>
      <c r="F125" s="13">
        <f>IF(D125&lt;=E125,1,0)</f>
        <v/>
      </c>
      <c r="G125" s="14">
        <f>IF(F125=1,B125,-1)</f>
        <v/>
      </c>
      <c r="H125" s="14">
        <f>IF(F125=0,B125,-1)</f>
        <v/>
      </c>
    </row>
    <row r="126">
      <c r="A126" s="13" t="n">
        <v>122</v>
      </c>
      <c r="B126" s="14">
        <f>RAND()</f>
        <v/>
      </c>
      <c r="C126" s="14">
        <f>RAND()</f>
        <v/>
      </c>
      <c r="D126" s="14">
        <f>$K$4*C126</f>
        <v/>
      </c>
      <c r="E126" s="14">
        <f>6*B126*(1-B126)</f>
        <v/>
      </c>
      <c r="F126" s="13">
        <f>IF(D126&lt;=E126,1,0)</f>
        <v/>
      </c>
      <c r="G126" s="14">
        <f>IF(F126=1,B126,-1)</f>
        <v/>
      </c>
      <c r="H126" s="14">
        <f>IF(F126=0,B126,-1)</f>
        <v/>
      </c>
    </row>
    <row r="127">
      <c r="A127" s="13" t="n">
        <v>123</v>
      </c>
      <c r="B127" s="14">
        <f>RAND()</f>
        <v/>
      </c>
      <c r="C127" s="14">
        <f>RAND()</f>
        <v/>
      </c>
      <c r="D127" s="14">
        <f>$K$4*C127</f>
        <v/>
      </c>
      <c r="E127" s="14">
        <f>6*B127*(1-B127)</f>
        <v/>
      </c>
      <c r="F127" s="13">
        <f>IF(D127&lt;=E127,1,0)</f>
        <v/>
      </c>
      <c r="G127" s="14">
        <f>IF(F127=1,B127,-1)</f>
        <v/>
      </c>
      <c r="H127" s="14">
        <f>IF(F127=0,B127,-1)</f>
        <v/>
      </c>
    </row>
    <row r="128">
      <c r="A128" s="13" t="n">
        <v>124</v>
      </c>
      <c r="B128" s="14">
        <f>RAND()</f>
        <v/>
      </c>
      <c r="C128" s="14">
        <f>RAND()</f>
        <v/>
      </c>
      <c r="D128" s="14">
        <f>$K$4*C128</f>
        <v/>
      </c>
      <c r="E128" s="14">
        <f>6*B128*(1-B128)</f>
        <v/>
      </c>
      <c r="F128" s="13">
        <f>IF(D128&lt;=E128,1,0)</f>
        <v/>
      </c>
      <c r="G128" s="14">
        <f>IF(F128=1,B128,-1)</f>
        <v/>
      </c>
      <c r="H128" s="14">
        <f>IF(F128=0,B128,-1)</f>
        <v/>
      </c>
    </row>
    <row r="129">
      <c r="A129" s="13" t="n">
        <v>125</v>
      </c>
      <c r="B129" s="14">
        <f>RAND()</f>
        <v/>
      </c>
      <c r="C129" s="14">
        <f>RAND()</f>
        <v/>
      </c>
      <c r="D129" s="14">
        <f>$K$4*C129</f>
        <v/>
      </c>
      <c r="E129" s="14">
        <f>6*B129*(1-B129)</f>
        <v/>
      </c>
      <c r="F129" s="13">
        <f>IF(D129&lt;=E129,1,0)</f>
        <v/>
      </c>
      <c r="G129" s="14">
        <f>IF(F129=1,B129,-1)</f>
        <v/>
      </c>
      <c r="H129" s="14">
        <f>IF(F129=0,B129,-1)</f>
        <v/>
      </c>
    </row>
    <row r="130">
      <c r="A130" s="13" t="n">
        <v>126</v>
      </c>
      <c r="B130" s="14">
        <f>RAND()</f>
        <v/>
      </c>
      <c r="C130" s="14">
        <f>RAND()</f>
        <v/>
      </c>
      <c r="D130" s="14">
        <f>$K$4*C130</f>
        <v/>
      </c>
      <c r="E130" s="14">
        <f>6*B130*(1-B130)</f>
        <v/>
      </c>
      <c r="F130" s="13">
        <f>IF(D130&lt;=E130,1,0)</f>
        <v/>
      </c>
      <c r="G130" s="14">
        <f>IF(F130=1,B130,-1)</f>
        <v/>
      </c>
      <c r="H130" s="14">
        <f>IF(F130=0,B130,-1)</f>
        <v/>
      </c>
    </row>
    <row r="131">
      <c r="A131" s="13" t="n">
        <v>127</v>
      </c>
      <c r="B131" s="14">
        <f>RAND()</f>
        <v/>
      </c>
      <c r="C131" s="14">
        <f>RAND()</f>
        <v/>
      </c>
      <c r="D131" s="14">
        <f>$K$4*C131</f>
        <v/>
      </c>
      <c r="E131" s="14">
        <f>6*B131*(1-B131)</f>
        <v/>
      </c>
      <c r="F131" s="13">
        <f>IF(D131&lt;=E131,1,0)</f>
        <v/>
      </c>
      <c r="G131" s="14">
        <f>IF(F131=1,B131,-1)</f>
        <v/>
      </c>
      <c r="H131" s="14">
        <f>IF(F131=0,B131,-1)</f>
        <v/>
      </c>
    </row>
    <row r="132">
      <c r="A132" s="13" t="n">
        <v>128</v>
      </c>
      <c r="B132" s="14">
        <f>RAND()</f>
        <v/>
      </c>
      <c r="C132" s="14">
        <f>RAND()</f>
        <v/>
      </c>
      <c r="D132" s="14">
        <f>$K$4*C132</f>
        <v/>
      </c>
      <c r="E132" s="14">
        <f>6*B132*(1-B132)</f>
        <v/>
      </c>
      <c r="F132" s="13">
        <f>IF(D132&lt;=E132,1,0)</f>
        <v/>
      </c>
      <c r="G132" s="14">
        <f>IF(F132=1,B132,-1)</f>
        <v/>
      </c>
      <c r="H132" s="14">
        <f>IF(F132=0,B132,-1)</f>
        <v/>
      </c>
    </row>
    <row r="133">
      <c r="A133" s="13" t="n">
        <v>129</v>
      </c>
      <c r="B133" s="14">
        <f>RAND()</f>
        <v/>
      </c>
      <c r="C133" s="14">
        <f>RAND()</f>
        <v/>
      </c>
      <c r="D133" s="14">
        <f>$K$4*C133</f>
        <v/>
      </c>
      <c r="E133" s="14">
        <f>6*B133*(1-B133)</f>
        <v/>
      </c>
      <c r="F133" s="13">
        <f>IF(D133&lt;=E133,1,0)</f>
        <v/>
      </c>
      <c r="G133" s="14">
        <f>IF(F133=1,B133,-1)</f>
        <v/>
      </c>
      <c r="H133" s="14">
        <f>IF(F133=0,B133,-1)</f>
        <v/>
      </c>
    </row>
    <row r="134">
      <c r="A134" s="13" t="n">
        <v>130</v>
      </c>
      <c r="B134" s="14">
        <f>RAND()</f>
        <v/>
      </c>
      <c r="C134" s="14">
        <f>RAND()</f>
        <v/>
      </c>
      <c r="D134" s="14">
        <f>$K$4*C134</f>
        <v/>
      </c>
      <c r="E134" s="14">
        <f>6*B134*(1-B134)</f>
        <v/>
      </c>
      <c r="F134" s="13">
        <f>IF(D134&lt;=E134,1,0)</f>
        <v/>
      </c>
      <c r="G134" s="14">
        <f>IF(F134=1,B134,-1)</f>
        <v/>
      </c>
      <c r="H134" s="14">
        <f>IF(F134=0,B134,-1)</f>
        <v/>
      </c>
    </row>
    <row r="135">
      <c r="A135" s="13" t="n">
        <v>131</v>
      </c>
      <c r="B135" s="14">
        <f>RAND()</f>
        <v/>
      </c>
      <c r="C135" s="14">
        <f>RAND()</f>
        <v/>
      </c>
      <c r="D135" s="14">
        <f>$K$4*C135</f>
        <v/>
      </c>
      <c r="E135" s="14">
        <f>6*B135*(1-B135)</f>
        <v/>
      </c>
      <c r="F135" s="13">
        <f>IF(D135&lt;=E135,1,0)</f>
        <v/>
      </c>
      <c r="G135" s="14">
        <f>IF(F135=1,B135,-1)</f>
        <v/>
      </c>
      <c r="H135" s="14">
        <f>IF(F135=0,B135,-1)</f>
        <v/>
      </c>
    </row>
    <row r="136">
      <c r="A136" s="13" t="n">
        <v>132</v>
      </c>
      <c r="B136" s="14">
        <f>RAND()</f>
        <v/>
      </c>
      <c r="C136" s="14">
        <f>RAND()</f>
        <v/>
      </c>
      <c r="D136" s="14">
        <f>$K$4*C136</f>
        <v/>
      </c>
      <c r="E136" s="14">
        <f>6*B136*(1-B136)</f>
        <v/>
      </c>
      <c r="F136" s="13">
        <f>IF(D136&lt;=E136,1,0)</f>
        <v/>
      </c>
      <c r="G136" s="14">
        <f>IF(F136=1,B136,-1)</f>
        <v/>
      </c>
      <c r="H136" s="14">
        <f>IF(F136=0,B136,-1)</f>
        <v/>
      </c>
    </row>
    <row r="137">
      <c r="A137" s="13" t="n">
        <v>133</v>
      </c>
      <c r="B137" s="14">
        <f>RAND()</f>
        <v/>
      </c>
      <c r="C137" s="14">
        <f>RAND()</f>
        <v/>
      </c>
      <c r="D137" s="14">
        <f>$K$4*C137</f>
        <v/>
      </c>
      <c r="E137" s="14">
        <f>6*B137*(1-B137)</f>
        <v/>
      </c>
      <c r="F137" s="13">
        <f>IF(D137&lt;=E137,1,0)</f>
        <v/>
      </c>
      <c r="G137" s="14">
        <f>IF(F137=1,B137,-1)</f>
        <v/>
      </c>
      <c r="H137" s="14">
        <f>IF(F137=0,B137,-1)</f>
        <v/>
      </c>
    </row>
    <row r="138">
      <c r="A138" s="13" t="n">
        <v>134</v>
      </c>
      <c r="B138" s="14">
        <f>RAND()</f>
        <v/>
      </c>
      <c r="C138" s="14">
        <f>RAND()</f>
        <v/>
      </c>
      <c r="D138" s="14">
        <f>$K$4*C138</f>
        <v/>
      </c>
      <c r="E138" s="14">
        <f>6*B138*(1-B138)</f>
        <v/>
      </c>
      <c r="F138" s="13">
        <f>IF(D138&lt;=E138,1,0)</f>
        <v/>
      </c>
      <c r="G138" s="14">
        <f>IF(F138=1,B138,-1)</f>
        <v/>
      </c>
      <c r="H138" s="14">
        <f>IF(F138=0,B138,-1)</f>
        <v/>
      </c>
    </row>
    <row r="139">
      <c r="A139" s="13" t="n">
        <v>135</v>
      </c>
      <c r="B139" s="14">
        <f>RAND()</f>
        <v/>
      </c>
      <c r="C139" s="14">
        <f>RAND()</f>
        <v/>
      </c>
      <c r="D139" s="14">
        <f>$K$4*C139</f>
        <v/>
      </c>
      <c r="E139" s="14">
        <f>6*B139*(1-B139)</f>
        <v/>
      </c>
      <c r="F139" s="13">
        <f>IF(D139&lt;=E139,1,0)</f>
        <v/>
      </c>
      <c r="G139" s="14">
        <f>IF(F139=1,B139,-1)</f>
        <v/>
      </c>
      <c r="H139" s="14">
        <f>IF(F139=0,B139,-1)</f>
        <v/>
      </c>
    </row>
    <row r="140">
      <c r="A140" s="13" t="n">
        <v>136</v>
      </c>
      <c r="B140" s="14">
        <f>RAND()</f>
        <v/>
      </c>
      <c r="C140" s="14">
        <f>RAND()</f>
        <v/>
      </c>
      <c r="D140" s="14">
        <f>$K$4*C140</f>
        <v/>
      </c>
      <c r="E140" s="14">
        <f>6*B140*(1-B140)</f>
        <v/>
      </c>
      <c r="F140" s="13">
        <f>IF(D140&lt;=E140,1,0)</f>
        <v/>
      </c>
      <c r="G140" s="14">
        <f>IF(F140=1,B140,-1)</f>
        <v/>
      </c>
      <c r="H140" s="14">
        <f>IF(F140=0,B140,-1)</f>
        <v/>
      </c>
    </row>
    <row r="141">
      <c r="A141" s="13" t="n">
        <v>137</v>
      </c>
      <c r="B141" s="14">
        <f>RAND()</f>
        <v/>
      </c>
      <c r="C141" s="14">
        <f>RAND()</f>
        <v/>
      </c>
      <c r="D141" s="14">
        <f>$K$4*C141</f>
        <v/>
      </c>
      <c r="E141" s="14">
        <f>6*B141*(1-B141)</f>
        <v/>
      </c>
      <c r="F141" s="13">
        <f>IF(D141&lt;=E141,1,0)</f>
        <v/>
      </c>
      <c r="G141" s="14">
        <f>IF(F141=1,B141,-1)</f>
        <v/>
      </c>
      <c r="H141" s="14">
        <f>IF(F141=0,B141,-1)</f>
        <v/>
      </c>
    </row>
    <row r="142">
      <c r="A142" s="13" t="n">
        <v>138</v>
      </c>
      <c r="B142" s="14">
        <f>RAND()</f>
        <v/>
      </c>
      <c r="C142" s="14">
        <f>RAND()</f>
        <v/>
      </c>
      <c r="D142" s="14">
        <f>$K$4*C142</f>
        <v/>
      </c>
      <c r="E142" s="14">
        <f>6*B142*(1-B142)</f>
        <v/>
      </c>
      <c r="F142" s="13">
        <f>IF(D142&lt;=E142,1,0)</f>
        <v/>
      </c>
      <c r="G142" s="14">
        <f>IF(F142=1,B142,-1)</f>
        <v/>
      </c>
      <c r="H142" s="14">
        <f>IF(F142=0,B142,-1)</f>
        <v/>
      </c>
    </row>
    <row r="143">
      <c r="A143" s="13" t="n">
        <v>139</v>
      </c>
      <c r="B143" s="14">
        <f>RAND()</f>
        <v/>
      </c>
      <c r="C143" s="14">
        <f>RAND()</f>
        <v/>
      </c>
      <c r="D143" s="14">
        <f>$K$4*C143</f>
        <v/>
      </c>
      <c r="E143" s="14">
        <f>6*B143*(1-B143)</f>
        <v/>
      </c>
      <c r="F143" s="13">
        <f>IF(D143&lt;=E143,1,0)</f>
        <v/>
      </c>
      <c r="G143" s="14">
        <f>IF(F143=1,B143,-1)</f>
        <v/>
      </c>
      <c r="H143" s="14">
        <f>IF(F143=0,B143,-1)</f>
        <v/>
      </c>
    </row>
    <row r="144">
      <c r="A144" s="13" t="n">
        <v>140</v>
      </c>
      <c r="B144" s="14">
        <f>RAND()</f>
        <v/>
      </c>
      <c r="C144" s="14">
        <f>RAND()</f>
        <v/>
      </c>
      <c r="D144" s="14">
        <f>$K$4*C144</f>
        <v/>
      </c>
      <c r="E144" s="14">
        <f>6*B144*(1-B144)</f>
        <v/>
      </c>
      <c r="F144" s="13">
        <f>IF(D144&lt;=E144,1,0)</f>
        <v/>
      </c>
      <c r="G144" s="14">
        <f>IF(F144=1,B144,-1)</f>
        <v/>
      </c>
      <c r="H144" s="14">
        <f>IF(F144=0,B144,-1)</f>
        <v/>
      </c>
    </row>
    <row r="145">
      <c r="A145" s="13" t="n">
        <v>141</v>
      </c>
      <c r="B145" s="14">
        <f>RAND()</f>
        <v/>
      </c>
      <c r="C145" s="14">
        <f>RAND()</f>
        <v/>
      </c>
      <c r="D145" s="14">
        <f>$K$4*C145</f>
        <v/>
      </c>
      <c r="E145" s="14">
        <f>6*B145*(1-B145)</f>
        <v/>
      </c>
      <c r="F145" s="13">
        <f>IF(D145&lt;=E145,1,0)</f>
        <v/>
      </c>
      <c r="G145" s="14">
        <f>IF(F145=1,B145,-1)</f>
        <v/>
      </c>
      <c r="H145" s="14">
        <f>IF(F145=0,B145,-1)</f>
        <v/>
      </c>
    </row>
    <row r="146">
      <c r="A146" s="13" t="n">
        <v>142</v>
      </c>
      <c r="B146" s="14">
        <f>RAND()</f>
        <v/>
      </c>
      <c r="C146" s="14">
        <f>RAND()</f>
        <v/>
      </c>
      <c r="D146" s="14">
        <f>$K$4*C146</f>
        <v/>
      </c>
      <c r="E146" s="14">
        <f>6*B146*(1-B146)</f>
        <v/>
      </c>
      <c r="F146" s="13">
        <f>IF(D146&lt;=E146,1,0)</f>
        <v/>
      </c>
      <c r="G146" s="14">
        <f>IF(F146=1,B146,-1)</f>
        <v/>
      </c>
      <c r="H146" s="14">
        <f>IF(F146=0,B146,-1)</f>
        <v/>
      </c>
    </row>
    <row r="147">
      <c r="A147" s="13" t="n">
        <v>143</v>
      </c>
      <c r="B147" s="14">
        <f>RAND()</f>
        <v/>
      </c>
      <c r="C147" s="14">
        <f>RAND()</f>
        <v/>
      </c>
      <c r="D147" s="14">
        <f>$K$4*C147</f>
        <v/>
      </c>
      <c r="E147" s="14">
        <f>6*B147*(1-B147)</f>
        <v/>
      </c>
      <c r="F147" s="13">
        <f>IF(D147&lt;=E147,1,0)</f>
        <v/>
      </c>
      <c r="G147" s="14">
        <f>IF(F147=1,B147,-1)</f>
        <v/>
      </c>
      <c r="H147" s="14">
        <f>IF(F147=0,B147,-1)</f>
        <v/>
      </c>
    </row>
    <row r="148">
      <c r="A148" s="13" t="n">
        <v>144</v>
      </c>
      <c r="B148" s="14">
        <f>RAND()</f>
        <v/>
      </c>
      <c r="C148" s="14">
        <f>RAND()</f>
        <v/>
      </c>
      <c r="D148" s="14">
        <f>$K$4*C148</f>
        <v/>
      </c>
      <c r="E148" s="14">
        <f>6*B148*(1-B148)</f>
        <v/>
      </c>
      <c r="F148" s="13">
        <f>IF(D148&lt;=E148,1,0)</f>
        <v/>
      </c>
      <c r="G148" s="14">
        <f>IF(F148=1,B148,-1)</f>
        <v/>
      </c>
      <c r="H148" s="14">
        <f>IF(F148=0,B148,-1)</f>
        <v/>
      </c>
    </row>
    <row r="149">
      <c r="A149" s="13" t="n">
        <v>145</v>
      </c>
      <c r="B149" s="14">
        <f>RAND()</f>
        <v/>
      </c>
      <c r="C149" s="14">
        <f>RAND()</f>
        <v/>
      </c>
      <c r="D149" s="14">
        <f>$K$4*C149</f>
        <v/>
      </c>
      <c r="E149" s="14">
        <f>6*B149*(1-B149)</f>
        <v/>
      </c>
      <c r="F149" s="13">
        <f>IF(D149&lt;=E149,1,0)</f>
        <v/>
      </c>
      <c r="G149" s="14">
        <f>IF(F149=1,B149,-1)</f>
        <v/>
      </c>
      <c r="H149" s="14">
        <f>IF(F149=0,B149,-1)</f>
        <v/>
      </c>
    </row>
    <row r="150">
      <c r="A150" s="13" t="n">
        <v>146</v>
      </c>
      <c r="B150" s="14">
        <f>RAND()</f>
        <v/>
      </c>
      <c r="C150" s="14">
        <f>RAND()</f>
        <v/>
      </c>
      <c r="D150" s="14">
        <f>$K$4*C150</f>
        <v/>
      </c>
      <c r="E150" s="14">
        <f>6*B150*(1-B150)</f>
        <v/>
      </c>
      <c r="F150" s="13">
        <f>IF(D150&lt;=E150,1,0)</f>
        <v/>
      </c>
      <c r="G150" s="14">
        <f>IF(F150=1,B150,-1)</f>
        <v/>
      </c>
      <c r="H150" s="14">
        <f>IF(F150=0,B150,-1)</f>
        <v/>
      </c>
    </row>
    <row r="151">
      <c r="A151" s="13" t="n">
        <v>147</v>
      </c>
      <c r="B151" s="14">
        <f>RAND()</f>
        <v/>
      </c>
      <c r="C151" s="14">
        <f>RAND()</f>
        <v/>
      </c>
      <c r="D151" s="14">
        <f>$K$4*C151</f>
        <v/>
      </c>
      <c r="E151" s="14">
        <f>6*B151*(1-B151)</f>
        <v/>
      </c>
      <c r="F151" s="13">
        <f>IF(D151&lt;=E151,1,0)</f>
        <v/>
      </c>
      <c r="G151" s="14">
        <f>IF(F151=1,B151,-1)</f>
        <v/>
      </c>
      <c r="H151" s="14">
        <f>IF(F151=0,B151,-1)</f>
        <v/>
      </c>
    </row>
    <row r="152">
      <c r="A152" s="13" t="n">
        <v>148</v>
      </c>
      <c r="B152" s="14">
        <f>RAND()</f>
        <v/>
      </c>
      <c r="C152" s="14">
        <f>RAND()</f>
        <v/>
      </c>
      <c r="D152" s="14">
        <f>$K$4*C152</f>
        <v/>
      </c>
      <c r="E152" s="14">
        <f>6*B152*(1-B152)</f>
        <v/>
      </c>
      <c r="F152" s="13">
        <f>IF(D152&lt;=E152,1,0)</f>
        <v/>
      </c>
      <c r="G152" s="14">
        <f>IF(F152=1,B152,-1)</f>
        <v/>
      </c>
      <c r="H152" s="14">
        <f>IF(F152=0,B152,-1)</f>
        <v/>
      </c>
    </row>
    <row r="153">
      <c r="A153" s="13" t="n">
        <v>149</v>
      </c>
      <c r="B153" s="14">
        <f>RAND()</f>
        <v/>
      </c>
      <c r="C153" s="14">
        <f>RAND()</f>
        <v/>
      </c>
      <c r="D153" s="14">
        <f>$K$4*C153</f>
        <v/>
      </c>
      <c r="E153" s="14">
        <f>6*B153*(1-B153)</f>
        <v/>
      </c>
      <c r="F153" s="13">
        <f>IF(D153&lt;=E153,1,0)</f>
        <v/>
      </c>
      <c r="G153" s="14">
        <f>IF(F153=1,B153,-1)</f>
        <v/>
      </c>
      <c r="H153" s="14">
        <f>IF(F153=0,B153,-1)</f>
        <v/>
      </c>
    </row>
    <row r="154">
      <c r="A154" s="13" t="n">
        <v>150</v>
      </c>
      <c r="B154" s="14">
        <f>RAND()</f>
        <v/>
      </c>
      <c r="C154" s="14">
        <f>RAND()</f>
        <v/>
      </c>
      <c r="D154" s="14">
        <f>$K$4*C154</f>
        <v/>
      </c>
      <c r="E154" s="14">
        <f>6*B154*(1-B154)</f>
        <v/>
      </c>
      <c r="F154" s="13">
        <f>IF(D154&lt;=E154,1,0)</f>
        <v/>
      </c>
      <c r="G154" s="14">
        <f>IF(F154=1,B154,-1)</f>
        <v/>
      </c>
      <c r="H154" s="14">
        <f>IF(F154=0,B154,-1)</f>
        <v/>
      </c>
    </row>
    <row r="155">
      <c r="A155" s="13" t="n">
        <v>151</v>
      </c>
      <c r="B155" s="14">
        <f>RAND()</f>
        <v/>
      </c>
      <c r="C155" s="14">
        <f>RAND()</f>
        <v/>
      </c>
      <c r="D155" s="14">
        <f>$K$4*C155</f>
        <v/>
      </c>
      <c r="E155" s="14">
        <f>6*B155*(1-B155)</f>
        <v/>
      </c>
      <c r="F155" s="13">
        <f>IF(D155&lt;=E155,1,0)</f>
        <v/>
      </c>
      <c r="G155" s="14">
        <f>IF(F155=1,B155,-1)</f>
        <v/>
      </c>
      <c r="H155" s="14">
        <f>IF(F155=0,B155,-1)</f>
        <v/>
      </c>
    </row>
    <row r="156">
      <c r="A156" s="13" t="n">
        <v>152</v>
      </c>
      <c r="B156" s="14">
        <f>RAND()</f>
        <v/>
      </c>
      <c r="C156" s="14">
        <f>RAND()</f>
        <v/>
      </c>
      <c r="D156" s="14">
        <f>$K$4*C156</f>
        <v/>
      </c>
      <c r="E156" s="14">
        <f>6*B156*(1-B156)</f>
        <v/>
      </c>
      <c r="F156" s="13">
        <f>IF(D156&lt;=E156,1,0)</f>
        <v/>
      </c>
      <c r="G156" s="14">
        <f>IF(F156=1,B156,-1)</f>
        <v/>
      </c>
      <c r="H156" s="14">
        <f>IF(F156=0,B156,-1)</f>
        <v/>
      </c>
    </row>
    <row r="157">
      <c r="A157" s="13" t="n">
        <v>153</v>
      </c>
      <c r="B157" s="14">
        <f>RAND()</f>
        <v/>
      </c>
      <c r="C157" s="14">
        <f>RAND()</f>
        <v/>
      </c>
      <c r="D157" s="14">
        <f>$K$4*C157</f>
        <v/>
      </c>
      <c r="E157" s="14">
        <f>6*B157*(1-B157)</f>
        <v/>
      </c>
      <c r="F157" s="13">
        <f>IF(D157&lt;=E157,1,0)</f>
        <v/>
      </c>
      <c r="G157" s="14">
        <f>IF(F157=1,B157,-1)</f>
        <v/>
      </c>
      <c r="H157" s="14">
        <f>IF(F157=0,B157,-1)</f>
        <v/>
      </c>
    </row>
    <row r="158">
      <c r="A158" s="13" t="n">
        <v>154</v>
      </c>
      <c r="B158" s="14">
        <f>RAND()</f>
        <v/>
      </c>
      <c r="C158" s="14">
        <f>RAND()</f>
        <v/>
      </c>
      <c r="D158" s="14">
        <f>$K$4*C158</f>
        <v/>
      </c>
      <c r="E158" s="14">
        <f>6*B158*(1-B158)</f>
        <v/>
      </c>
      <c r="F158" s="13">
        <f>IF(D158&lt;=E158,1,0)</f>
        <v/>
      </c>
      <c r="G158" s="14">
        <f>IF(F158=1,B158,-1)</f>
        <v/>
      </c>
      <c r="H158" s="14">
        <f>IF(F158=0,B158,-1)</f>
        <v/>
      </c>
    </row>
    <row r="159">
      <c r="A159" s="13" t="n">
        <v>155</v>
      </c>
      <c r="B159" s="14">
        <f>RAND()</f>
        <v/>
      </c>
      <c r="C159" s="14">
        <f>RAND()</f>
        <v/>
      </c>
      <c r="D159" s="14">
        <f>$K$4*C159</f>
        <v/>
      </c>
      <c r="E159" s="14">
        <f>6*B159*(1-B159)</f>
        <v/>
      </c>
      <c r="F159" s="13">
        <f>IF(D159&lt;=E159,1,0)</f>
        <v/>
      </c>
      <c r="G159" s="14">
        <f>IF(F159=1,B159,-1)</f>
        <v/>
      </c>
      <c r="H159" s="14">
        <f>IF(F159=0,B159,-1)</f>
        <v/>
      </c>
    </row>
    <row r="160">
      <c r="A160" s="13" t="n">
        <v>156</v>
      </c>
      <c r="B160" s="14">
        <f>RAND()</f>
        <v/>
      </c>
      <c r="C160" s="14">
        <f>RAND()</f>
        <v/>
      </c>
      <c r="D160" s="14">
        <f>$K$4*C160</f>
        <v/>
      </c>
      <c r="E160" s="14">
        <f>6*B160*(1-B160)</f>
        <v/>
      </c>
      <c r="F160" s="13">
        <f>IF(D160&lt;=E160,1,0)</f>
        <v/>
      </c>
      <c r="G160" s="14">
        <f>IF(F160=1,B160,-1)</f>
        <v/>
      </c>
      <c r="H160" s="14">
        <f>IF(F160=0,B160,-1)</f>
        <v/>
      </c>
    </row>
    <row r="161">
      <c r="A161" s="13" t="n">
        <v>157</v>
      </c>
      <c r="B161" s="14">
        <f>RAND()</f>
        <v/>
      </c>
      <c r="C161" s="14">
        <f>RAND()</f>
        <v/>
      </c>
      <c r="D161" s="14">
        <f>$K$4*C161</f>
        <v/>
      </c>
      <c r="E161" s="14">
        <f>6*B161*(1-B161)</f>
        <v/>
      </c>
      <c r="F161" s="13">
        <f>IF(D161&lt;=E161,1,0)</f>
        <v/>
      </c>
      <c r="G161" s="14">
        <f>IF(F161=1,B161,-1)</f>
        <v/>
      </c>
      <c r="H161" s="14">
        <f>IF(F161=0,B161,-1)</f>
        <v/>
      </c>
    </row>
    <row r="162">
      <c r="A162" s="13" t="n">
        <v>158</v>
      </c>
      <c r="B162" s="14">
        <f>RAND()</f>
        <v/>
      </c>
      <c r="C162" s="14">
        <f>RAND()</f>
        <v/>
      </c>
      <c r="D162" s="14">
        <f>$K$4*C162</f>
        <v/>
      </c>
      <c r="E162" s="14">
        <f>6*B162*(1-B162)</f>
        <v/>
      </c>
      <c r="F162" s="13">
        <f>IF(D162&lt;=E162,1,0)</f>
        <v/>
      </c>
      <c r="G162" s="14">
        <f>IF(F162=1,B162,-1)</f>
        <v/>
      </c>
      <c r="H162" s="14">
        <f>IF(F162=0,B162,-1)</f>
        <v/>
      </c>
    </row>
    <row r="163">
      <c r="A163" s="13" t="n">
        <v>159</v>
      </c>
      <c r="B163" s="14">
        <f>RAND()</f>
        <v/>
      </c>
      <c r="C163" s="14">
        <f>RAND()</f>
        <v/>
      </c>
      <c r="D163" s="14">
        <f>$K$4*C163</f>
        <v/>
      </c>
      <c r="E163" s="14">
        <f>6*B163*(1-B163)</f>
        <v/>
      </c>
      <c r="F163" s="13">
        <f>IF(D163&lt;=E163,1,0)</f>
        <v/>
      </c>
      <c r="G163" s="14">
        <f>IF(F163=1,B163,-1)</f>
        <v/>
      </c>
      <c r="H163" s="14">
        <f>IF(F163=0,B163,-1)</f>
        <v/>
      </c>
    </row>
    <row r="164">
      <c r="A164" s="13" t="n">
        <v>160</v>
      </c>
      <c r="B164" s="14">
        <f>RAND()</f>
        <v/>
      </c>
      <c r="C164" s="14">
        <f>RAND()</f>
        <v/>
      </c>
      <c r="D164" s="14">
        <f>$K$4*C164</f>
        <v/>
      </c>
      <c r="E164" s="14">
        <f>6*B164*(1-B164)</f>
        <v/>
      </c>
      <c r="F164" s="13">
        <f>IF(D164&lt;=E164,1,0)</f>
        <v/>
      </c>
      <c r="G164" s="14">
        <f>IF(F164=1,B164,-1)</f>
        <v/>
      </c>
      <c r="H164" s="14">
        <f>IF(F164=0,B164,-1)</f>
        <v/>
      </c>
    </row>
    <row r="165">
      <c r="A165" s="13" t="n">
        <v>161</v>
      </c>
      <c r="B165" s="14">
        <f>RAND()</f>
        <v/>
      </c>
      <c r="C165" s="14">
        <f>RAND()</f>
        <v/>
      </c>
      <c r="D165" s="14">
        <f>$K$4*C165</f>
        <v/>
      </c>
      <c r="E165" s="14">
        <f>6*B165*(1-B165)</f>
        <v/>
      </c>
      <c r="F165" s="13">
        <f>IF(D165&lt;=E165,1,0)</f>
        <v/>
      </c>
      <c r="G165" s="14">
        <f>IF(F165=1,B165,-1)</f>
        <v/>
      </c>
      <c r="H165" s="14">
        <f>IF(F165=0,B165,-1)</f>
        <v/>
      </c>
    </row>
    <row r="166">
      <c r="A166" s="13" t="n">
        <v>162</v>
      </c>
      <c r="B166" s="14">
        <f>RAND()</f>
        <v/>
      </c>
      <c r="C166" s="14">
        <f>RAND()</f>
        <v/>
      </c>
      <c r="D166" s="14">
        <f>$K$4*C166</f>
        <v/>
      </c>
      <c r="E166" s="14">
        <f>6*B166*(1-B166)</f>
        <v/>
      </c>
      <c r="F166" s="13">
        <f>IF(D166&lt;=E166,1,0)</f>
        <v/>
      </c>
      <c r="G166" s="14">
        <f>IF(F166=1,B166,-1)</f>
        <v/>
      </c>
      <c r="H166" s="14">
        <f>IF(F166=0,B166,-1)</f>
        <v/>
      </c>
    </row>
    <row r="167">
      <c r="A167" s="13" t="n">
        <v>163</v>
      </c>
      <c r="B167" s="14">
        <f>RAND()</f>
        <v/>
      </c>
      <c r="C167" s="14">
        <f>RAND()</f>
        <v/>
      </c>
      <c r="D167" s="14">
        <f>$K$4*C167</f>
        <v/>
      </c>
      <c r="E167" s="14">
        <f>6*B167*(1-B167)</f>
        <v/>
      </c>
      <c r="F167" s="13">
        <f>IF(D167&lt;=E167,1,0)</f>
        <v/>
      </c>
      <c r="G167" s="14">
        <f>IF(F167=1,B167,-1)</f>
        <v/>
      </c>
      <c r="H167" s="14">
        <f>IF(F167=0,B167,-1)</f>
        <v/>
      </c>
    </row>
    <row r="168">
      <c r="A168" s="13" t="n">
        <v>164</v>
      </c>
      <c r="B168" s="14">
        <f>RAND()</f>
        <v/>
      </c>
      <c r="C168" s="14">
        <f>RAND()</f>
        <v/>
      </c>
      <c r="D168" s="14">
        <f>$K$4*C168</f>
        <v/>
      </c>
      <c r="E168" s="14">
        <f>6*B168*(1-B168)</f>
        <v/>
      </c>
      <c r="F168" s="13">
        <f>IF(D168&lt;=E168,1,0)</f>
        <v/>
      </c>
      <c r="G168" s="14">
        <f>IF(F168=1,B168,-1)</f>
        <v/>
      </c>
      <c r="H168" s="14">
        <f>IF(F168=0,B168,-1)</f>
        <v/>
      </c>
    </row>
    <row r="169">
      <c r="A169" s="13" t="n">
        <v>165</v>
      </c>
      <c r="B169" s="14">
        <f>RAND()</f>
        <v/>
      </c>
      <c r="C169" s="14">
        <f>RAND()</f>
        <v/>
      </c>
      <c r="D169" s="14">
        <f>$K$4*C169</f>
        <v/>
      </c>
      <c r="E169" s="14">
        <f>6*B169*(1-B169)</f>
        <v/>
      </c>
      <c r="F169" s="13">
        <f>IF(D169&lt;=E169,1,0)</f>
        <v/>
      </c>
      <c r="G169" s="14">
        <f>IF(F169=1,B169,-1)</f>
        <v/>
      </c>
      <c r="H169" s="14">
        <f>IF(F169=0,B169,-1)</f>
        <v/>
      </c>
    </row>
    <row r="170">
      <c r="A170" s="13" t="n">
        <v>166</v>
      </c>
      <c r="B170" s="14">
        <f>RAND()</f>
        <v/>
      </c>
      <c r="C170" s="14">
        <f>RAND()</f>
        <v/>
      </c>
      <c r="D170" s="14">
        <f>$K$4*C170</f>
        <v/>
      </c>
      <c r="E170" s="14">
        <f>6*B170*(1-B170)</f>
        <v/>
      </c>
      <c r="F170" s="13">
        <f>IF(D170&lt;=E170,1,0)</f>
        <v/>
      </c>
      <c r="G170" s="14">
        <f>IF(F170=1,B170,-1)</f>
        <v/>
      </c>
      <c r="H170" s="14">
        <f>IF(F170=0,B170,-1)</f>
        <v/>
      </c>
    </row>
    <row r="171">
      <c r="A171" s="13" t="n">
        <v>167</v>
      </c>
      <c r="B171" s="14">
        <f>RAND()</f>
        <v/>
      </c>
      <c r="C171" s="14">
        <f>RAND()</f>
        <v/>
      </c>
      <c r="D171" s="14">
        <f>$K$4*C171</f>
        <v/>
      </c>
      <c r="E171" s="14">
        <f>6*B171*(1-B171)</f>
        <v/>
      </c>
      <c r="F171" s="13">
        <f>IF(D171&lt;=E171,1,0)</f>
        <v/>
      </c>
      <c r="G171" s="14">
        <f>IF(F171=1,B171,-1)</f>
        <v/>
      </c>
      <c r="H171" s="14">
        <f>IF(F171=0,B171,-1)</f>
        <v/>
      </c>
    </row>
    <row r="172">
      <c r="A172" s="13" t="n">
        <v>168</v>
      </c>
      <c r="B172" s="14">
        <f>RAND()</f>
        <v/>
      </c>
      <c r="C172" s="14">
        <f>RAND()</f>
        <v/>
      </c>
      <c r="D172" s="14">
        <f>$K$4*C172</f>
        <v/>
      </c>
      <c r="E172" s="14">
        <f>6*B172*(1-B172)</f>
        <v/>
      </c>
      <c r="F172" s="13">
        <f>IF(D172&lt;=E172,1,0)</f>
        <v/>
      </c>
      <c r="G172" s="14">
        <f>IF(F172=1,B172,-1)</f>
        <v/>
      </c>
      <c r="H172" s="14">
        <f>IF(F172=0,B172,-1)</f>
        <v/>
      </c>
    </row>
    <row r="173">
      <c r="A173" s="13" t="n">
        <v>169</v>
      </c>
      <c r="B173" s="14">
        <f>RAND()</f>
        <v/>
      </c>
      <c r="C173" s="14">
        <f>RAND()</f>
        <v/>
      </c>
      <c r="D173" s="14">
        <f>$K$4*C173</f>
        <v/>
      </c>
      <c r="E173" s="14">
        <f>6*B173*(1-B173)</f>
        <v/>
      </c>
      <c r="F173" s="13">
        <f>IF(D173&lt;=E173,1,0)</f>
        <v/>
      </c>
      <c r="G173" s="14">
        <f>IF(F173=1,B173,-1)</f>
        <v/>
      </c>
      <c r="H173" s="14">
        <f>IF(F173=0,B173,-1)</f>
        <v/>
      </c>
    </row>
    <row r="174">
      <c r="A174" s="13" t="n">
        <v>170</v>
      </c>
      <c r="B174" s="14">
        <f>RAND()</f>
        <v/>
      </c>
      <c r="C174" s="14">
        <f>RAND()</f>
        <v/>
      </c>
      <c r="D174" s="14">
        <f>$K$4*C174</f>
        <v/>
      </c>
      <c r="E174" s="14">
        <f>6*B174*(1-B174)</f>
        <v/>
      </c>
      <c r="F174" s="13">
        <f>IF(D174&lt;=E174,1,0)</f>
        <v/>
      </c>
      <c r="G174" s="14">
        <f>IF(F174=1,B174,-1)</f>
        <v/>
      </c>
      <c r="H174" s="14">
        <f>IF(F174=0,B174,-1)</f>
        <v/>
      </c>
    </row>
    <row r="175">
      <c r="A175" s="13" t="n">
        <v>171</v>
      </c>
      <c r="B175" s="14">
        <f>RAND()</f>
        <v/>
      </c>
      <c r="C175" s="14">
        <f>RAND()</f>
        <v/>
      </c>
      <c r="D175" s="14">
        <f>$K$4*C175</f>
        <v/>
      </c>
      <c r="E175" s="14">
        <f>6*B175*(1-B175)</f>
        <v/>
      </c>
      <c r="F175" s="13">
        <f>IF(D175&lt;=E175,1,0)</f>
        <v/>
      </c>
      <c r="G175" s="14">
        <f>IF(F175=1,B175,-1)</f>
        <v/>
      </c>
      <c r="H175" s="14">
        <f>IF(F175=0,B175,-1)</f>
        <v/>
      </c>
    </row>
    <row r="176">
      <c r="A176" s="13" t="n">
        <v>172</v>
      </c>
      <c r="B176" s="14">
        <f>RAND()</f>
        <v/>
      </c>
      <c r="C176" s="14">
        <f>RAND()</f>
        <v/>
      </c>
      <c r="D176" s="14">
        <f>$K$4*C176</f>
        <v/>
      </c>
      <c r="E176" s="14">
        <f>6*B176*(1-B176)</f>
        <v/>
      </c>
      <c r="F176" s="13">
        <f>IF(D176&lt;=E176,1,0)</f>
        <v/>
      </c>
      <c r="G176" s="14">
        <f>IF(F176=1,B176,-1)</f>
        <v/>
      </c>
      <c r="H176" s="14">
        <f>IF(F176=0,B176,-1)</f>
        <v/>
      </c>
    </row>
    <row r="177">
      <c r="A177" s="13" t="n">
        <v>173</v>
      </c>
      <c r="B177" s="14">
        <f>RAND()</f>
        <v/>
      </c>
      <c r="C177" s="14">
        <f>RAND()</f>
        <v/>
      </c>
      <c r="D177" s="14">
        <f>$K$4*C177</f>
        <v/>
      </c>
      <c r="E177" s="14">
        <f>6*B177*(1-B177)</f>
        <v/>
      </c>
      <c r="F177" s="13">
        <f>IF(D177&lt;=E177,1,0)</f>
        <v/>
      </c>
      <c r="G177" s="14">
        <f>IF(F177=1,B177,-1)</f>
        <v/>
      </c>
      <c r="H177" s="14">
        <f>IF(F177=0,B177,-1)</f>
        <v/>
      </c>
    </row>
    <row r="178">
      <c r="A178" s="13" t="n">
        <v>174</v>
      </c>
      <c r="B178" s="14">
        <f>RAND()</f>
        <v/>
      </c>
      <c r="C178" s="14">
        <f>RAND()</f>
        <v/>
      </c>
      <c r="D178" s="14">
        <f>$K$4*C178</f>
        <v/>
      </c>
      <c r="E178" s="14">
        <f>6*B178*(1-B178)</f>
        <v/>
      </c>
      <c r="F178" s="13">
        <f>IF(D178&lt;=E178,1,0)</f>
        <v/>
      </c>
      <c r="G178" s="14">
        <f>IF(F178=1,B178,-1)</f>
        <v/>
      </c>
      <c r="H178" s="14">
        <f>IF(F178=0,B178,-1)</f>
        <v/>
      </c>
    </row>
    <row r="179">
      <c r="A179" s="13" t="n">
        <v>175</v>
      </c>
      <c r="B179" s="14">
        <f>RAND()</f>
        <v/>
      </c>
      <c r="C179" s="14">
        <f>RAND()</f>
        <v/>
      </c>
      <c r="D179" s="14">
        <f>$K$4*C179</f>
        <v/>
      </c>
      <c r="E179" s="14">
        <f>6*B179*(1-B179)</f>
        <v/>
      </c>
      <c r="F179" s="13">
        <f>IF(D179&lt;=E179,1,0)</f>
        <v/>
      </c>
      <c r="G179" s="14">
        <f>IF(F179=1,B179,-1)</f>
        <v/>
      </c>
      <c r="H179" s="14">
        <f>IF(F179=0,B179,-1)</f>
        <v/>
      </c>
    </row>
    <row r="180">
      <c r="A180" s="13" t="n">
        <v>176</v>
      </c>
      <c r="B180" s="14">
        <f>RAND()</f>
        <v/>
      </c>
      <c r="C180" s="14">
        <f>RAND()</f>
        <v/>
      </c>
      <c r="D180" s="14">
        <f>$K$4*C180</f>
        <v/>
      </c>
      <c r="E180" s="14">
        <f>6*B180*(1-B180)</f>
        <v/>
      </c>
      <c r="F180" s="13">
        <f>IF(D180&lt;=E180,1,0)</f>
        <v/>
      </c>
      <c r="G180" s="14">
        <f>IF(F180=1,B180,-1)</f>
        <v/>
      </c>
      <c r="H180" s="14">
        <f>IF(F180=0,B180,-1)</f>
        <v/>
      </c>
    </row>
    <row r="181">
      <c r="A181" s="13" t="n">
        <v>177</v>
      </c>
      <c r="B181" s="14">
        <f>RAND()</f>
        <v/>
      </c>
      <c r="C181" s="14">
        <f>RAND()</f>
        <v/>
      </c>
      <c r="D181" s="14">
        <f>$K$4*C181</f>
        <v/>
      </c>
      <c r="E181" s="14">
        <f>6*B181*(1-B181)</f>
        <v/>
      </c>
      <c r="F181" s="13">
        <f>IF(D181&lt;=E181,1,0)</f>
        <v/>
      </c>
      <c r="G181" s="14">
        <f>IF(F181=1,B181,-1)</f>
        <v/>
      </c>
      <c r="H181" s="14">
        <f>IF(F181=0,B181,-1)</f>
        <v/>
      </c>
    </row>
    <row r="182">
      <c r="A182" s="13" t="n">
        <v>178</v>
      </c>
      <c r="B182" s="14">
        <f>RAND()</f>
        <v/>
      </c>
      <c r="C182" s="14">
        <f>RAND()</f>
        <v/>
      </c>
      <c r="D182" s="14">
        <f>$K$4*C182</f>
        <v/>
      </c>
      <c r="E182" s="14">
        <f>6*B182*(1-B182)</f>
        <v/>
      </c>
      <c r="F182" s="13">
        <f>IF(D182&lt;=E182,1,0)</f>
        <v/>
      </c>
      <c r="G182" s="14">
        <f>IF(F182=1,B182,-1)</f>
        <v/>
      </c>
      <c r="H182" s="14">
        <f>IF(F182=0,B182,-1)</f>
        <v/>
      </c>
    </row>
    <row r="183">
      <c r="A183" s="13" t="n">
        <v>179</v>
      </c>
      <c r="B183" s="14">
        <f>RAND()</f>
        <v/>
      </c>
      <c r="C183" s="14">
        <f>RAND()</f>
        <v/>
      </c>
      <c r="D183" s="14">
        <f>$K$4*C183</f>
        <v/>
      </c>
      <c r="E183" s="14">
        <f>6*B183*(1-B183)</f>
        <v/>
      </c>
      <c r="F183" s="13">
        <f>IF(D183&lt;=E183,1,0)</f>
        <v/>
      </c>
      <c r="G183" s="14">
        <f>IF(F183=1,B183,-1)</f>
        <v/>
      </c>
      <c r="H183" s="14">
        <f>IF(F183=0,B183,-1)</f>
        <v/>
      </c>
    </row>
    <row r="184">
      <c r="A184" s="13" t="n">
        <v>180</v>
      </c>
      <c r="B184" s="14">
        <f>RAND()</f>
        <v/>
      </c>
      <c r="C184" s="14">
        <f>RAND()</f>
        <v/>
      </c>
      <c r="D184" s="14">
        <f>$K$4*C184</f>
        <v/>
      </c>
      <c r="E184" s="14">
        <f>6*B184*(1-B184)</f>
        <v/>
      </c>
      <c r="F184" s="13">
        <f>IF(D184&lt;=E184,1,0)</f>
        <v/>
      </c>
      <c r="G184" s="14">
        <f>IF(F184=1,B184,-1)</f>
        <v/>
      </c>
      <c r="H184" s="14">
        <f>IF(F184=0,B184,-1)</f>
        <v/>
      </c>
    </row>
    <row r="185">
      <c r="A185" s="13" t="n">
        <v>181</v>
      </c>
      <c r="B185" s="14">
        <f>RAND()</f>
        <v/>
      </c>
      <c r="C185" s="14">
        <f>RAND()</f>
        <v/>
      </c>
      <c r="D185" s="14">
        <f>$K$4*C185</f>
        <v/>
      </c>
      <c r="E185" s="14">
        <f>6*B185*(1-B185)</f>
        <v/>
      </c>
      <c r="F185" s="13">
        <f>IF(D185&lt;=E185,1,0)</f>
        <v/>
      </c>
      <c r="G185" s="14">
        <f>IF(F185=1,B185,-1)</f>
        <v/>
      </c>
      <c r="H185" s="14">
        <f>IF(F185=0,B185,-1)</f>
        <v/>
      </c>
    </row>
    <row r="186">
      <c r="A186" s="13" t="n">
        <v>182</v>
      </c>
      <c r="B186" s="14">
        <f>RAND()</f>
        <v/>
      </c>
      <c r="C186" s="14">
        <f>RAND()</f>
        <v/>
      </c>
      <c r="D186" s="14">
        <f>$K$4*C186</f>
        <v/>
      </c>
      <c r="E186" s="14">
        <f>6*B186*(1-B186)</f>
        <v/>
      </c>
      <c r="F186" s="13">
        <f>IF(D186&lt;=E186,1,0)</f>
        <v/>
      </c>
      <c r="G186" s="14">
        <f>IF(F186=1,B186,-1)</f>
        <v/>
      </c>
      <c r="H186" s="14">
        <f>IF(F186=0,B186,-1)</f>
        <v/>
      </c>
    </row>
    <row r="187">
      <c r="A187" s="13" t="n">
        <v>183</v>
      </c>
      <c r="B187" s="14">
        <f>RAND()</f>
        <v/>
      </c>
      <c r="C187" s="14">
        <f>RAND()</f>
        <v/>
      </c>
      <c r="D187" s="14">
        <f>$K$4*C187</f>
        <v/>
      </c>
      <c r="E187" s="14">
        <f>6*B187*(1-B187)</f>
        <v/>
      </c>
      <c r="F187" s="13">
        <f>IF(D187&lt;=E187,1,0)</f>
        <v/>
      </c>
      <c r="G187" s="14">
        <f>IF(F187=1,B187,-1)</f>
        <v/>
      </c>
      <c r="H187" s="14">
        <f>IF(F187=0,B187,-1)</f>
        <v/>
      </c>
    </row>
    <row r="188">
      <c r="A188" s="13" t="n">
        <v>184</v>
      </c>
      <c r="B188" s="14">
        <f>RAND()</f>
        <v/>
      </c>
      <c r="C188" s="14">
        <f>RAND()</f>
        <v/>
      </c>
      <c r="D188" s="14">
        <f>$K$4*C188</f>
        <v/>
      </c>
      <c r="E188" s="14">
        <f>6*B188*(1-B188)</f>
        <v/>
      </c>
      <c r="F188" s="13">
        <f>IF(D188&lt;=E188,1,0)</f>
        <v/>
      </c>
      <c r="G188" s="14">
        <f>IF(F188=1,B188,-1)</f>
        <v/>
      </c>
      <c r="H188" s="14">
        <f>IF(F188=0,B188,-1)</f>
        <v/>
      </c>
    </row>
    <row r="189">
      <c r="A189" s="13" t="n">
        <v>185</v>
      </c>
      <c r="B189" s="14">
        <f>RAND()</f>
        <v/>
      </c>
      <c r="C189" s="14">
        <f>RAND()</f>
        <v/>
      </c>
      <c r="D189" s="14">
        <f>$K$4*C189</f>
        <v/>
      </c>
      <c r="E189" s="14">
        <f>6*B189*(1-B189)</f>
        <v/>
      </c>
      <c r="F189" s="13">
        <f>IF(D189&lt;=E189,1,0)</f>
        <v/>
      </c>
      <c r="G189" s="14">
        <f>IF(F189=1,B189,-1)</f>
        <v/>
      </c>
      <c r="H189" s="14">
        <f>IF(F189=0,B189,-1)</f>
        <v/>
      </c>
    </row>
    <row r="190">
      <c r="A190" s="13" t="n">
        <v>186</v>
      </c>
      <c r="B190" s="14">
        <f>RAND()</f>
        <v/>
      </c>
      <c r="C190" s="14">
        <f>RAND()</f>
        <v/>
      </c>
      <c r="D190" s="14">
        <f>$K$4*C190</f>
        <v/>
      </c>
      <c r="E190" s="14">
        <f>6*B190*(1-B190)</f>
        <v/>
      </c>
      <c r="F190" s="13">
        <f>IF(D190&lt;=E190,1,0)</f>
        <v/>
      </c>
      <c r="G190" s="14">
        <f>IF(F190=1,B190,-1)</f>
        <v/>
      </c>
      <c r="H190" s="14">
        <f>IF(F190=0,B190,-1)</f>
        <v/>
      </c>
    </row>
    <row r="191">
      <c r="A191" s="13" t="n">
        <v>187</v>
      </c>
      <c r="B191" s="14">
        <f>RAND()</f>
        <v/>
      </c>
      <c r="C191" s="14">
        <f>RAND()</f>
        <v/>
      </c>
      <c r="D191" s="14">
        <f>$K$4*C191</f>
        <v/>
      </c>
      <c r="E191" s="14">
        <f>6*B191*(1-B191)</f>
        <v/>
      </c>
      <c r="F191" s="13">
        <f>IF(D191&lt;=E191,1,0)</f>
        <v/>
      </c>
      <c r="G191" s="14">
        <f>IF(F191=1,B191,-1)</f>
        <v/>
      </c>
      <c r="H191" s="14">
        <f>IF(F191=0,B191,-1)</f>
        <v/>
      </c>
    </row>
    <row r="192">
      <c r="A192" s="13" t="n">
        <v>188</v>
      </c>
      <c r="B192" s="14">
        <f>RAND()</f>
        <v/>
      </c>
      <c r="C192" s="14">
        <f>RAND()</f>
        <v/>
      </c>
      <c r="D192" s="14">
        <f>$K$4*C192</f>
        <v/>
      </c>
      <c r="E192" s="14">
        <f>6*B192*(1-B192)</f>
        <v/>
      </c>
      <c r="F192" s="13">
        <f>IF(D192&lt;=E192,1,0)</f>
        <v/>
      </c>
      <c r="G192" s="14">
        <f>IF(F192=1,B192,-1)</f>
        <v/>
      </c>
      <c r="H192" s="14">
        <f>IF(F192=0,B192,-1)</f>
        <v/>
      </c>
    </row>
    <row r="193">
      <c r="A193" s="13" t="n">
        <v>189</v>
      </c>
      <c r="B193" s="14">
        <f>RAND()</f>
        <v/>
      </c>
      <c r="C193" s="14">
        <f>RAND()</f>
        <v/>
      </c>
      <c r="D193" s="14">
        <f>$K$4*C193</f>
        <v/>
      </c>
      <c r="E193" s="14">
        <f>6*B193*(1-B193)</f>
        <v/>
      </c>
      <c r="F193" s="13">
        <f>IF(D193&lt;=E193,1,0)</f>
        <v/>
      </c>
      <c r="G193" s="14">
        <f>IF(F193=1,B193,-1)</f>
        <v/>
      </c>
      <c r="H193" s="14">
        <f>IF(F193=0,B193,-1)</f>
        <v/>
      </c>
    </row>
    <row r="194">
      <c r="A194" s="13" t="n">
        <v>190</v>
      </c>
      <c r="B194" s="14">
        <f>RAND()</f>
        <v/>
      </c>
      <c r="C194" s="14">
        <f>RAND()</f>
        <v/>
      </c>
      <c r="D194" s="14">
        <f>$K$4*C194</f>
        <v/>
      </c>
      <c r="E194" s="14">
        <f>6*B194*(1-B194)</f>
        <v/>
      </c>
      <c r="F194" s="13">
        <f>IF(D194&lt;=E194,1,0)</f>
        <v/>
      </c>
      <c r="G194" s="14">
        <f>IF(F194=1,B194,-1)</f>
        <v/>
      </c>
      <c r="H194" s="14">
        <f>IF(F194=0,B194,-1)</f>
        <v/>
      </c>
    </row>
    <row r="195">
      <c r="A195" s="13" t="n">
        <v>191</v>
      </c>
      <c r="B195" s="14">
        <f>RAND()</f>
        <v/>
      </c>
      <c r="C195" s="14">
        <f>RAND()</f>
        <v/>
      </c>
      <c r="D195" s="14">
        <f>$K$4*C195</f>
        <v/>
      </c>
      <c r="E195" s="14">
        <f>6*B195*(1-B195)</f>
        <v/>
      </c>
      <c r="F195" s="13">
        <f>IF(D195&lt;=E195,1,0)</f>
        <v/>
      </c>
      <c r="G195" s="14">
        <f>IF(F195=1,B195,-1)</f>
        <v/>
      </c>
      <c r="H195" s="14">
        <f>IF(F195=0,B195,-1)</f>
        <v/>
      </c>
    </row>
    <row r="196">
      <c r="A196" s="13" t="n">
        <v>192</v>
      </c>
      <c r="B196" s="14">
        <f>RAND()</f>
        <v/>
      </c>
      <c r="C196" s="14">
        <f>RAND()</f>
        <v/>
      </c>
      <c r="D196" s="14">
        <f>$K$4*C196</f>
        <v/>
      </c>
      <c r="E196" s="14">
        <f>6*B196*(1-B196)</f>
        <v/>
      </c>
      <c r="F196" s="13">
        <f>IF(D196&lt;=E196,1,0)</f>
        <v/>
      </c>
      <c r="G196" s="14">
        <f>IF(F196=1,B196,-1)</f>
        <v/>
      </c>
      <c r="H196" s="14">
        <f>IF(F196=0,B196,-1)</f>
        <v/>
      </c>
    </row>
    <row r="197">
      <c r="A197" s="13" t="n">
        <v>193</v>
      </c>
      <c r="B197" s="14">
        <f>RAND()</f>
        <v/>
      </c>
      <c r="C197" s="14">
        <f>RAND()</f>
        <v/>
      </c>
      <c r="D197" s="14">
        <f>$K$4*C197</f>
        <v/>
      </c>
      <c r="E197" s="14">
        <f>6*B197*(1-B197)</f>
        <v/>
      </c>
      <c r="F197" s="13">
        <f>IF(D197&lt;=E197,1,0)</f>
        <v/>
      </c>
      <c r="G197" s="14">
        <f>IF(F197=1,B197,-1)</f>
        <v/>
      </c>
      <c r="H197" s="14">
        <f>IF(F197=0,B197,-1)</f>
        <v/>
      </c>
    </row>
    <row r="198">
      <c r="A198" s="13" t="n">
        <v>194</v>
      </c>
      <c r="B198" s="14">
        <f>RAND()</f>
        <v/>
      </c>
      <c r="C198" s="14">
        <f>RAND()</f>
        <v/>
      </c>
      <c r="D198" s="14">
        <f>$K$4*C198</f>
        <v/>
      </c>
      <c r="E198" s="14">
        <f>6*B198*(1-B198)</f>
        <v/>
      </c>
      <c r="F198" s="13">
        <f>IF(D198&lt;=E198,1,0)</f>
        <v/>
      </c>
      <c r="G198" s="14">
        <f>IF(F198=1,B198,-1)</f>
        <v/>
      </c>
      <c r="H198" s="14">
        <f>IF(F198=0,B198,-1)</f>
        <v/>
      </c>
    </row>
    <row r="199">
      <c r="A199" s="13" t="n">
        <v>195</v>
      </c>
      <c r="B199" s="14">
        <f>RAND()</f>
        <v/>
      </c>
      <c r="C199" s="14">
        <f>RAND()</f>
        <v/>
      </c>
      <c r="D199" s="14">
        <f>$K$4*C199</f>
        <v/>
      </c>
      <c r="E199" s="14">
        <f>6*B199*(1-B199)</f>
        <v/>
      </c>
      <c r="F199" s="13">
        <f>IF(D199&lt;=E199,1,0)</f>
        <v/>
      </c>
      <c r="G199" s="14">
        <f>IF(F199=1,B199,-1)</f>
        <v/>
      </c>
      <c r="H199" s="14">
        <f>IF(F199=0,B199,-1)</f>
        <v/>
      </c>
    </row>
    <row r="200">
      <c r="A200" s="13" t="n">
        <v>196</v>
      </c>
      <c r="B200" s="14">
        <f>RAND()</f>
        <v/>
      </c>
      <c r="C200" s="14">
        <f>RAND()</f>
        <v/>
      </c>
      <c r="D200" s="14">
        <f>$K$4*C200</f>
        <v/>
      </c>
      <c r="E200" s="14">
        <f>6*B200*(1-B200)</f>
        <v/>
      </c>
      <c r="F200" s="13">
        <f>IF(D200&lt;=E200,1,0)</f>
        <v/>
      </c>
      <c r="G200" s="14">
        <f>IF(F200=1,B200,-1)</f>
        <v/>
      </c>
      <c r="H200" s="14">
        <f>IF(F200=0,B200,-1)</f>
        <v/>
      </c>
    </row>
    <row r="201">
      <c r="A201" s="13" t="n">
        <v>197</v>
      </c>
      <c r="B201" s="14">
        <f>RAND()</f>
        <v/>
      </c>
      <c r="C201" s="14">
        <f>RAND()</f>
        <v/>
      </c>
      <c r="D201" s="14">
        <f>$K$4*C201</f>
        <v/>
      </c>
      <c r="E201" s="14">
        <f>6*B201*(1-B201)</f>
        <v/>
      </c>
      <c r="F201" s="13">
        <f>IF(D201&lt;=E201,1,0)</f>
        <v/>
      </c>
      <c r="G201" s="14">
        <f>IF(F201=1,B201,-1)</f>
        <v/>
      </c>
      <c r="H201" s="14">
        <f>IF(F201=0,B201,-1)</f>
        <v/>
      </c>
    </row>
    <row r="202">
      <c r="A202" s="13" t="n">
        <v>198</v>
      </c>
      <c r="B202" s="14">
        <f>RAND()</f>
        <v/>
      </c>
      <c r="C202" s="14">
        <f>RAND()</f>
        <v/>
      </c>
      <c r="D202" s="14">
        <f>$K$4*C202</f>
        <v/>
      </c>
      <c r="E202" s="14">
        <f>6*B202*(1-B202)</f>
        <v/>
      </c>
      <c r="F202" s="13">
        <f>IF(D202&lt;=E202,1,0)</f>
        <v/>
      </c>
      <c r="G202" s="14">
        <f>IF(F202=1,B202,-1)</f>
        <v/>
      </c>
      <c r="H202" s="14">
        <f>IF(F202=0,B202,-1)</f>
        <v/>
      </c>
    </row>
    <row r="203">
      <c r="A203" s="13" t="n">
        <v>199</v>
      </c>
      <c r="B203" s="14">
        <f>RAND()</f>
        <v/>
      </c>
      <c r="C203" s="14">
        <f>RAND()</f>
        <v/>
      </c>
      <c r="D203" s="14">
        <f>$K$4*C203</f>
        <v/>
      </c>
      <c r="E203" s="14">
        <f>6*B203*(1-B203)</f>
        <v/>
      </c>
      <c r="F203" s="13">
        <f>IF(D203&lt;=E203,1,0)</f>
        <v/>
      </c>
      <c r="G203" s="14">
        <f>IF(F203=1,B203,-1)</f>
        <v/>
      </c>
      <c r="H203" s="14">
        <f>IF(F203=0,B203,-1)</f>
        <v/>
      </c>
    </row>
    <row r="204">
      <c r="A204" s="13" t="n">
        <v>200</v>
      </c>
      <c r="B204" s="14">
        <f>RAND()</f>
        <v/>
      </c>
      <c r="C204" s="14">
        <f>RAND()</f>
        <v/>
      </c>
      <c r="D204" s="14">
        <f>$K$4*C204</f>
        <v/>
      </c>
      <c r="E204" s="14">
        <f>6*B204*(1-B204)</f>
        <v/>
      </c>
      <c r="F204" s="13">
        <f>IF(D204&lt;=E204,1,0)</f>
        <v/>
      </c>
      <c r="G204" s="14">
        <f>IF(F204=1,B204,-1)</f>
        <v/>
      </c>
      <c r="H204" s="14">
        <f>IF(F204=0,B204,-1)</f>
        <v/>
      </c>
    </row>
    <row r="205">
      <c r="A205" s="13" t="n">
        <v>201</v>
      </c>
      <c r="B205" s="14">
        <f>RAND()</f>
        <v/>
      </c>
      <c r="C205" s="14">
        <f>RAND()</f>
        <v/>
      </c>
      <c r="D205" s="14">
        <f>$K$4*C205</f>
        <v/>
      </c>
      <c r="E205" s="14">
        <f>6*B205*(1-B205)</f>
        <v/>
      </c>
      <c r="F205" s="13">
        <f>IF(D205&lt;=E205,1,0)</f>
        <v/>
      </c>
      <c r="G205" s="14">
        <f>IF(F205=1,B205,-1)</f>
        <v/>
      </c>
      <c r="H205" s="14">
        <f>IF(F205=0,B205,-1)</f>
        <v/>
      </c>
    </row>
    <row r="206">
      <c r="A206" s="13" t="n">
        <v>202</v>
      </c>
      <c r="B206" s="14">
        <f>RAND()</f>
        <v/>
      </c>
      <c r="C206" s="14">
        <f>RAND()</f>
        <v/>
      </c>
      <c r="D206" s="14">
        <f>$K$4*C206</f>
        <v/>
      </c>
      <c r="E206" s="14">
        <f>6*B206*(1-B206)</f>
        <v/>
      </c>
      <c r="F206" s="13">
        <f>IF(D206&lt;=E206,1,0)</f>
        <v/>
      </c>
      <c r="G206" s="14">
        <f>IF(F206=1,B206,-1)</f>
        <v/>
      </c>
      <c r="H206" s="14">
        <f>IF(F206=0,B206,-1)</f>
        <v/>
      </c>
    </row>
    <row r="207">
      <c r="A207" s="13" t="n">
        <v>203</v>
      </c>
      <c r="B207" s="14">
        <f>RAND()</f>
        <v/>
      </c>
      <c r="C207" s="14">
        <f>RAND()</f>
        <v/>
      </c>
      <c r="D207" s="14">
        <f>$K$4*C207</f>
        <v/>
      </c>
      <c r="E207" s="14">
        <f>6*B207*(1-B207)</f>
        <v/>
      </c>
      <c r="F207" s="13">
        <f>IF(D207&lt;=E207,1,0)</f>
        <v/>
      </c>
      <c r="G207" s="14">
        <f>IF(F207=1,B207,-1)</f>
        <v/>
      </c>
      <c r="H207" s="14">
        <f>IF(F207=0,B207,-1)</f>
        <v/>
      </c>
    </row>
    <row r="208">
      <c r="A208" s="13" t="n">
        <v>204</v>
      </c>
      <c r="B208" s="14">
        <f>RAND()</f>
        <v/>
      </c>
      <c r="C208" s="14">
        <f>RAND()</f>
        <v/>
      </c>
      <c r="D208" s="14">
        <f>$K$4*C208</f>
        <v/>
      </c>
      <c r="E208" s="14">
        <f>6*B208*(1-B208)</f>
        <v/>
      </c>
      <c r="F208" s="13">
        <f>IF(D208&lt;=E208,1,0)</f>
        <v/>
      </c>
      <c r="G208" s="14">
        <f>IF(F208=1,B208,-1)</f>
        <v/>
      </c>
      <c r="H208" s="14">
        <f>IF(F208=0,B208,-1)</f>
        <v/>
      </c>
    </row>
    <row r="209">
      <c r="A209" s="13" t="n">
        <v>205</v>
      </c>
      <c r="B209" s="14">
        <f>RAND()</f>
        <v/>
      </c>
      <c r="C209" s="14">
        <f>RAND()</f>
        <v/>
      </c>
      <c r="D209" s="14">
        <f>$K$4*C209</f>
        <v/>
      </c>
      <c r="E209" s="14">
        <f>6*B209*(1-B209)</f>
        <v/>
      </c>
      <c r="F209" s="13">
        <f>IF(D209&lt;=E209,1,0)</f>
        <v/>
      </c>
      <c r="G209" s="14">
        <f>IF(F209=1,B209,-1)</f>
        <v/>
      </c>
      <c r="H209" s="14">
        <f>IF(F209=0,B209,-1)</f>
        <v/>
      </c>
    </row>
    <row r="210">
      <c r="A210" s="13" t="n">
        <v>206</v>
      </c>
      <c r="B210" s="14">
        <f>RAND()</f>
        <v/>
      </c>
      <c r="C210" s="14">
        <f>RAND()</f>
        <v/>
      </c>
      <c r="D210" s="14">
        <f>$K$4*C210</f>
        <v/>
      </c>
      <c r="E210" s="14">
        <f>6*B210*(1-B210)</f>
        <v/>
      </c>
      <c r="F210" s="13">
        <f>IF(D210&lt;=E210,1,0)</f>
        <v/>
      </c>
      <c r="G210" s="14">
        <f>IF(F210=1,B210,-1)</f>
        <v/>
      </c>
      <c r="H210" s="14">
        <f>IF(F210=0,B210,-1)</f>
        <v/>
      </c>
    </row>
    <row r="211">
      <c r="A211" s="13" t="n">
        <v>207</v>
      </c>
      <c r="B211" s="14">
        <f>RAND()</f>
        <v/>
      </c>
      <c r="C211" s="14">
        <f>RAND()</f>
        <v/>
      </c>
      <c r="D211" s="14">
        <f>$K$4*C211</f>
        <v/>
      </c>
      <c r="E211" s="14">
        <f>6*B211*(1-B211)</f>
        <v/>
      </c>
      <c r="F211" s="13">
        <f>IF(D211&lt;=E211,1,0)</f>
        <v/>
      </c>
      <c r="G211" s="14">
        <f>IF(F211=1,B211,-1)</f>
        <v/>
      </c>
      <c r="H211" s="14">
        <f>IF(F211=0,B211,-1)</f>
        <v/>
      </c>
    </row>
    <row r="212">
      <c r="A212" s="13" t="n">
        <v>208</v>
      </c>
      <c r="B212" s="14">
        <f>RAND()</f>
        <v/>
      </c>
      <c r="C212" s="14">
        <f>RAND()</f>
        <v/>
      </c>
      <c r="D212" s="14">
        <f>$K$4*C212</f>
        <v/>
      </c>
      <c r="E212" s="14">
        <f>6*B212*(1-B212)</f>
        <v/>
      </c>
      <c r="F212" s="13">
        <f>IF(D212&lt;=E212,1,0)</f>
        <v/>
      </c>
      <c r="G212" s="14">
        <f>IF(F212=1,B212,-1)</f>
        <v/>
      </c>
      <c r="H212" s="14">
        <f>IF(F212=0,B212,-1)</f>
        <v/>
      </c>
    </row>
    <row r="213">
      <c r="A213" s="13" t="n">
        <v>209</v>
      </c>
      <c r="B213" s="14">
        <f>RAND()</f>
        <v/>
      </c>
      <c r="C213" s="14">
        <f>RAND()</f>
        <v/>
      </c>
      <c r="D213" s="14">
        <f>$K$4*C213</f>
        <v/>
      </c>
      <c r="E213" s="14">
        <f>6*B213*(1-B213)</f>
        <v/>
      </c>
      <c r="F213" s="13">
        <f>IF(D213&lt;=E213,1,0)</f>
        <v/>
      </c>
      <c r="G213" s="14">
        <f>IF(F213=1,B213,-1)</f>
        <v/>
      </c>
      <c r="H213" s="14">
        <f>IF(F213=0,B213,-1)</f>
        <v/>
      </c>
    </row>
    <row r="214">
      <c r="A214" s="13" t="n">
        <v>210</v>
      </c>
      <c r="B214" s="14">
        <f>RAND()</f>
        <v/>
      </c>
      <c r="C214" s="14">
        <f>RAND()</f>
        <v/>
      </c>
      <c r="D214" s="14">
        <f>$K$4*C214</f>
        <v/>
      </c>
      <c r="E214" s="14">
        <f>6*B214*(1-B214)</f>
        <v/>
      </c>
      <c r="F214" s="13">
        <f>IF(D214&lt;=E214,1,0)</f>
        <v/>
      </c>
      <c r="G214" s="14">
        <f>IF(F214=1,B214,-1)</f>
        <v/>
      </c>
      <c r="H214" s="14">
        <f>IF(F214=0,B214,-1)</f>
        <v/>
      </c>
    </row>
    <row r="215">
      <c r="A215" s="13" t="n">
        <v>211</v>
      </c>
      <c r="B215" s="14">
        <f>RAND()</f>
        <v/>
      </c>
      <c r="C215" s="14">
        <f>RAND()</f>
        <v/>
      </c>
      <c r="D215" s="14">
        <f>$K$4*C215</f>
        <v/>
      </c>
      <c r="E215" s="14">
        <f>6*B215*(1-B215)</f>
        <v/>
      </c>
      <c r="F215" s="13">
        <f>IF(D215&lt;=E215,1,0)</f>
        <v/>
      </c>
      <c r="G215" s="14">
        <f>IF(F215=1,B215,-1)</f>
        <v/>
      </c>
      <c r="H215" s="14">
        <f>IF(F215=0,B215,-1)</f>
        <v/>
      </c>
    </row>
    <row r="216">
      <c r="A216" s="13" t="n">
        <v>212</v>
      </c>
      <c r="B216" s="14">
        <f>RAND()</f>
        <v/>
      </c>
      <c r="C216" s="14">
        <f>RAND()</f>
        <v/>
      </c>
      <c r="D216" s="14">
        <f>$K$4*C216</f>
        <v/>
      </c>
      <c r="E216" s="14">
        <f>6*B216*(1-B216)</f>
        <v/>
      </c>
      <c r="F216" s="13">
        <f>IF(D216&lt;=E216,1,0)</f>
        <v/>
      </c>
      <c r="G216" s="14">
        <f>IF(F216=1,B216,-1)</f>
        <v/>
      </c>
      <c r="H216" s="14">
        <f>IF(F216=0,B216,-1)</f>
        <v/>
      </c>
    </row>
    <row r="217">
      <c r="A217" s="13" t="n">
        <v>213</v>
      </c>
      <c r="B217" s="14">
        <f>RAND()</f>
        <v/>
      </c>
      <c r="C217" s="14">
        <f>RAND()</f>
        <v/>
      </c>
      <c r="D217" s="14">
        <f>$K$4*C217</f>
        <v/>
      </c>
      <c r="E217" s="14">
        <f>6*B217*(1-B217)</f>
        <v/>
      </c>
      <c r="F217" s="13">
        <f>IF(D217&lt;=E217,1,0)</f>
        <v/>
      </c>
      <c r="G217" s="14">
        <f>IF(F217=1,B217,-1)</f>
        <v/>
      </c>
      <c r="H217" s="14">
        <f>IF(F217=0,B217,-1)</f>
        <v/>
      </c>
    </row>
    <row r="218">
      <c r="A218" s="13" t="n">
        <v>214</v>
      </c>
      <c r="B218" s="14">
        <f>RAND()</f>
        <v/>
      </c>
      <c r="C218" s="14">
        <f>RAND()</f>
        <v/>
      </c>
      <c r="D218" s="14">
        <f>$K$4*C218</f>
        <v/>
      </c>
      <c r="E218" s="14">
        <f>6*B218*(1-B218)</f>
        <v/>
      </c>
      <c r="F218" s="13">
        <f>IF(D218&lt;=E218,1,0)</f>
        <v/>
      </c>
      <c r="G218" s="14">
        <f>IF(F218=1,B218,-1)</f>
        <v/>
      </c>
      <c r="H218" s="14">
        <f>IF(F218=0,B218,-1)</f>
        <v/>
      </c>
    </row>
    <row r="219">
      <c r="A219" s="13" t="n">
        <v>215</v>
      </c>
      <c r="B219" s="14">
        <f>RAND()</f>
        <v/>
      </c>
      <c r="C219" s="14">
        <f>RAND()</f>
        <v/>
      </c>
      <c r="D219" s="14">
        <f>$K$4*C219</f>
        <v/>
      </c>
      <c r="E219" s="14">
        <f>6*B219*(1-B219)</f>
        <v/>
      </c>
      <c r="F219" s="13">
        <f>IF(D219&lt;=E219,1,0)</f>
        <v/>
      </c>
      <c r="G219" s="14">
        <f>IF(F219=1,B219,-1)</f>
        <v/>
      </c>
      <c r="H219" s="14">
        <f>IF(F219=0,B219,-1)</f>
        <v/>
      </c>
    </row>
    <row r="220">
      <c r="A220" s="13" t="n">
        <v>216</v>
      </c>
      <c r="B220" s="14">
        <f>RAND()</f>
        <v/>
      </c>
      <c r="C220" s="14">
        <f>RAND()</f>
        <v/>
      </c>
      <c r="D220" s="14">
        <f>$K$4*C220</f>
        <v/>
      </c>
      <c r="E220" s="14">
        <f>6*B220*(1-B220)</f>
        <v/>
      </c>
      <c r="F220" s="13">
        <f>IF(D220&lt;=E220,1,0)</f>
        <v/>
      </c>
      <c r="G220" s="14">
        <f>IF(F220=1,B220,-1)</f>
        <v/>
      </c>
      <c r="H220" s="14">
        <f>IF(F220=0,B220,-1)</f>
        <v/>
      </c>
    </row>
    <row r="221">
      <c r="A221" s="13" t="n">
        <v>217</v>
      </c>
      <c r="B221" s="14">
        <f>RAND()</f>
        <v/>
      </c>
      <c r="C221" s="14">
        <f>RAND()</f>
        <v/>
      </c>
      <c r="D221" s="14">
        <f>$K$4*C221</f>
        <v/>
      </c>
      <c r="E221" s="14">
        <f>6*B221*(1-B221)</f>
        <v/>
      </c>
      <c r="F221" s="13">
        <f>IF(D221&lt;=E221,1,0)</f>
        <v/>
      </c>
      <c r="G221" s="14">
        <f>IF(F221=1,B221,-1)</f>
        <v/>
      </c>
      <c r="H221" s="14">
        <f>IF(F221=0,B221,-1)</f>
        <v/>
      </c>
    </row>
    <row r="222">
      <c r="A222" s="13" t="n">
        <v>218</v>
      </c>
      <c r="B222" s="14">
        <f>RAND()</f>
        <v/>
      </c>
      <c r="C222" s="14">
        <f>RAND()</f>
        <v/>
      </c>
      <c r="D222" s="14">
        <f>$K$4*C222</f>
        <v/>
      </c>
      <c r="E222" s="14">
        <f>6*B222*(1-B222)</f>
        <v/>
      </c>
      <c r="F222" s="13">
        <f>IF(D222&lt;=E222,1,0)</f>
        <v/>
      </c>
      <c r="G222" s="14">
        <f>IF(F222=1,B222,-1)</f>
        <v/>
      </c>
      <c r="H222" s="14">
        <f>IF(F222=0,B222,-1)</f>
        <v/>
      </c>
    </row>
    <row r="223">
      <c r="A223" s="13" t="n">
        <v>219</v>
      </c>
      <c r="B223" s="14">
        <f>RAND()</f>
        <v/>
      </c>
      <c r="C223" s="14">
        <f>RAND()</f>
        <v/>
      </c>
      <c r="D223" s="14">
        <f>$K$4*C223</f>
        <v/>
      </c>
      <c r="E223" s="14">
        <f>6*B223*(1-B223)</f>
        <v/>
      </c>
      <c r="F223" s="13">
        <f>IF(D223&lt;=E223,1,0)</f>
        <v/>
      </c>
      <c r="G223" s="14">
        <f>IF(F223=1,B223,-1)</f>
        <v/>
      </c>
      <c r="H223" s="14">
        <f>IF(F223=0,B223,-1)</f>
        <v/>
      </c>
    </row>
    <row r="224">
      <c r="A224" s="13" t="n">
        <v>220</v>
      </c>
      <c r="B224" s="14">
        <f>RAND()</f>
        <v/>
      </c>
      <c r="C224" s="14">
        <f>RAND()</f>
        <v/>
      </c>
      <c r="D224" s="14">
        <f>$K$4*C224</f>
        <v/>
      </c>
      <c r="E224" s="14">
        <f>6*B224*(1-B224)</f>
        <v/>
      </c>
      <c r="F224" s="13">
        <f>IF(D224&lt;=E224,1,0)</f>
        <v/>
      </c>
      <c r="G224" s="14">
        <f>IF(F224=1,B224,-1)</f>
        <v/>
      </c>
      <c r="H224" s="14">
        <f>IF(F224=0,B224,-1)</f>
        <v/>
      </c>
    </row>
    <row r="225">
      <c r="A225" s="13" t="n">
        <v>221</v>
      </c>
      <c r="B225" s="14">
        <f>RAND()</f>
        <v/>
      </c>
      <c r="C225" s="14">
        <f>RAND()</f>
        <v/>
      </c>
      <c r="D225" s="14">
        <f>$K$4*C225</f>
        <v/>
      </c>
      <c r="E225" s="14">
        <f>6*B225*(1-B225)</f>
        <v/>
      </c>
      <c r="F225" s="13">
        <f>IF(D225&lt;=E225,1,0)</f>
        <v/>
      </c>
      <c r="G225" s="14">
        <f>IF(F225=1,B225,-1)</f>
        <v/>
      </c>
      <c r="H225" s="14">
        <f>IF(F225=0,B225,-1)</f>
        <v/>
      </c>
    </row>
    <row r="226">
      <c r="A226" s="13" t="n">
        <v>222</v>
      </c>
      <c r="B226" s="14">
        <f>RAND()</f>
        <v/>
      </c>
      <c r="C226" s="14">
        <f>RAND()</f>
        <v/>
      </c>
      <c r="D226" s="14">
        <f>$K$4*C226</f>
        <v/>
      </c>
      <c r="E226" s="14">
        <f>6*B226*(1-B226)</f>
        <v/>
      </c>
      <c r="F226" s="13">
        <f>IF(D226&lt;=E226,1,0)</f>
        <v/>
      </c>
      <c r="G226" s="14">
        <f>IF(F226=1,B226,-1)</f>
        <v/>
      </c>
      <c r="H226" s="14">
        <f>IF(F226=0,B226,-1)</f>
        <v/>
      </c>
    </row>
    <row r="227">
      <c r="A227" s="13" t="n">
        <v>223</v>
      </c>
      <c r="B227" s="14">
        <f>RAND()</f>
        <v/>
      </c>
      <c r="C227" s="14">
        <f>RAND()</f>
        <v/>
      </c>
      <c r="D227" s="14">
        <f>$K$4*C227</f>
        <v/>
      </c>
      <c r="E227" s="14">
        <f>6*B227*(1-B227)</f>
        <v/>
      </c>
      <c r="F227" s="13">
        <f>IF(D227&lt;=E227,1,0)</f>
        <v/>
      </c>
      <c r="G227" s="14">
        <f>IF(F227=1,B227,-1)</f>
        <v/>
      </c>
      <c r="H227" s="14">
        <f>IF(F227=0,B227,-1)</f>
        <v/>
      </c>
    </row>
    <row r="228">
      <c r="A228" s="13" t="n">
        <v>224</v>
      </c>
      <c r="B228" s="14">
        <f>RAND()</f>
        <v/>
      </c>
      <c r="C228" s="14">
        <f>RAND()</f>
        <v/>
      </c>
      <c r="D228" s="14">
        <f>$K$4*C228</f>
        <v/>
      </c>
      <c r="E228" s="14">
        <f>6*B228*(1-B228)</f>
        <v/>
      </c>
      <c r="F228" s="13">
        <f>IF(D228&lt;=E228,1,0)</f>
        <v/>
      </c>
      <c r="G228" s="14">
        <f>IF(F228=1,B228,-1)</f>
        <v/>
      </c>
      <c r="H228" s="14">
        <f>IF(F228=0,B228,-1)</f>
        <v/>
      </c>
    </row>
    <row r="229">
      <c r="A229" s="13" t="n">
        <v>225</v>
      </c>
      <c r="B229" s="14">
        <f>RAND()</f>
        <v/>
      </c>
      <c r="C229" s="14">
        <f>RAND()</f>
        <v/>
      </c>
      <c r="D229" s="14">
        <f>$K$4*C229</f>
        <v/>
      </c>
      <c r="E229" s="14">
        <f>6*B229*(1-B229)</f>
        <v/>
      </c>
      <c r="F229" s="13">
        <f>IF(D229&lt;=E229,1,0)</f>
        <v/>
      </c>
      <c r="G229" s="14">
        <f>IF(F229=1,B229,-1)</f>
        <v/>
      </c>
      <c r="H229" s="14">
        <f>IF(F229=0,B229,-1)</f>
        <v/>
      </c>
    </row>
    <row r="230">
      <c r="A230" s="13" t="n">
        <v>226</v>
      </c>
      <c r="B230" s="14">
        <f>RAND()</f>
        <v/>
      </c>
      <c r="C230" s="14">
        <f>RAND()</f>
        <v/>
      </c>
      <c r="D230" s="14">
        <f>$K$4*C230</f>
        <v/>
      </c>
      <c r="E230" s="14">
        <f>6*B230*(1-B230)</f>
        <v/>
      </c>
      <c r="F230" s="13">
        <f>IF(D230&lt;=E230,1,0)</f>
        <v/>
      </c>
      <c r="G230" s="14">
        <f>IF(F230=1,B230,-1)</f>
        <v/>
      </c>
      <c r="H230" s="14">
        <f>IF(F230=0,B230,-1)</f>
        <v/>
      </c>
    </row>
    <row r="231">
      <c r="A231" s="13" t="n">
        <v>227</v>
      </c>
      <c r="B231" s="14">
        <f>RAND()</f>
        <v/>
      </c>
      <c r="C231" s="14">
        <f>RAND()</f>
        <v/>
      </c>
      <c r="D231" s="14">
        <f>$K$4*C231</f>
        <v/>
      </c>
      <c r="E231" s="14">
        <f>6*B231*(1-B231)</f>
        <v/>
      </c>
      <c r="F231" s="13">
        <f>IF(D231&lt;=E231,1,0)</f>
        <v/>
      </c>
      <c r="G231" s="14">
        <f>IF(F231=1,B231,-1)</f>
        <v/>
      </c>
      <c r="H231" s="14">
        <f>IF(F231=0,B231,-1)</f>
        <v/>
      </c>
    </row>
    <row r="232">
      <c r="A232" s="13" t="n">
        <v>228</v>
      </c>
      <c r="B232" s="14">
        <f>RAND()</f>
        <v/>
      </c>
      <c r="C232" s="14">
        <f>RAND()</f>
        <v/>
      </c>
      <c r="D232" s="14">
        <f>$K$4*C232</f>
        <v/>
      </c>
      <c r="E232" s="14">
        <f>6*B232*(1-B232)</f>
        <v/>
      </c>
      <c r="F232" s="13">
        <f>IF(D232&lt;=E232,1,0)</f>
        <v/>
      </c>
      <c r="G232" s="14">
        <f>IF(F232=1,B232,-1)</f>
        <v/>
      </c>
      <c r="H232" s="14">
        <f>IF(F232=0,B232,-1)</f>
        <v/>
      </c>
    </row>
    <row r="233">
      <c r="A233" s="13" t="n">
        <v>229</v>
      </c>
      <c r="B233" s="14">
        <f>RAND()</f>
        <v/>
      </c>
      <c r="C233" s="14">
        <f>RAND()</f>
        <v/>
      </c>
      <c r="D233" s="14">
        <f>$K$4*C233</f>
        <v/>
      </c>
      <c r="E233" s="14">
        <f>6*B233*(1-B233)</f>
        <v/>
      </c>
      <c r="F233" s="13">
        <f>IF(D233&lt;=E233,1,0)</f>
        <v/>
      </c>
      <c r="G233" s="14">
        <f>IF(F233=1,B233,-1)</f>
        <v/>
      </c>
      <c r="H233" s="14">
        <f>IF(F233=0,B233,-1)</f>
        <v/>
      </c>
    </row>
    <row r="234">
      <c r="A234" s="13" t="n">
        <v>230</v>
      </c>
      <c r="B234" s="14">
        <f>RAND()</f>
        <v/>
      </c>
      <c r="C234" s="14">
        <f>RAND()</f>
        <v/>
      </c>
      <c r="D234" s="14">
        <f>$K$4*C234</f>
        <v/>
      </c>
      <c r="E234" s="14">
        <f>6*B234*(1-B234)</f>
        <v/>
      </c>
      <c r="F234" s="13">
        <f>IF(D234&lt;=E234,1,0)</f>
        <v/>
      </c>
      <c r="G234" s="14">
        <f>IF(F234=1,B234,-1)</f>
        <v/>
      </c>
      <c r="H234" s="14">
        <f>IF(F234=0,B234,-1)</f>
        <v/>
      </c>
    </row>
    <row r="235">
      <c r="A235" s="13" t="n">
        <v>231</v>
      </c>
      <c r="B235" s="14">
        <f>RAND()</f>
        <v/>
      </c>
      <c r="C235" s="14">
        <f>RAND()</f>
        <v/>
      </c>
      <c r="D235" s="14">
        <f>$K$4*C235</f>
        <v/>
      </c>
      <c r="E235" s="14">
        <f>6*B235*(1-B235)</f>
        <v/>
      </c>
      <c r="F235" s="13">
        <f>IF(D235&lt;=E235,1,0)</f>
        <v/>
      </c>
      <c r="G235" s="14">
        <f>IF(F235=1,B235,-1)</f>
        <v/>
      </c>
      <c r="H235" s="14">
        <f>IF(F235=0,B235,-1)</f>
        <v/>
      </c>
    </row>
    <row r="236">
      <c r="A236" s="13" t="n">
        <v>232</v>
      </c>
      <c r="B236" s="14">
        <f>RAND()</f>
        <v/>
      </c>
      <c r="C236" s="14">
        <f>RAND()</f>
        <v/>
      </c>
      <c r="D236" s="14">
        <f>$K$4*C236</f>
        <v/>
      </c>
      <c r="E236" s="14">
        <f>6*B236*(1-B236)</f>
        <v/>
      </c>
      <c r="F236" s="13">
        <f>IF(D236&lt;=E236,1,0)</f>
        <v/>
      </c>
      <c r="G236" s="14">
        <f>IF(F236=1,B236,-1)</f>
        <v/>
      </c>
      <c r="H236" s="14">
        <f>IF(F236=0,B236,-1)</f>
        <v/>
      </c>
    </row>
    <row r="237">
      <c r="A237" s="13" t="n">
        <v>233</v>
      </c>
      <c r="B237" s="14">
        <f>RAND()</f>
        <v/>
      </c>
      <c r="C237" s="14">
        <f>RAND()</f>
        <v/>
      </c>
      <c r="D237" s="14">
        <f>$K$4*C237</f>
        <v/>
      </c>
      <c r="E237" s="14">
        <f>6*B237*(1-B237)</f>
        <v/>
      </c>
      <c r="F237" s="13">
        <f>IF(D237&lt;=E237,1,0)</f>
        <v/>
      </c>
      <c r="G237" s="14">
        <f>IF(F237=1,B237,-1)</f>
        <v/>
      </c>
      <c r="H237" s="14">
        <f>IF(F237=0,B237,-1)</f>
        <v/>
      </c>
    </row>
    <row r="238">
      <c r="A238" s="13" t="n">
        <v>234</v>
      </c>
      <c r="B238" s="14">
        <f>RAND()</f>
        <v/>
      </c>
      <c r="C238" s="14">
        <f>RAND()</f>
        <v/>
      </c>
      <c r="D238" s="14">
        <f>$K$4*C238</f>
        <v/>
      </c>
      <c r="E238" s="14">
        <f>6*B238*(1-B238)</f>
        <v/>
      </c>
      <c r="F238" s="13">
        <f>IF(D238&lt;=E238,1,0)</f>
        <v/>
      </c>
      <c r="G238" s="14">
        <f>IF(F238=1,B238,-1)</f>
        <v/>
      </c>
      <c r="H238" s="14">
        <f>IF(F238=0,B238,-1)</f>
        <v/>
      </c>
    </row>
    <row r="239">
      <c r="A239" s="13" t="n">
        <v>235</v>
      </c>
      <c r="B239" s="14">
        <f>RAND()</f>
        <v/>
      </c>
      <c r="C239" s="14">
        <f>RAND()</f>
        <v/>
      </c>
      <c r="D239" s="14">
        <f>$K$4*C239</f>
        <v/>
      </c>
      <c r="E239" s="14">
        <f>6*B239*(1-B239)</f>
        <v/>
      </c>
      <c r="F239" s="13">
        <f>IF(D239&lt;=E239,1,0)</f>
        <v/>
      </c>
      <c r="G239" s="14">
        <f>IF(F239=1,B239,-1)</f>
        <v/>
      </c>
      <c r="H239" s="14">
        <f>IF(F239=0,B239,-1)</f>
        <v/>
      </c>
    </row>
    <row r="240">
      <c r="A240" s="13" t="n">
        <v>236</v>
      </c>
      <c r="B240" s="14">
        <f>RAND()</f>
        <v/>
      </c>
      <c r="C240" s="14">
        <f>RAND()</f>
        <v/>
      </c>
      <c r="D240" s="14">
        <f>$K$4*C240</f>
        <v/>
      </c>
      <c r="E240" s="14">
        <f>6*B240*(1-B240)</f>
        <v/>
      </c>
      <c r="F240" s="13">
        <f>IF(D240&lt;=E240,1,0)</f>
        <v/>
      </c>
      <c r="G240" s="14">
        <f>IF(F240=1,B240,-1)</f>
        <v/>
      </c>
      <c r="H240" s="14">
        <f>IF(F240=0,B240,-1)</f>
        <v/>
      </c>
    </row>
    <row r="241">
      <c r="A241" s="13" t="n">
        <v>237</v>
      </c>
      <c r="B241" s="14">
        <f>RAND()</f>
        <v/>
      </c>
      <c r="C241" s="14">
        <f>RAND()</f>
        <v/>
      </c>
      <c r="D241" s="14">
        <f>$K$4*C241</f>
        <v/>
      </c>
      <c r="E241" s="14">
        <f>6*B241*(1-B241)</f>
        <v/>
      </c>
      <c r="F241" s="13">
        <f>IF(D241&lt;=E241,1,0)</f>
        <v/>
      </c>
      <c r="G241" s="14">
        <f>IF(F241=1,B241,-1)</f>
        <v/>
      </c>
      <c r="H241" s="14">
        <f>IF(F241=0,B241,-1)</f>
        <v/>
      </c>
    </row>
    <row r="242">
      <c r="A242" s="13" t="n">
        <v>238</v>
      </c>
      <c r="B242" s="14">
        <f>RAND()</f>
        <v/>
      </c>
      <c r="C242" s="14">
        <f>RAND()</f>
        <v/>
      </c>
      <c r="D242" s="14">
        <f>$K$4*C242</f>
        <v/>
      </c>
      <c r="E242" s="14">
        <f>6*B242*(1-B242)</f>
        <v/>
      </c>
      <c r="F242" s="13">
        <f>IF(D242&lt;=E242,1,0)</f>
        <v/>
      </c>
      <c r="G242" s="14">
        <f>IF(F242=1,B242,-1)</f>
        <v/>
      </c>
      <c r="H242" s="14">
        <f>IF(F242=0,B242,-1)</f>
        <v/>
      </c>
    </row>
    <row r="243">
      <c r="A243" s="13" t="n">
        <v>239</v>
      </c>
      <c r="B243" s="14">
        <f>RAND()</f>
        <v/>
      </c>
      <c r="C243" s="14">
        <f>RAND()</f>
        <v/>
      </c>
      <c r="D243" s="14">
        <f>$K$4*C243</f>
        <v/>
      </c>
      <c r="E243" s="14">
        <f>6*B243*(1-B243)</f>
        <v/>
      </c>
      <c r="F243" s="13">
        <f>IF(D243&lt;=E243,1,0)</f>
        <v/>
      </c>
      <c r="G243" s="14">
        <f>IF(F243=1,B243,-1)</f>
        <v/>
      </c>
      <c r="H243" s="14">
        <f>IF(F243=0,B243,-1)</f>
        <v/>
      </c>
    </row>
    <row r="244">
      <c r="A244" s="13" t="n">
        <v>240</v>
      </c>
      <c r="B244" s="14">
        <f>RAND()</f>
        <v/>
      </c>
      <c r="C244" s="14">
        <f>RAND()</f>
        <v/>
      </c>
      <c r="D244" s="14">
        <f>$K$4*C244</f>
        <v/>
      </c>
      <c r="E244" s="14">
        <f>6*B244*(1-B244)</f>
        <v/>
      </c>
      <c r="F244" s="13">
        <f>IF(D244&lt;=E244,1,0)</f>
        <v/>
      </c>
      <c r="G244" s="14">
        <f>IF(F244=1,B244,-1)</f>
        <v/>
      </c>
      <c r="H244" s="14">
        <f>IF(F244=0,B244,-1)</f>
        <v/>
      </c>
    </row>
    <row r="245">
      <c r="A245" s="13" t="n">
        <v>241</v>
      </c>
      <c r="B245" s="14">
        <f>RAND()</f>
        <v/>
      </c>
      <c r="C245" s="14">
        <f>RAND()</f>
        <v/>
      </c>
      <c r="D245" s="14">
        <f>$K$4*C245</f>
        <v/>
      </c>
      <c r="E245" s="14">
        <f>6*B245*(1-B245)</f>
        <v/>
      </c>
      <c r="F245" s="13">
        <f>IF(D245&lt;=E245,1,0)</f>
        <v/>
      </c>
      <c r="G245" s="14">
        <f>IF(F245=1,B245,-1)</f>
        <v/>
      </c>
      <c r="H245" s="14">
        <f>IF(F245=0,B245,-1)</f>
        <v/>
      </c>
    </row>
    <row r="246">
      <c r="A246" s="13" t="n">
        <v>242</v>
      </c>
      <c r="B246" s="14">
        <f>RAND()</f>
        <v/>
      </c>
      <c r="C246" s="14">
        <f>RAND()</f>
        <v/>
      </c>
      <c r="D246" s="14">
        <f>$K$4*C246</f>
        <v/>
      </c>
      <c r="E246" s="14">
        <f>6*B246*(1-B246)</f>
        <v/>
      </c>
      <c r="F246" s="13">
        <f>IF(D246&lt;=E246,1,0)</f>
        <v/>
      </c>
      <c r="G246" s="14">
        <f>IF(F246=1,B246,-1)</f>
        <v/>
      </c>
      <c r="H246" s="14">
        <f>IF(F246=0,B246,-1)</f>
        <v/>
      </c>
    </row>
    <row r="247">
      <c r="A247" s="13" t="n">
        <v>243</v>
      </c>
      <c r="B247" s="14">
        <f>RAND()</f>
        <v/>
      </c>
      <c r="C247" s="14">
        <f>RAND()</f>
        <v/>
      </c>
      <c r="D247" s="14">
        <f>$K$4*C247</f>
        <v/>
      </c>
      <c r="E247" s="14">
        <f>6*B247*(1-B247)</f>
        <v/>
      </c>
      <c r="F247" s="13">
        <f>IF(D247&lt;=E247,1,0)</f>
        <v/>
      </c>
      <c r="G247" s="14">
        <f>IF(F247=1,B247,-1)</f>
        <v/>
      </c>
      <c r="H247" s="14">
        <f>IF(F247=0,B247,-1)</f>
        <v/>
      </c>
    </row>
    <row r="248">
      <c r="A248" s="13" t="n">
        <v>244</v>
      </c>
      <c r="B248" s="14">
        <f>RAND()</f>
        <v/>
      </c>
      <c r="C248" s="14">
        <f>RAND()</f>
        <v/>
      </c>
      <c r="D248" s="14">
        <f>$K$4*C248</f>
        <v/>
      </c>
      <c r="E248" s="14">
        <f>6*B248*(1-B248)</f>
        <v/>
      </c>
      <c r="F248" s="13">
        <f>IF(D248&lt;=E248,1,0)</f>
        <v/>
      </c>
      <c r="G248" s="14">
        <f>IF(F248=1,B248,-1)</f>
        <v/>
      </c>
      <c r="H248" s="14">
        <f>IF(F248=0,B248,-1)</f>
        <v/>
      </c>
    </row>
    <row r="249">
      <c r="A249" s="13" t="n">
        <v>245</v>
      </c>
      <c r="B249" s="14">
        <f>RAND()</f>
        <v/>
      </c>
      <c r="C249" s="14">
        <f>RAND()</f>
        <v/>
      </c>
      <c r="D249" s="14">
        <f>$K$4*C249</f>
        <v/>
      </c>
      <c r="E249" s="14">
        <f>6*B249*(1-B249)</f>
        <v/>
      </c>
      <c r="F249" s="13">
        <f>IF(D249&lt;=E249,1,0)</f>
        <v/>
      </c>
      <c r="G249" s="14">
        <f>IF(F249=1,B249,-1)</f>
        <v/>
      </c>
      <c r="H249" s="14">
        <f>IF(F249=0,B249,-1)</f>
        <v/>
      </c>
    </row>
    <row r="250">
      <c r="A250" s="13" t="n">
        <v>246</v>
      </c>
      <c r="B250" s="14">
        <f>RAND()</f>
        <v/>
      </c>
      <c r="C250" s="14">
        <f>RAND()</f>
        <v/>
      </c>
      <c r="D250" s="14">
        <f>$K$4*C250</f>
        <v/>
      </c>
      <c r="E250" s="14">
        <f>6*B250*(1-B250)</f>
        <v/>
      </c>
      <c r="F250" s="13">
        <f>IF(D250&lt;=E250,1,0)</f>
        <v/>
      </c>
      <c r="G250" s="14">
        <f>IF(F250=1,B250,-1)</f>
        <v/>
      </c>
      <c r="H250" s="14">
        <f>IF(F250=0,B250,-1)</f>
        <v/>
      </c>
    </row>
    <row r="251">
      <c r="A251" s="13" t="n">
        <v>247</v>
      </c>
      <c r="B251" s="14">
        <f>RAND()</f>
        <v/>
      </c>
      <c r="C251" s="14">
        <f>RAND()</f>
        <v/>
      </c>
      <c r="D251" s="14">
        <f>$K$4*C251</f>
        <v/>
      </c>
      <c r="E251" s="14">
        <f>6*B251*(1-B251)</f>
        <v/>
      </c>
      <c r="F251" s="13">
        <f>IF(D251&lt;=E251,1,0)</f>
        <v/>
      </c>
      <c r="G251" s="14">
        <f>IF(F251=1,B251,-1)</f>
        <v/>
      </c>
      <c r="H251" s="14">
        <f>IF(F251=0,B251,-1)</f>
        <v/>
      </c>
    </row>
    <row r="252">
      <c r="A252" s="13" t="n">
        <v>248</v>
      </c>
      <c r="B252" s="14">
        <f>RAND()</f>
        <v/>
      </c>
      <c r="C252" s="14">
        <f>RAND()</f>
        <v/>
      </c>
      <c r="D252" s="14">
        <f>$K$4*C252</f>
        <v/>
      </c>
      <c r="E252" s="14">
        <f>6*B252*(1-B252)</f>
        <v/>
      </c>
      <c r="F252" s="13">
        <f>IF(D252&lt;=E252,1,0)</f>
        <v/>
      </c>
      <c r="G252" s="14">
        <f>IF(F252=1,B252,-1)</f>
        <v/>
      </c>
      <c r="H252" s="14">
        <f>IF(F252=0,B252,-1)</f>
        <v/>
      </c>
    </row>
    <row r="253">
      <c r="A253" s="13" t="n">
        <v>249</v>
      </c>
      <c r="B253" s="14">
        <f>RAND()</f>
        <v/>
      </c>
      <c r="C253" s="14">
        <f>RAND()</f>
        <v/>
      </c>
      <c r="D253" s="14">
        <f>$K$4*C253</f>
        <v/>
      </c>
      <c r="E253" s="14">
        <f>6*B253*(1-B253)</f>
        <v/>
      </c>
      <c r="F253" s="13">
        <f>IF(D253&lt;=E253,1,0)</f>
        <v/>
      </c>
      <c r="G253" s="14">
        <f>IF(F253=1,B253,-1)</f>
        <v/>
      </c>
      <c r="H253" s="14">
        <f>IF(F253=0,B253,-1)</f>
        <v/>
      </c>
    </row>
    <row r="254">
      <c r="A254" s="13" t="n">
        <v>250</v>
      </c>
      <c r="B254" s="14">
        <f>RAND()</f>
        <v/>
      </c>
      <c r="C254" s="14">
        <f>RAND()</f>
        <v/>
      </c>
      <c r="D254" s="14">
        <f>$K$4*C254</f>
        <v/>
      </c>
      <c r="E254" s="14">
        <f>6*B254*(1-B254)</f>
        <v/>
      </c>
      <c r="F254" s="13">
        <f>IF(D254&lt;=E254,1,0)</f>
        <v/>
      </c>
      <c r="G254" s="14">
        <f>IF(F254=1,B254,-1)</f>
        <v/>
      </c>
      <c r="H254" s="14">
        <f>IF(F254=0,B254,-1)</f>
        <v/>
      </c>
    </row>
    <row r="255">
      <c r="A255" s="13" t="n">
        <v>251</v>
      </c>
      <c r="B255" s="14">
        <f>RAND()</f>
        <v/>
      </c>
      <c r="C255" s="14">
        <f>RAND()</f>
        <v/>
      </c>
      <c r="D255" s="14">
        <f>$K$4*C255</f>
        <v/>
      </c>
      <c r="E255" s="14">
        <f>6*B255*(1-B255)</f>
        <v/>
      </c>
      <c r="F255" s="13">
        <f>IF(D255&lt;=E255,1,0)</f>
        <v/>
      </c>
      <c r="G255" s="14">
        <f>IF(F255=1,B255,-1)</f>
        <v/>
      </c>
      <c r="H255" s="14">
        <f>IF(F255=0,B255,-1)</f>
        <v/>
      </c>
    </row>
    <row r="256">
      <c r="A256" s="13" t="n">
        <v>252</v>
      </c>
      <c r="B256" s="14">
        <f>RAND()</f>
        <v/>
      </c>
      <c r="C256" s="14">
        <f>RAND()</f>
        <v/>
      </c>
      <c r="D256" s="14">
        <f>$K$4*C256</f>
        <v/>
      </c>
      <c r="E256" s="14">
        <f>6*B256*(1-B256)</f>
        <v/>
      </c>
      <c r="F256" s="13">
        <f>IF(D256&lt;=E256,1,0)</f>
        <v/>
      </c>
      <c r="G256" s="14">
        <f>IF(F256=1,B256,-1)</f>
        <v/>
      </c>
      <c r="H256" s="14">
        <f>IF(F256=0,B256,-1)</f>
        <v/>
      </c>
    </row>
    <row r="257">
      <c r="A257" s="13" t="n">
        <v>253</v>
      </c>
      <c r="B257" s="14">
        <f>RAND()</f>
        <v/>
      </c>
      <c r="C257" s="14">
        <f>RAND()</f>
        <v/>
      </c>
      <c r="D257" s="14">
        <f>$K$4*C257</f>
        <v/>
      </c>
      <c r="E257" s="14">
        <f>6*B257*(1-B257)</f>
        <v/>
      </c>
      <c r="F257" s="13">
        <f>IF(D257&lt;=E257,1,0)</f>
        <v/>
      </c>
      <c r="G257" s="14">
        <f>IF(F257=1,B257,-1)</f>
        <v/>
      </c>
      <c r="H257" s="14">
        <f>IF(F257=0,B257,-1)</f>
        <v/>
      </c>
    </row>
    <row r="258">
      <c r="A258" s="13" t="n">
        <v>254</v>
      </c>
      <c r="B258" s="14">
        <f>RAND()</f>
        <v/>
      </c>
      <c r="C258" s="14">
        <f>RAND()</f>
        <v/>
      </c>
      <c r="D258" s="14">
        <f>$K$4*C258</f>
        <v/>
      </c>
      <c r="E258" s="14">
        <f>6*B258*(1-B258)</f>
        <v/>
      </c>
      <c r="F258" s="13">
        <f>IF(D258&lt;=E258,1,0)</f>
        <v/>
      </c>
      <c r="G258" s="14">
        <f>IF(F258=1,B258,-1)</f>
        <v/>
      </c>
      <c r="H258" s="14">
        <f>IF(F258=0,B258,-1)</f>
        <v/>
      </c>
    </row>
    <row r="259">
      <c r="A259" s="13" t="n">
        <v>255</v>
      </c>
      <c r="B259" s="14">
        <f>RAND()</f>
        <v/>
      </c>
      <c r="C259" s="14">
        <f>RAND()</f>
        <v/>
      </c>
      <c r="D259" s="14">
        <f>$K$4*C259</f>
        <v/>
      </c>
      <c r="E259" s="14">
        <f>6*B259*(1-B259)</f>
        <v/>
      </c>
      <c r="F259" s="13">
        <f>IF(D259&lt;=E259,1,0)</f>
        <v/>
      </c>
      <c r="G259" s="14">
        <f>IF(F259=1,B259,-1)</f>
        <v/>
      </c>
      <c r="H259" s="14">
        <f>IF(F259=0,B259,-1)</f>
        <v/>
      </c>
    </row>
    <row r="260">
      <c r="A260" s="13" t="n">
        <v>256</v>
      </c>
      <c r="B260" s="14">
        <f>RAND()</f>
        <v/>
      </c>
      <c r="C260" s="14">
        <f>RAND()</f>
        <v/>
      </c>
      <c r="D260" s="14">
        <f>$K$4*C260</f>
        <v/>
      </c>
      <c r="E260" s="14">
        <f>6*B260*(1-B260)</f>
        <v/>
      </c>
      <c r="F260" s="13">
        <f>IF(D260&lt;=E260,1,0)</f>
        <v/>
      </c>
      <c r="G260" s="14">
        <f>IF(F260=1,B260,-1)</f>
        <v/>
      </c>
      <c r="H260" s="14">
        <f>IF(F260=0,B260,-1)</f>
        <v/>
      </c>
    </row>
    <row r="261">
      <c r="A261" s="13" t="n">
        <v>257</v>
      </c>
      <c r="B261" s="14">
        <f>RAND()</f>
        <v/>
      </c>
      <c r="C261" s="14">
        <f>RAND()</f>
        <v/>
      </c>
      <c r="D261" s="14">
        <f>$K$4*C261</f>
        <v/>
      </c>
      <c r="E261" s="14">
        <f>6*B261*(1-B261)</f>
        <v/>
      </c>
      <c r="F261" s="13">
        <f>IF(D261&lt;=E261,1,0)</f>
        <v/>
      </c>
      <c r="G261" s="14">
        <f>IF(F261=1,B261,-1)</f>
        <v/>
      </c>
      <c r="H261" s="14">
        <f>IF(F261=0,B261,-1)</f>
        <v/>
      </c>
    </row>
    <row r="262">
      <c r="A262" s="13" t="n">
        <v>258</v>
      </c>
      <c r="B262" s="14">
        <f>RAND()</f>
        <v/>
      </c>
      <c r="C262" s="14">
        <f>RAND()</f>
        <v/>
      </c>
      <c r="D262" s="14">
        <f>$K$4*C262</f>
        <v/>
      </c>
      <c r="E262" s="14">
        <f>6*B262*(1-B262)</f>
        <v/>
      </c>
      <c r="F262" s="13">
        <f>IF(D262&lt;=E262,1,0)</f>
        <v/>
      </c>
      <c r="G262" s="14">
        <f>IF(F262=1,B262,-1)</f>
        <v/>
      </c>
      <c r="H262" s="14">
        <f>IF(F262=0,B262,-1)</f>
        <v/>
      </c>
    </row>
    <row r="263">
      <c r="A263" s="13" t="n">
        <v>259</v>
      </c>
      <c r="B263" s="14">
        <f>RAND()</f>
        <v/>
      </c>
      <c r="C263" s="14">
        <f>RAND()</f>
        <v/>
      </c>
      <c r="D263" s="14">
        <f>$K$4*C263</f>
        <v/>
      </c>
      <c r="E263" s="14">
        <f>6*B263*(1-B263)</f>
        <v/>
      </c>
      <c r="F263" s="13">
        <f>IF(D263&lt;=E263,1,0)</f>
        <v/>
      </c>
      <c r="G263" s="14">
        <f>IF(F263=1,B263,-1)</f>
        <v/>
      </c>
      <c r="H263" s="14">
        <f>IF(F263=0,B263,-1)</f>
        <v/>
      </c>
    </row>
    <row r="264">
      <c r="A264" s="13" t="n">
        <v>260</v>
      </c>
      <c r="B264" s="14">
        <f>RAND()</f>
        <v/>
      </c>
      <c r="C264" s="14">
        <f>RAND()</f>
        <v/>
      </c>
      <c r="D264" s="14">
        <f>$K$4*C264</f>
        <v/>
      </c>
      <c r="E264" s="14">
        <f>6*B264*(1-B264)</f>
        <v/>
      </c>
      <c r="F264" s="13">
        <f>IF(D264&lt;=E264,1,0)</f>
        <v/>
      </c>
      <c r="G264" s="14">
        <f>IF(F264=1,B264,-1)</f>
        <v/>
      </c>
      <c r="H264" s="14">
        <f>IF(F264=0,B264,-1)</f>
        <v/>
      </c>
    </row>
    <row r="265">
      <c r="A265" s="13" t="n">
        <v>261</v>
      </c>
      <c r="B265" s="14">
        <f>RAND()</f>
        <v/>
      </c>
      <c r="C265" s="14">
        <f>RAND()</f>
        <v/>
      </c>
      <c r="D265" s="14">
        <f>$K$4*C265</f>
        <v/>
      </c>
      <c r="E265" s="14">
        <f>6*B265*(1-B265)</f>
        <v/>
      </c>
      <c r="F265" s="13">
        <f>IF(D265&lt;=E265,1,0)</f>
        <v/>
      </c>
      <c r="G265" s="14">
        <f>IF(F265=1,B265,-1)</f>
        <v/>
      </c>
      <c r="H265" s="14">
        <f>IF(F265=0,B265,-1)</f>
        <v/>
      </c>
    </row>
    <row r="266">
      <c r="A266" s="13" t="n">
        <v>262</v>
      </c>
      <c r="B266" s="14">
        <f>RAND()</f>
        <v/>
      </c>
      <c r="C266" s="14">
        <f>RAND()</f>
        <v/>
      </c>
      <c r="D266" s="14">
        <f>$K$4*C266</f>
        <v/>
      </c>
      <c r="E266" s="14">
        <f>6*B266*(1-B266)</f>
        <v/>
      </c>
      <c r="F266" s="13">
        <f>IF(D266&lt;=E266,1,0)</f>
        <v/>
      </c>
      <c r="G266" s="14">
        <f>IF(F266=1,B266,-1)</f>
        <v/>
      </c>
      <c r="H266" s="14">
        <f>IF(F266=0,B266,-1)</f>
        <v/>
      </c>
    </row>
    <row r="267">
      <c r="A267" s="13" t="n">
        <v>263</v>
      </c>
      <c r="B267" s="14">
        <f>RAND()</f>
        <v/>
      </c>
      <c r="C267" s="14">
        <f>RAND()</f>
        <v/>
      </c>
      <c r="D267" s="14">
        <f>$K$4*C267</f>
        <v/>
      </c>
      <c r="E267" s="14">
        <f>6*B267*(1-B267)</f>
        <v/>
      </c>
      <c r="F267" s="13">
        <f>IF(D267&lt;=E267,1,0)</f>
        <v/>
      </c>
      <c r="G267" s="14">
        <f>IF(F267=1,B267,-1)</f>
        <v/>
      </c>
      <c r="H267" s="14">
        <f>IF(F267=0,B267,-1)</f>
        <v/>
      </c>
    </row>
    <row r="268">
      <c r="A268" s="13" t="n">
        <v>264</v>
      </c>
      <c r="B268" s="14">
        <f>RAND()</f>
        <v/>
      </c>
      <c r="C268" s="14">
        <f>RAND()</f>
        <v/>
      </c>
      <c r="D268" s="14">
        <f>$K$4*C268</f>
        <v/>
      </c>
      <c r="E268" s="14">
        <f>6*B268*(1-B268)</f>
        <v/>
      </c>
      <c r="F268" s="13">
        <f>IF(D268&lt;=E268,1,0)</f>
        <v/>
      </c>
      <c r="G268" s="14">
        <f>IF(F268=1,B268,-1)</f>
        <v/>
      </c>
      <c r="H268" s="14">
        <f>IF(F268=0,B268,-1)</f>
        <v/>
      </c>
    </row>
    <row r="269">
      <c r="A269" s="13" t="n">
        <v>265</v>
      </c>
      <c r="B269" s="14">
        <f>RAND()</f>
        <v/>
      </c>
      <c r="C269" s="14">
        <f>RAND()</f>
        <v/>
      </c>
      <c r="D269" s="14">
        <f>$K$4*C269</f>
        <v/>
      </c>
      <c r="E269" s="14">
        <f>6*B269*(1-B269)</f>
        <v/>
      </c>
      <c r="F269" s="13">
        <f>IF(D269&lt;=E269,1,0)</f>
        <v/>
      </c>
      <c r="G269" s="14">
        <f>IF(F269=1,B269,-1)</f>
        <v/>
      </c>
      <c r="H269" s="14">
        <f>IF(F269=0,B269,-1)</f>
        <v/>
      </c>
    </row>
    <row r="270">
      <c r="A270" s="13" t="n">
        <v>266</v>
      </c>
      <c r="B270" s="14">
        <f>RAND()</f>
        <v/>
      </c>
      <c r="C270" s="14">
        <f>RAND()</f>
        <v/>
      </c>
      <c r="D270" s="14">
        <f>$K$4*C270</f>
        <v/>
      </c>
      <c r="E270" s="14">
        <f>6*B270*(1-B270)</f>
        <v/>
      </c>
      <c r="F270" s="13">
        <f>IF(D270&lt;=E270,1,0)</f>
        <v/>
      </c>
      <c r="G270" s="14">
        <f>IF(F270=1,B270,-1)</f>
        <v/>
      </c>
      <c r="H270" s="14">
        <f>IF(F270=0,B270,-1)</f>
        <v/>
      </c>
    </row>
    <row r="271">
      <c r="A271" s="13" t="n">
        <v>267</v>
      </c>
      <c r="B271" s="14">
        <f>RAND()</f>
        <v/>
      </c>
      <c r="C271" s="14">
        <f>RAND()</f>
        <v/>
      </c>
      <c r="D271" s="14">
        <f>$K$4*C271</f>
        <v/>
      </c>
      <c r="E271" s="14">
        <f>6*B271*(1-B271)</f>
        <v/>
      </c>
      <c r="F271" s="13">
        <f>IF(D271&lt;=E271,1,0)</f>
        <v/>
      </c>
      <c r="G271" s="14">
        <f>IF(F271=1,B271,-1)</f>
        <v/>
      </c>
      <c r="H271" s="14">
        <f>IF(F271=0,B271,-1)</f>
        <v/>
      </c>
    </row>
    <row r="272">
      <c r="A272" s="13" t="n">
        <v>268</v>
      </c>
      <c r="B272" s="14">
        <f>RAND()</f>
        <v/>
      </c>
      <c r="C272" s="14">
        <f>RAND()</f>
        <v/>
      </c>
      <c r="D272" s="14">
        <f>$K$4*C272</f>
        <v/>
      </c>
      <c r="E272" s="14">
        <f>6*B272*(1-B272)</f>
        <v/>
      </c>
      <c r="F272" s="13">
        <f>IF(D272&lt;=E272,1,0)</f>
        <v/>
      </c>
      <c r="G272" s="14">
        <f>IF(F272=1,B272,-1)</f>
        <v/>
      </c>
      <c r="H272" s="14">
        <f>IF(F272=0,B272,-1)</f>
        <v/>
      </c>
    </row>
    <row r="273">
      <c r="A273" s="13" t="n">
        <v>269</v>
      </c>
      <c r="B273" s="14">
        <f>RAND()</f>
        <v/>
      </c>
      <c r="C273" s="14">
        <f>RAND()</f>
        <v/>
      </c>
      <c r="D273" s="14">
        <f>$K$4*C273</f>
        <v/>
      </c>
      <c r="E273" s="14">
        <f>6*B273*(1-B273)</f>
        <v/>
      </c>
      <c r="F273" s="13">
        <f>IF(D273&lt;=E273,1,0)</f>
        <v/>
      </c>
      <c r="G273" s="14">
        <f>IF(F273=1,B273,-1)</f>
        <v/>
      </c>
      <c r="H273" s="14">
        <f>IF(F273=0,B273,-1)</f>
        <v/>
      </c>
    </row>
    <row r="274">
      <c r="A274" s="13" t="n">
        <v>270</v>
      </c>
      <c r="B274" s="14">
        <f>RAND()</f>
        <v/>
      </c>
      <c r="C274" s="14">
        <f>RAND()</f>
        <v/>
      </c>
      <c r="D274" s="14">
        <f>$K$4*C274</f>
        <v/>
      </c>
      <c r="E274" s="14">
        <f>6*B274*(1-B274)</f>
        <v/>
      </c>
      <c r="F274" s="13">
        <f>IF(D274&lt;=E274,1,0)</f>
        <v/>
      </c>
      <c r="G274" s="14">
        <f>IF(F274=1,B274,-1)</f>
        <v/>
      </c>
      <c r="H274" s="14">
        <f>IF(F274=0,B274,-1)</f>
        <v/>
      </c>
    </row>
    <row r="275">
      <c r="A275" s="13" t="n">
        <v>271</v>
      </c>
      <c r="B275" s="14">
        <f>RAND()</f>
        <v/>
      </c>
      <c r="C275" s="14">
        <f>RAND()</f>
        <v/>
      </c>
      <c r="D275" s="14">
        <f>$K$4*C275</f>
        <v/>
      </c>
      <c r="E275" s="14">
        <f>6*B275*(1-B275)</f>
        <v/>
      </c>
      <c r="F275" s="13">
        <f>IF(D275&lt;=E275,1,0)</f>
        <v/>
      </c>
      <c r="G275" s="14">
        <f>IF(F275=1,B275,-1)</f>
        <v/>
      </c>
      <c r="H275" s="14">
        <f>IF(F275=0,B275,-1)</f>
        <v/>
      </c>
    </row>
    <row r="276">
      <c r="A276" s="13" t="n">
        <v>272</v>
      </c>
      <c r="B276" s="14">
        <f>RAND()</f>
        <v/>
      </c>
      <c r="C276" s="14">
        <f>RAND()</f>
        <v/>
      </c>
      <c r="D276" s="14">
        <f>$K$4*C276</f>
        <v/>
      </c>
      <c r="E276" s="14">
        <f>6*B276*(1-B276)</f>
        <v/>
      </c>
      <c r="F276" s="13">
        <f>IF(D276&lt;=E276,1,0)</f>
        <v/>
      </c>
      <c r="G276" s="14">
        <f>IF(F276=1,B276,-1)</f>
        <v/>
      </c>
      <c r="H276" s="14">
        <f>IF(F276=0,B276,-1)</f>
        <v/>
      </c>
    </row>
    <row r="277">
      <c r="A277" s="13" t="n">
        <v>273</v>
      </c>
      <c r="B277" s="14">
        <f>RAND()</f>
        <v/>
      </c>
      <c r="C277" s="14">
        <f>RAND()</f>
        <v/>
      </c>
      <c r="D277" s="14">
        <f>$K$4*C277</f>
        <v/>
      </c>
      <c r="E277" s="14">
        <f>6*B277*(1-B277)</f>
        <v/>
      </c>
      <c r="F277" s="13">
        <f>IF(D277&lt;=E277,1,0)</f>
        <v/>
      </c>
      <c r="G277" s="14">
        <f>IF(F277=1,B277,-1)</f>
        <v/>
      </c>
      <c r="H277" s="14">
        <f>IF(F277=0,B277,-1)</f>
        <v/>
      </c>
    </row>
    <row r="278">
      <c r="A278" s="13" t="n">
        <v>274</v>
      </c>
      <c r="B278" s="14">
        <f>RAND()</f>
        <v/>
      </c>
      <c r="C278" s="14">
        <f>RAND()</f>
        <v/>
      </c>
      <c r="D278" s="14">
        <f>$K$4*C278</f>
        <v/>
      </c>
      <c r="E278" s="14">
        <f>6*B278*(1-B278)</f>
        <v/>
      </c>
      <c r="F278" s="13">
        <f>IF(D278&lt;=E278,1,0)</f>
        <v/>
      </c>
      <c r="G278" s="14">
        <f>IF(F278=1,B278,-1)</f>
        <v/>
      </c>
      <c r="H278" s="14">
        <f>IF(F278=0,B278,-1)</f>
        <v/>
      </c>
    </row>
    <row r="279">
      <c r="A279" s="13" t="n">
        <v>275</v>
      </c>
      <c r="B279" s="14">
        <f>RAND()</f>
        <v/>
      </c>
      <c r="C279" s="14">
        <f>RAND()</f>
        <v/>
      </c>
      <c r="D279" s="14">
        <f>$K$4*C279</f>
        <v/>
      </c>
      <c r="E279" s="14">
        <f>6*B279*(1-B279)</f>
        <v/>
      </c>
      <c r="F279" s="13">
        <f>IF(D279&lt;=E279,1,0)</f>
        <v/>
      </c>
      <c r="G279" s="14">
        <f>IF(F279=1,B279,-1)</f>
        <v/>
      </c>
      <c r="H279" s="14">
        <f>IF(F279=0,B279,-1)</f>
        <v/>
      </c>
    </row>
    <row r="280">
      <c r="A280" s="13" t="n">
        <v>276</v>
      </c>
      <c r="B280" s="14">
        <f>RAND()</f>
        <v/>
      </c>
      <c r="C280" s="14">
        <f>RAND()</f>
        <v/>
      </c>
      <c r="D280" s="14">
        <f>$K$4*C280</f>
        <v/>
      </c>
      <c r="E280" s="14">
        <f>6*B280*(1-B280)</f>
        <v/>
      </c>
      <c r="F280" s="13">
        <f>IF(D280&lt;=E280,1,0)</f>
        <v/>
      </c>
      <c r="G280" s="14">
        <f>IF(F280=1,B280,-1)</f>
        <v/>
      </c>
      <c r="H280" s="14">
        <f>IF(F280=0,B280,-1)</f>
        <v/>
      </c>
    </row>
    <row r="281">
      <c r="A281" s="13" t="n">
        <v>277</v>
      </c>
      <c r="B281" s="14">
        <f>RAND()</f>
        <v/>
      </c>
      <c r="C281" s="14">
        <f>RAND()</f>
        <v/>
      </c>
      <c r="D281" s="14">
        <f>$K$4*C281</f>
        <v/>
      </c>
      <c r="E281" s="14">
        <f>6*B281*(1-B281)</f>
        <v/>
      </c>
      <c r="F281" s="13">
        <f>IF(D281&lt;=E281,1,0)</f>
        <v/>
      </c>
      <c r="G281" s="14">
        <f>IF(F281=1,B281,-1)</f>
        <v/>
      </c>
      <c r="H281" s="14">
        <f>IF(F281=0,B281,-1)</f>
        <v/>
      </c>
    </row>
    <row r="282">
      <c r="A282" s="13" t="n">
        <v>278</v>
      </c>
      <c r="B282" s="14">
        <f>RAND()</f>
        <v/>
      </c>
      <c r="C282" s="14">
        <f>RAND()</f>
        <v/>
      </c>
      <c r="D282" s="14">
        <f>$K$4*C282</f>
        <v/>
      </c>
      <c r="E282" s="14">
        <f>6*B282*(1-B282)</f>
        <v/>
      </c>
      <c r="F282" s="13">
        <f>IF(D282&lt;=E282,1,0)</f>
        <v/>
      </c>
      <c r="G282" s="14">
        <f>IF(F282=1,B282,-1)</f>
        <v/>
      </c>
      <c r="H282" s="14">
        <f>IF(F282=0,B282,-1)</f>
        <v/>
      </c>
    </row>
    <row r="283">
      <c r="A283" s="13" t="n">
        <v>279</v>
      </c>
      <c r="B283" s="14">
        <f>RAND()</f>
        <v/>
      </c>
      <c r="C283" s="14">
        <f>RAND()</f>
        <v/>
      </c>
      <c r="D283" s="14">
        <f>$K$4*C283</f>
        <v/>
      </c>
      <c r="E283" s="14">
        <f>6*B283*(1-B283)</f>
        <v/>
      </c>
      <c r="F283" s="13">
        <f>IF(D283&lt;=E283,1,0)</f>
        <v/>
      </c>
      <c r="G283" s="14">
        <f>IF(F283=1,B283,-1)</f>
        <v/>
      </c>
      <c r="H283" s="14">
        <f>IF(F283=0,B283,-1)</f>
        <v/>
      </c>
    </row>
    <row r="284">
      <c r="A284" s="13" t="n">
        <v>280</v>
      </c>
      <c r="B284" s="14">
        <f>RAND()</f>
        <v/>
      </c>
      <c r="C284" s="14">
        <f>RAND()</f>
        <v/>
      </c>
      <c r="D284" s="14">
        <f>$K$4*C284</f>
        <v/>
      </c>
      <c r="E284" s="14">
        <f>6*B284*(1-B284)</f>
        <v/>
      </c>
      <c r="F284" s="13">
        <f>IF(D284&lt;=E284,1,0)</f>
        <v/>
      </c>
      <c r="G284" s="14">
        <f>IF(F284=1,B284,-1)</f>
        <v/>
      </c>
      <c r="H284" s="14">
        <f>IF(F284=0,B284,-1)</f>
        <v/>
      </c>
    </row>
    <row r="285">
      <c r="A285" s="13" t="n">
        <v>281</v>
      </c>
      <c r="B285" s="14">
        <f>RAND()</f>
        <v/>
      </c>
      <c r="C285" s="14">
        <f>RAND()</f>
        <v/>
      </c>
      <c r="D285" s="14">
        <f>$K$4*C285</f>
        <v/>
      </c>
      <c r="E285" s="14">
        <f>6*B285*(1-B285)</f>
        <v/>
      </c>
      <c r="F285" s="13">
        <f>IF(D285&lt;=E285,1,0)</f>
        <v/>
      </c>
      <c r="G285" s="14">
        <f>IF(F285=1,B285,-1)</f>
        <v/>
      </c>
      <c r="H285" s="14">
        <f>IF(F285=0,B285,-1)</f>
        <v/>
      </c>
    </row>
    <row r="286">
      <c r="A286" s="13" t="n">
        <v>282</v>
      </c>
      <c r="B286" s="14">
        <f>RAND()</f>
        <v/>
      </c>
      <c r="C286" s="14">
        <f>RAND()</f>
        <v/>
      </c>
      <c r="D286" s="14">
        <f>$K$4*C286</f>
        <v/>
      </c>
      <c r="E286" s="14">
        <f>6*B286*(1-B286)</f>
        <v/>
      </c>
      <c r="F286" s="13">
        <f>IF(D286&lt;=E286,1,0)</f>
        <v/>
      </c>
      <c r="G286" s="14">
        <f>IF(F286=1,B286,-1)</f>
        <v/>
      </c>
      <c r="H286" s="14">
        <f>IF(F286=0,B286,-1)</f>
        <v/>
      </c>
    </row>
    <row r="287">
      <c r="A287" s="13" t="n">
        <v>283</v>
      </c>
      <c r="B287" s="14">
        <f>RAND()</f>
        <v/>
      </c>
      <c r="C287" s="14">
        <f>RAND()</f>
        <v/>
      </c>
      <c r="D287" s="14">
        <f>$K$4*C287</f>
        <v/>
      </c>
      <c r="E287" s="14">
        <f>6*B287*(1-B287)</f>
        <v/>
      </c>
      <c r="F287" s="13">
        <f>IF(D287&lt;=E287,1,0)</f>
        <v/>
      </c>
      <c r="G287" s="14">
        <f>IF(F287=1,B287,-1)</f>
        <v/>
      </c>
      <c r="H287" s="14">
        <f>IF(F287=0,B287,-1)</f>
        <v/>
      </c>
    </row>
    <row r="288">
      <c r="A288" s="13" t="n">
        <v>284</v>
      </c>
      <c r="B288" s="14">
        <f>RAND()</f>
        <v/>
      </c>
      <c r="C288" s="14">
        <f>RAND()</f>
        <v/>
      </c>
      <c r="D288" s="14">
        <f>$K$4*C288</f>
        <v/>
      </c>
      <c r="E288" s="14">
        <f>6*B288*(1-B288)</f>
        <v/>
      </c>
      <c r="F288" s="13">
        <f>IF(D288&lt;=E288,1,0)</f>
        <v/>
      </c>
      <c r="G288" s="14">
        <f>IF(F288=1,B288,-1)</f>
        <v/>
      </c>
      <c r="H288" s="14">
        <f>IF(F288=0,B288,-1)</f>
        <v/>
      </c>
    </row>
    <row r="289">
      <c r="A289" s="13" t="n">
        <v>285</v>
      </c>
      <c r="B289" s="14">
        <f>RAND()</f>
        <v/>
      </c>
      <c r="C289" s="14">
        <f>RAND()</f>
        <v/>
      </c>
      <c r="D289" s="14">
        <f>$K$4*C289</f>
        <v/>
      </c>
      <c r="E289" s="14">
        <f>6*B289*(1-B289)</f>
        <v/>
      </c>
      <c r="F289" s="13">
        <f>IF(D289&lt;=E289,1,0)</f>
        <v/>
      </c>
      <c r="G289" s="14">
        <f>IF(F289=1,B289,-1)</f>
        <v/>
      </c>
      <c r="H289" s="14">
        <f>IF(F289=0,B289,-1)</f>
        <v/>
      </c>
    </row>
    <row r="290">
      <c r="A290" s="13" t="n">
        <v>286</v>
      </c>
      <c r="B290" s="14">
        <f>RAND()</f>
        <v/>
      </c>
      <c r="C290" s="14">
        <f>RAND()</f>
        <v/>
      </c>
      <c r="D290" s="14">
        <f>$K$4*C290</f>
        <v/>
      </c>
      <c r="E290" s="14">
        <f>6*B290*(1-B290)</f>
        <v/>
      </c>
      <c r="F290" s="13">
        <f>IF(D290&lt;=E290,1,0)</f>
        <v/>
      </c>
      <c r="G290" s="14">
        <f>IF(F290=1,B290,-1)</f>
        <v/>
      </c>
      <c r="H290" s="14">
        <f>IF(F290=0,B290,-1)</f>
        <v/>
      </c>
    </row>
    <row r="291">
      <c r="A291" s="13" t="n">
        <v>287</v>
      </c>
      <c r="B291" s="14">
        <f>RAND()</f>
        <v/>
      </c>
      <c r="C291" s="14">
        <f>RAND()</f>
        <v/>
      </c>
      <c r="D291" s="14">
        <f>$K$4*C291</f>
        <v/>
      </c>
      <c r="E291" s="14">
        <f>6*B291*(1-B291)</f>
        <v/>
      </c>
      <c r="F291" s="13">
        <f>IF(D291&lt;=E291,1,0)</f>
        <v/>
      </c>
      <c r="G291" s="14">
        <f>IF(F291=1,B291,-1)</f>
        <v/>
      </c>
      <c r="H291" s="14">
        <f>IF(F291=0,B291,-1)</f>
        <v/>
      </c>
    </row>
    <row r="292">
      <c r="A292" s="13" t="n">
        <v>288</v>
      </c>
      <c r="B292" s="14">
        <f>RAND()</f>
        <v/>
      </c>
      <c r="C292" s="14">
        <f>RAND()</f>
        <v/>
      </c>
      <c r="D292" s="14">
        <f>$K$4*C292</f>
        <v/>
      </c>
      <c r="E292" s="14">
        <f>6*B292*(1-B292)</f>
        <v/>
      </c>
      <c r="F292" s="13">
        <f>IF(D292&lt;=E292,1,0)</f>
        <v/>
      </c>
      <c r="G292" s="14">
        <f>IF(F292=1,B292,-1)</f>
        <v/>
      </c>
      <c r="H292" s="14">
        <f>IF(F292=0,B292,-1)</f>
        <v/>
      </c>
    </row>
    <row r="293">
      <c r="A293" s="13" t="n">
        <v>289</v>
      </c>
      <c r="B293" s="14">
        <f>RAND()</f>
        <v/>
      </c>
      <c r="C293" s="14">
        <f>RAND()</f>
        <v/>
      </c>
      <c r="D293" s="14">
        <f>$K$4*C293</f>
        <v/>
      </c>
      <c r="E293" s="14">
        <f>6*B293*(1-B293)</f>
        <v/>
      </c>
      <c r="F293" s="13">
        <f>IF(D293&lt;=E293,1,0)</f>
        <v/>
      </c>
      <c r="G293" s="14">
        <f>IF(F293=1,B293,-1)</f>
        <v/>
      </c>
      <c r="H293" s="14">
        <f>IF(F293=0,B293,-1)</f>
        <v/>
      </c>
    </row>
    <row r="294">
      <c r="A294" s="13" t="n">
        <v>290</v>
      </c>
      <c r="B294" s="14">
        <f>RAND()</f>
        <v/>
      </c>
      <c r="C294" s="14">
        <f>RAND()</f>
        <v/>
      </c>
      <c r="D294" s="14">
        <f>$K$4*C294</f>
        <v/>
      </c>
      <c r="E294" s="14">
        <f>6*B294*(1-B294)</f>
        <v/>
      </c>
      <c r="F294" s="13">
        <f>IF(D294&lt;=E294,1,0)</f>
        <v/>
      </c>
      <c r="G294" s="14">
        <f>IF(F294=1,B294,-1)</f>
        <v/>
      </c>
      <c r="H294" s="14">
        <f>IF(F294=0,B294,-1)</f>
        <v/>
      </c>
    </row>
    <row r="295">
      <c r="A295" s="13" t="n">
        <v>291</v>
      </c>
      <c r="B295" s="14">
        <f>RAND()</f>
        <v/>
      </c>
      <c r="C295" s="14">
        <f>RAND()</f>
        <v/>
      </c>
      <c r="D295" s="14">
        <f>$K$4*C295</f>
        <v/>
      </c>
      <c r="E295" s="14">
        <f>6*B295*(1-B295)</f>
        <v/>
      </c>
      <c r="F295" s="13">
        <f>IF(D295&lt;=E295,1,0)</f>
        <v/>
      </c>
      <c r="G295" s="14">
        <f>IF(F295=1,B295,-1)</f>
        <v/>
      </c>
      <c r="H295" s="14">
        <f>IF(F295=0,B295,-1)</f>
        <v/>
      </c>
    </row>
    <row r="296">
      <c r="A296" s="13" t="n">
        <v>292</v>
      </c>
      <c r="B296" s="14">
        <f>RAND()</f>
        <v/>
      </c>
      <c r="C296" s="14">
        <f>RAND()</f>
        <v/>
      </c>
      <c r="D296" s="14">
        <f>$K$4*C296</f>
        <v/>
      </c>
      <c r="E296" s="14">
        <f>6*B296*(1-B296)</f>
        <v/>
      </c>
      <c r="F296" s="13">
        <f>IF(D296&lt;=E296,1,0)</f>
        <v/>
      </c>
      <c r="G296" s="14">
        <f>IF(F296=1,B296,-1)</f>
        <v/>
      </c>
      <c r="H296" s="14">
        <f>IF(F296=0,B296,-1)</f>
        <v/>
      </c>
    </row>
    <row r="297">
      <c r="A297" s="13" t="n">
        <v>293</v>
      </c>
      <c r="B297" s="14">
        <f>RAND()</f>
        <v/>
      </c>
      <c r="C297" s="14">
        <f>RAND()</f>
        <v/>
      </c>
      <c r="D297" s="14">
        <f>$K$4*C297</f>
        <v/>
      </c>
      <c r="E297" s="14">
        <f>6*B297*(1-B297)</f>
        <v/>
      </c>
      <c r="F297" s="13">
        <f>IF(D297&lt;=E297,1,0)</f>
        <v/>
      </c>
      <c r="G297" s="14">
        <f>IF(F297=1,B297,-1)</f>
        <v/>
      </c>
      <c r="H297" s="14">
        <f>IF(F297=0,B297,-1)</f>
        <v/>
      </c>
    </row>
    <row r="298">
      <c r="A298" s="13" t="n">
        <v>294</v>
      </c>
      <c r="B298" s="14">
        <f>RAND()</f>
        <v/>
      </c>
      <c r="C298" s="14">
        <f>RAND()</f>
        <v/>
      </c>
      <c r="D298" s="14">
        <f>$K$4*C298</f>
        <v/>
      </c>
      <c r="E298" s="14">
        <f>6*B298*(1-B298)</f>
        <v/>
      </c>
      <c r="F298" s="13">
        <f>IF(D298&lt;=E298,1,0)</f>
        <v/>
      </c>
      <c r="G298" s="14">
        <f>IF(F298=1,B298,-1)</f>
        <v/>
      </c>
      <c r="H298" s="14">
        <f>IF(F298=0,B298,-1)</f>
        <v/>
      </c>
    </row>
    <row r="299">
      <c r="A299" s="13" t="n">
        <v>295</v>
      </c>
      <c r="B299" s="14">
        <f>RAND()</f>
        <v/>
      </c>
      <c r="C299" s="14">
        <f>RAND()</f>
        <v/>
      </c>
      <c r="D299" s="14">
        <f>$K$4*C299</f>
        <v/>
      </c>
      <c r="E299" s="14">
        <f>6*B299*(1-B299)</f>
        <v/>
      </c>
      <c r="F299" s="13">
        <f>IF(D299&lt;=E299,1,0)</f>
        <v/>
      </c>
      <c r="G299" s="14">
        <f>IF(F299=1,B299,-1)</f>
        <v/>
      </c>
      <c r="H299" s="14">
        <f>IF(F299=0,B299,-1)</f>
        <v/>
      </c>
    </row>
    <row r="300">
      <c r="A300" s="13" t="n">
        <v>296</v>
      </c>
      <c r="B300" s="14">
        <f>RAND()</f>
        <v/>
      </c>
      <c r="C300" s="14">
        <f>RAND()</f>
        <v/>
      </c>
      <c r="D300" s="14">
        <f>$K$4*C300</f>
        <v/>
      </c>
      <c r="E300" s="14">
        <f>6*B300*(1-B300)</f>
        <v/>
      </c>
      <c r="F300" s="13">
        <f>IF(D300&lt;=E300,1,0)</f>
        <v/>
      </c>
      <c r="G300" s="14">
        <f>IF(F300=1,B300,-1)</f>
        <v/>
      </c>
      <c r="H300" s="14">
        <f>IF(F300=0,B300,-1)</f>
        <v/>
      </c>
    </row>
    <row r="301">
      <c r="A301" s="13" t="n">
        <v>297</v>
      </c>
      <c r="B301" s="14">
        <f>RAND()</f>
        <v/>
      </c>
      <c r="C301" s="14">
        <f>RAND()</f>
        <v/>
      </c>
      <c r="D301" s="14">
        <f>$K$4*C301</f>
        <v/>
      </c>
      <c r="E301" s="14">
        <f>6*B301*(1-B301)</f>
        <v/>
      </c>
      <c r="F301" s="13">
        <f>IF(D301&lt;=E301,1,0)</f>
        <v/>
      </c>
      <c r="G301" s="14">
        <f>IF(F301=1,B301,-1)</f>
        <v/>
      </c>
      <c r="H301" s="14">
        <f>IF(F301=0,B301,-1)</f>
        <v/>
      </c>
    </row>
    <row r="302">
      <c r="A302" s="13" t="n">
        <v>298</v>
      </c>
      <c r="B302" s="14">
        <f>RAND()</f>
        <v/>
      </c>
      <c r="C302" s="14">
        <f>RAND()</f>
        <v/>
      </c>
      <c r="D302" s="14">
        <f>$K$4*C302</f>
        <v/>
      </c>
      <c r="E302" s="14">
        <f>6*B302*(1-B302)</f>
        <v/>
      </c>
      <c r="F302" s="13">
        <f>IF(D302&lt;=E302,1,0)</f>
        <v/>
      </c>
      <c r="G302" s="14">
        <f>IF(F302=1,B302,-1)</f>
        <v/>
      </c>
      <c r="H302" s="14">
        <f>IF(F302=0,B302,-1)</f>
        <v/>
      </c>
    </row>
    <row r="303">
      <c r="A303" s="13" t="n">
        <v>299</v>
      </c>
      <c r="B303" s="14">
        <f>RAND()</f>
        <v/>
      </c>
      <c r="C303" s="14">
        <f>RAND()</f>
        <v/>
      </c>
      <c r="D303" s="14">
        <f>$K$4*C303</f>
        <v/>
      </c>
      <c r="E303" s="14">
        <f>6*B303*(1-B303)</f>
        <v/>
      </c>
      <c r="F303" s="13">
        <f>IF(D303&lt;=E303,1,0)</f>
        <v/>
      </c>
      <c r="G303" s="14">
        <f>IF(F303=1,B303,-1)</f>
        <v/>
      </c>
      <c r="H303" s="14">
        <f>IF(F303=0,B303,-1)</f>
        <v/>
      </c>
    </row>
    <row r="304">
      <c r="A304" s="13" t="n">
        <v>300</v>
      </c>
      <c r="B304" s="14">
        <f>RAND()</f>
        <v/>
      </c>
      <c r="C304" s="14">
        <f>RAND()</f>
        <v/>
      </c>
      <c r="D304" s="14">
        <f>$K$4*C304</f>
        <v/>
      </c>
      <c r="E304" s="14">
        <f>6*B304*(1-B304)</f>
        <v/>
      </c>
      <c r="F304" s="13">
        <f>IF(D304&lt;=E304,1,0)</f>
        <v/>
      </c>
      <c r="G304" s="14">
        <f>IF(F304=1,B304,-1)</f>
        <v/>
      </c>
      <c r="H304" s="14">
        <f>IF(F304=0,B304,-1)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12" customWidth="1" min="17" max="17"/>
    <col width="10" customWidth="1" min="19" max="19"/>
    <col width="14" customWidth="1" min="20" max="20"/>
    <col width="14" customWidth="1" min="21" max="21"/>
  </cols>
  <sheetData>
    <row r="1">
      <c r="A1" s="1" t="inlineStr">
        <is>
          <t>Pruebas de bondad de ajuste</t>
        </is>
      </c>
    </row>
    <row r="2">
      <c r="A2" s="2" t="inlineStr">
        <is>
          <t>Datos de la presentación (amarillo): reemplázalos por los tuyos y los resultados se recalculan.</t>
        </is>
      </c>
    </row>
    <row r="4">
      <c r="A4" s="6" t="inlineStr">
        <is>
          <t>Llegadas en 100 intervalos</t>
        </is>
      </c>
      <c r="D4" s="6" t="inlineStr">
        <is>
          <t>Chi-cuadrada: ¿Poisson?</t>
        </is>
      </c>
      <c r="L4" s="6" t="inlineStr">
        <is>
          <t>K-S y Anderson-Darling: ¿exponencial?</t>
        </is>
      </c>
    </row>
    <row r="5">
      <c r="A5" s="10" t="inlineStr">
        <is>
          <t>i</t>
        </is>
      </c>
      <c r="B5" s="10" t="inlineStr">
        <is>
          <t>Llegadas</t>
        </is>
      </c>
      <c r="D5" s="11" t="inlineStr">
        <is>
          <t>λ estimado (media)</t>
        </is>
      </c>
      <c r="E5" s="17">
        <f>AVERAGE(B6:B105)</f>
        <v/>
      </c>
      <c r="L5" s="11" t="inlineStr">
        <is>
          <t>Media hipotética</t>
        </is>
      </c>
      <c r="M5" s="12" t="n">
        <v>4</v>
      </c>
    </row>
    <row r="6">
      <c r="A6" s="13" t="n">
        <v>1</v>
      </c>
      <c r="B6" s="12" t="n">
        <v>3</v>
      </c>
      <c r="D6" s="11" t="inlineStr">
        <is>
          <t>n</t>
        </is>
      </c>
      <c r="E6" s="13">
        <f>COUNT(B6:B105)</f>
        <v/>
      </c>
      <c r="L6" s="11" t="inlineStr">
        <is>
          <t>n</t>
        </is>
      </c>
      <c r="M6" s="13" t="n">
        <v>20</v>
      </c>
    </row>
    <row r="7">
      <c r="A7" s="13" t="n">
        <v>2</v>
      </c>
      <c r="B7" s="12" t="n">
        <v>3</v>
      </c>
      <c r="D7" s="11" t="inlineStr">
        <is>
          <t>α</t>
        </is>
      </c>
      <c r="E7" s="12" t="n">
        <v>0.05</v>
      </c>
      <c r="L7" s="11" t="inlineStr">
        <is>
          <t>Crítico K-S (α = 0.05)</t>
        </is>
      </c>
      <c r="M7" s="21" t="n">
        <v>0.294</v>
      </c>
    </row>
    <row r="8">
      <c r="A8" s="13" t="n">
        <v>3</v>
      </c>
      <c r="B8" s="12" t="n">
        <v>6</v>
      </c>
      <c r="L8" s="11" t="inlineStr">
        <is>
          <t>Crítico A-D (α = 0.05)</t>
        </is>
      </c>
      <c r="M8" s="21" t="n">
        <v>2.492</v>
      </c>
    </row>
    <row r="9">
      <c r="A9" s="13" t="n">
        <v>4</v>
      </c>
      <c r="B9" s="12" t="n">
        <v>3</v>
      </c>
      <c r="D9" s="10" t="inlineStr">
        <is>
          <t>Clase</t>
        </is>
      </c>
      <c r="E9" s="10" t="inlineStr">
        <is>
          <t>Desde</t>
        </is>
      </c>
      <c r="F9" s="10" t="inlineStr">
        <is>
          <t>Hasta</t>
        </is>
      </c>
      <c r="G9" s="10" t="inlineStr">
        <is>
          <t>O</t>
        </is>
      </c>
      <c r="H9" s="10" t="inlineStr">
        <is>
          <t>p</t>
        </is>
      </c>
      <c r="I9" s="10" t="inlineStr">
        <is>
          <t>E = n·p</t>
        </is>
      </c>
      <c r="J9" s="10" t="inlineStr">
        <is>
          <t>(O − E)²/E</t>
        </is>
      </c>
    </row>
    <row r="10">
      <c r="A10" s="13" t="n">
        <v>5</v>
      </c>
      <c r="B10" s="12" t="n">
        <v>3</v>
      </c>
      <c r="D10" s="13" t="inlineStr">
        <is>
          <t>0–1</t>
        </is>
      </c>
      <c r="E10" s="13" t="n">
        <v>0</v>
      </c>
      <c r="F10" s="13" t="n">
        <v>1</v>
      </c>
      <c r="G10" s="13">
        <f>COUNTIFS($B$6:$B$105,"&gt;="&amp;E10,$B$6:$B$105,"&lt;="&amp;F10)</f>
        <v/>
      </c>
      <c r="H10" s="14">
        <f>POISSON(F10,$E$5,TRUE)</f>
        <v/>
      </c>
      <c r="I10" s="17">
        <f>$E$6*H10</f>
        <v/>
      </c>
      <c r="J10" s="16">
        <f>(G10-I10)^2/I10</f>
        <v/>
      </c>
      <c r="K10" s="10" t="inlineStr">
        <is>
          <t>Dato</t>
        </is>
      </c>
      <c r="L10" s="10" t="inlineStr">
        <is>
          <t>i</t>
        </is>
      </c>
      <c r="M10" s="10" t="inlineStr">
        <is>
          <t>x(i) ordenado</t>
        </is>
      </c>
      <c r="N10" s="10" t="inlineStr">
        <is>
          <t>F0(x)</t>
        </is>
      </c>
      <c r="O10" s="10" t="inlineStr">
        <is>
          <t>D+ = i/n − F0</t>
        </is>
      </c>
      <c r="P10" s="10" t="inlineStr">
        <is>
          <t>D− = F0 − (i−1)/n</t>
        </is>
      </c>
      <c r="Q10" s="10" t="inlineStr">
        <is>
          <t>Término A-D</t>
        </is>
      </c>
      <c r="S10" s="10" t="inlineStr">
        <is>
          <t>x</t>
        </is>
      </c>
      <c r="T10" s="10" t="inlineStr">
        <is>
          <t>Acumulada empírica i/n</t>
        </is>
      </c>
      <c r="U10" s="10" t="inlineStr">
        <is>
          <t>F0(x) teórica</t>
        </is>
      </c>
    </row>
    <row r="11">
      <c r="A11" s="13" t="n">
        <v>6</v>
      </c>
      <c r="B11" s="12" t="n">
        <v>0</v>
      </c>
      <c r="D11" s="13" t="inlineStr">
        <is>
          <t>2</t>
        </is>
      </c>
      <c r="E11" s="13" t="n">
        <v>2</v>
      </c>
      <c r="F11" s="13" t="n">
        <v>2</v>
      </c>
      <c r="G11" s="13">
        <f>COUNTIFS($B$6:$B$105,"&gt;="&amp;E11,$B$6:$B$105,"&lt;="&amp;F11)</f>
        <v/>
      </c>
      <c r="H11" s="14">
        <f>POISSON(F11,$E$5,TRUE)-POISSON(E11-1,$E$5,TRUE)</f>
        <v/>
      </c>
      <c r="I11" s="17">
        <f>$E$6*H11</f>
        <v/>
      </c>
      <c r="J11" s="16">
        <f>(G11-I11)^2/I11</f>
        <v/>
      </c>
      <c r="K11" s="12" t="n">
        <v>5.46</v>
      </c>
      <c r="L11" s="13" t="n">
        <v>1</v>
      </c>
      <c r="M11" s="17">
        <f>SMALL($K$11:$K$30,L11)</f>
        <v/>
      </c>
      <c r="N11" s="14">
        <f>1-EXP(-M11/$M$5)</f>
        <v/>
      </c>
      <c r="O11" s="14">
        <f>L11/$M$6-N11</f>
        <v/>
      </c>
      <c r="P11" s="14">
        <f>N11-(L11-1)/$M$6</f>
        <v/>
      </c>
      <c r="Q11" s="16">
        <f>(2*L11-1)*(LN(N11)+LN(1-INDEX($N$11:$N$30,$M$6+1-L11)))</f>
        <v/>
      </c>
      <c r="S11" s="17">
        <f>M11</f>
        <v/>
      </c>
      <c r="T11" s="17">
        <f>L11/$M$6</f>
        <v/>
      </c>
      <c r="U11" s="16">
        <f>N11</f>
        <v/>
      </c>
    </row>
    <row r="12">
      <c r="A12" s="13" t="n">
        <v>7</v>
      </c>
      <c r="B12" s="12" t="n">
        <v>2</v>
      </c>
      <c r="D12" s="13" t="inlineStr">
        <is>
          <t>3</t>
        </is>
      </c>
      <c r="E12" s="13" t="n">
        <v>3</v>
      </c>
      <c r="F12" s="13" t="n">
        <v>3</v>
      </c>
      <c r="G12" s="13">
        <f>COUNTIFS($B$6:$B$105,"&gt;="&amp;E12,$B$6:$B$105,"&lt;="&amp;F12)</f>
        <v/>
      </c>
      <c r="H12" s="14">
        <f>POISSON(F12,$E$5,TRUE)-POISSON(E12-1,$E$5,TRUE)</f>
        <v/>
      </c>
      <c r="I12" s="17">
        <f>$E$6*H12</f>
        <v/>
      </c>
      <c r="J12" s="16">
        <f>(G12-I12)^2/I12</f>
        <v/>
      </c>
      <c r="K12" s="12" t="n">
        <v>0.46</v>
      </c>
      <c r="L12" s="13" t="n">
        <v>2</v>
      </c>
      <c r="M12" s="17">
        <f>SMALL($K$11:$K$30,L12)</f>
        <v/>
      </c>
      <c r="N12" s="14">
        <f>1-EXP(-M12/$M$5)</f>
        <v/>
      </c>
      <c r="O12" s="14">
        <f>L12/$M$6-N12</f>
        <v/>
      </c>
      <c r="P12" s="14">
        <f>N12-(L12-1)/$M$6</f>
        <v/>
      </c>
      <c r="Q12" s="16">
        <f>(2*L12-1)*(LN(N12)+LN(1-INDEX($N$11:$N$30,$M$6+1-L12)))</f>
        <v/>
      </c>
      <c r="S12" s="17">
        <f>M12</f>
        <v/>
      </c>
      <c r="T12" s="17">
        <f>L12/$M$6</f>
        <v/>
      </c>
      <c r="U12" s="16">
        <f>N12</f>
        <v/>
      </c>
    </row>
    <row r="13">
      <c r="A13" s="13" t="n">
        <v>8</v>
      </c>
      <c r="B13" s="12" t="n">
        <v>3</v>
      </c>
      <c r="D13" s="13" t="inlineStr">
        <is>
          <t>4</t>
        </is>
      </c>
      <c r="E13" s="13" t="n">
        <v>4</v>
      </c>
      <c r="F13" s="13" t="n">
        <v>4</v>
      </c>
      <c r="G13" s="13">
        <f>COUNTIFS($B$6:$B$105,"&gt;="&amp;E13,$B$6:$B$105,"&lt;="&amp;F13)</f>
        <v/>
      </c>
      <c r="H13" s="14">
        <f>POISSON(F13,$E$5,TRUE)-POISSON(E13-1,$E$5,TRUE)</f>
        <v/>
      </c>
      <c r="I13" s="17">
        <f>$E$6*H13</f>
        <v/>
      </c>
      <c r="J13" s="16">
        <f>(G13-I13)^2/I13</f>
        <v/>
      </c>
      <c r="K13" s="12" t="n">
        <v>8.359999999999999</v>
      </c>
      <c r="L13" s="13" t="n">
        <v>3</v>
      </c>
      <c r="M13" s="17">
        <f>SMALL($K$11:$K$30,L13)</f>
        <v/>
      </c>
      <c r="N13" s="14">
        <f>1-EXP(-M13/$M$5)</f>
        <v/>
      </c>
      <c r="O13" s="14">
        <f>L13/$M$6-N13</f>
        <v/>
      </c>
      <c r="P13" s="14">
        <f>N13-(L13-1)/$M$6</f>
        <v/>
      </c>
      <c r="Q13" s="16">
        <f>(2*L13-1)*(LN(N13)+LN(1-INDEX($N$11:$N$30,$M$6+1-L13)))</f>
        <v/>
      </c>
      <c r="S13" s="17">
        <f>M13</f>
        <v/>
      </c>
      <c r="T13" s="17">
        <f>L13/$M$6</f>
        <v/>
      </c>
      <c r="U13" s="16">
        <f>N13</f>
        <v/>
      </c>
    </row>
    <row r="14">
      <c r="A14" s="13" t="n">
        <v>9</v>
      </c>
      <c r="B14" s="12" t="n">
        <v>6</v>
      </c>
      <c r="D14" s="13" t="inlineStr">
        <is>
          <t>5</t>
        </is>
      </c>
      <c r="E14" s="13" t="n">
        <v>5</v>
      </c>
      <c r="F14" s="13" t="n">
        <v>5</v>
      </c>
      <c r="G14" s="13">
        <f>COUNTIFS($B$6:$B$105,"&gt;="&amp;E14,$B$6:$B$105,"&lt;="&amp;F14)</f>
        <v/>
      </c>
      <c r="H14" s="14">
        <f>POISSON(F14,$E$5,TRUE)-POISSON(E14-1,$E$5,TRUE)</f>
        <v/>
      </c>
      <c r="I14" s="17">
        <f>$E$6*H14</f>
        <v/>
      </c>
      <c r="J14" s="16">
        <f>(G14-I14)^2/I14</f>
        <v/>
      </c>
      <c r="K14" s="12" t="n">
        <v>1.34</v>
      </c>
      <c r="L14" s="13" t="n">
        <v>4</v>
      </c>
      <c r="M14" s="17">
        <f>SMALL($K$11:$K$30,L14)</f>
        <v/>
      </c>
      <c r="N14" s="14">
        <f>1-EXP(-M14/$M$5)</f>
        <v/>
      </c>
      <c r="O14" s="14">
        <f>L14/$M$6-N14</f>
        <v/>
      </c>
      <c r="P14" s="14">
        <f>N14-(L14-1)/$M$6</f>
        <v/>
      </c>
      <c r="Q14" s="16">
        <f>(2*L14-1)*(LN(N14)+LN(1-INDEX($N$11:$N$30,$M$6+1-L14)))</f>
        <v/>
      </c>
      <c r="S14" s="17">
        <f>M14</f>
        <v/>
      </c>
      <c r="T14" s="17">
        <f>L14/$M$6</f>
        <v/>
      </c>
      <c r="U14" s="16">
        <f>N14</f>
        <v/>
      </c>
    </row>
    <row r="15">
      <c r="A15" s="13" t="n">
        <v>10</v>
      </c>
      <c r="B15" s="12" t="n">
        <v>4</v>
      </c>
      <c r="D15" s="13" t="inlineStr">
        <is>
          <t>≥ 6</t>
        </is>
      </c>
      <c r="E15" s="13" t="n">
        <v>6</v>
      </c>
      <c r="F15" s="13" t="n">
        <v>999</v>
      </c>
      <c r="G15" s="13">
        <f>COUNTIFS($B$6:$B$105,"&gt;="&amp;E15,$B$6:$B$105,"&lt;="&amp;F15)</f>
        <v/>
      </c>
      <c r="H15" s="14">
        <f>1-POISSON(E15-1,$E$5,TRUE)</f>
        <v/>
      </c>
      <c r="I15" s="17">
        <f>$E$6*H15</f>
        <v/>
      </c>
      <c r="J15" s="16">
        <f>(G15-I15)^2/I15</f>
        <v/>
      </c>
      <c r="K15" s="12" t="n">
        <v>3.18</v>
      </c>
      <c r="L15" s="13" t="n">
        <v>5</v>
      </c>
      <c r="M15" s="17">
        <f>SMALL($K$11:$K$30,L15)</f>
        <v/>
      </c>
      <c r="N15" s="14">
        <f>1-EXP(-M15/$M$5)</f>
        <v/>
      </c>
      <c r="O15" s="14">
        <f>L15/$M$6-N15</f>
        <v/>
      </c>
      <c r="P15" s="14">
        <f>N15-(L15-1)/$M$6</f>
        <v/>
      </c>
      <c r="Q15" s="16">
        <f>(2*L15-1)*(LN(N15)+LN(1-INDEX($N$11:$N$30,$M$6+1-L15)))</f>
        <v/>
      </c>
      <c r="S15" s="17">
        <f>M15</f>
        <v/>
      </c>
      <c r="T15" s="17">
        <f>L15/$M$6</f>
        <v/>
      </c>
      <c r="U15" s="16">
        <f>N15</f>
        <v/>
      </c>
    </row>
    <row r="16">
      <c r="A16" s="13" t="n">
        <v>11</v>
      </c>
      <c r="B16" s="12" t="n">
        <v>3</v>
      </c>
      <c r="K16" s="12" t="n">
        <v>0.16</v>
      </c>
      <c r="L16" s="13" t="n">
        <v>6</v>
      </c>
      <c r="M16" s="17">
        <f>SMALL($K$11:$K$30,L16)</f>
        <v/>
      </c>
      <c r="N16" s="14">
        <f>1-EXP(-M16/$M$5)</f>
        <v/>
      </c>
      <c r="O16" s="14">
        <f>L16/$M$6-N16</f>
        <v/>
      </c>
      <c r="P16" s="14">
        <f>N16-(L16-1)/$M$6</f>
        <v/>
      </c>
      <c r="Q16" s="16">
        <f>(2*L16-1)*(LN(N16)+LN(1-INDEX($N$11:$N$30,$M$6+1-L16)))</f>
        <v/>
      </c>
      <c r="S16" s="17">
        <f>M16</f>
        <v/>
      </c>
      <c r="T16" s="17">
        <f>L16/$M$6</f>
        <v/>
      </c>
      <c r="U16" s="16">
        <f>N16</f>
        <v/>
      </c>
    </row>
    <row r="17">
      <c r="A17" s="13" t="n">
        <v>12</v>
      </c>
      <c r="B17" s="12" t="n">
        <v>3</v>
      </c>
      <c r="D17" s="22" t="inlineStr">
        <is>
          <t>χ²₀</t>
        </is>
      </c>
      <c r="E17" s="16">
        <f>SUM(J10:J15)</f>
        <v/>
      </c>
      <c r="K17" s="12" t="n">
        <v>0.24</v>
      </c>
      <c r="L17" s="13" t="n">
        <v>7</v>
      </c>
      <c r="M17" s="17">
        <f>SMALL($K$11:$K$30,L17)</f>
        <v/>
      </c>
      <c r="N17" s="14">
        <f>1-EXP(-M17/$M$5)</f>
        <v/>
      </c>
      <c r="O17" s="14">
        <f>L17/$M$6-N17</f>
        <v/>
      </c>
      <c r="P17" s="14">
        <f>N17-(L17-1)/$M$6</f>
        <v/>
      </c>
      <c r="Q17" s="16">
        <f>(2*L17-1)*(LN(N17)+LN(1-INDEX($N$11:$N$30,$M$6+1-L17)))</f>
        <v/>
      </c>
      <c r="S17" s="17">
        <f>M17</f>
        <v/>
      </c>
      <c r="T17" s="17">
        <f>L17/$M$6</f>
        <v/>
      </c>
      <c r="U17" s="16">
        <f>N17</f>
        <v/>
      </c>
    </row>
    <row r="18">
      <c r="A18" s="13" t="n">
        <v>13</v>
      </c>
      <c r="B18" s="12" t="n">
        <v>3</v>
      </c>
      <c r="D18" s="11" t="inlineStr">
        <is>
          <t>Grados de libertad</t>
        </is>
      </c>
      <c r="E18" s="13">
        <f>6-1-1</f>
        <v/>
      </c>
      <c r="K18" s="12" t="n">
        <v>0.07000000000000001</v>
      </c>
      <c r="L18" s="13" t="n">
        <v>8</v>
      </c>
      <c r="M18" s="17">
        <f>SMALL($K$11:$K$30,L18)</f>
        <v/>
      </c>
      <c r="N18" s="14">
        <f>1-EXP(-M18/$M$5)</f>
        <v/>
      </c>
      <c r="O18" s="14">
        <f>L18/$M$6-N18</f>
        <v/>
      </c>
      <c r="P18" s="14">
        <f>N18-(L18-1)/$M$6</f>
        <v/>
      </c>
      <c r="Q18" s="16">
        <f>(2*L18-1)*(LN(N18)+LN(1-INDEX($N$11:$N$30,$M$6+1-L18)))</f>
        <v/>
      </c>
      <c r="S18" s="17">
        <f>M18</f>
        <v/>
      </c>
      <c r="T18" s="17">
        <f>L18/$M$6</f>
        <v/>
      </c>
      <c r="U18" s="16">
        <f>N18</f>
        <v/>
      </c>
    </row>
    <row r="19">
      <c r="A19" s="13" t="n">
        <v>14</v>
      </c>
      <c r="B19" s="12" t="n">
        <v>3</v>
      </c>
      <c r="D19" s="11" t="inlineStr">
        <is>
          <t>Valor crítico</t>
        </is>
      </c>
      <c r="E19" s="16">
        <f>CHIINV(E7,E18)</f>
        <v/>
      </c>
      <c r="K19" s="12" t="n">
        <v>11.73</v>
      </c>
      <c r="L19" s="13" t="n">
        <v>9</v>
      </c>
      <c r="M19" s="17">
        <f>SMALL($K$11:$K$30,L19)</f>
        <v/>
      </c>
      <c r="N19" s="14">
        <f>1-EXP(-M19/$M$5)</f>
        <v/>
      </c>
      <c r="O19" s="14">
        <f>L19/$M$6-N19</f>
        <v/>
      </c>
      <c r="P19" s="14">
        <f>N19-(L19-1)/$M$6</f>
        <v/>
      </c>
      <c r="Q19" s="16">
        <f>(2*L19-1)*(LN(N19)+LN(1-INDEX($N$11:$N$30,$M$6+1-L19)))</f>
        <v/>
      </c>
      <c r="S19" s="17">
        <f>M19</f>
        <v/>
      </c>
      <c r="T19" s="17">
        <f>L19/$M$6</f>
        <v/>
      </c>
      <c r="U19" s="16">
        <f>N19</f>
        <v/>
      </c>
    </row>
    <row r="20">
      <c r="A20" s="13" t="n">
        <v>15</v>
      </c>
      <c r="B20" s="12" t="n">
        <v>4</v>
      </c>
      <c r="D20" s="22" t="inlineStr">
        <is>
          <t>Decisión</t>
        </is>
      </c>
      <c r="E20" s="23">
        <f>IF(E17&lt;=E19,"No se rechaza H0","Se rechaza H0")</f>
        <v/>
      </c>
      <c r="F20" s="24" t="n"/>
      <c r="G20" s="25" t="n"/>
      <c r="K20" s="12" t="n">
        <v>1.93</v>
      </c>
      <c r="L20" s="13" t="n">
        <v>10</v>
      </c>
      <c r="M20" s="17">
        <f>SMALL($K$11:$K$30,L20)</f>
        <v/>
      </c>
      <c r="N20" s="14">
        <f>1-EXP(-M20/$M$5)</f>
        <v/>
      </c>
      <c r="O20" s="14">
        <f>L20/$M$6-N20</f>
        <v/>
      </c>
      <c r="P20" s="14">
        <f>N20-(L20-1)/$M$6</f>
        <v/>
      </c>
      <c r="Q20" s="16">
        <f>(2*L20-1)*(LN(N20)+LN(1-INDEX($N$11:$N$30,$M$6+1-L20)))</f>
        <v/>
      </c>
      <c r="S20" s="17">
        <f>M20</f>
        <v/>
      </c>
      <c r="T20" s="17">
        <f>L20/$M$6</f>
        <v/>
      </c>
      <c r="U20" s="16">
        <f>N20</f>
        <v/>
      </c>
    </row>
    <row r="21">
      <c r="A21" s="13" t="n">
        <v>16</v>
      </c>
      <c r="B21" s="12" t="n">
        <v>3</v>
      </c>
      <c r="K21" s="12" t="n">
        <v>4.84</v>
      </c>
      <c r="L21" s="13" t="n">
        <v>11</v>
      </c>
      <c r="M21" s="17">
        <f>SMALL($K$11:$K$30,L21)</f>
        <v/>
      </c>
      <c r="N21" s="14">
        <f>1-EXP(-M21/$M$5)</f>
        <v/>
      </c>
      <c r="O21" s="14">
        <f>L21/$M$6-N21</f>
        <v/>
      </c>
      <c r="P21" s="14">
        <f>N21-(L21-1)/$M$6</f>
        <v/>
      </c>
      <c r="Q21" s="16">
        <f>(2*L21-1)*(LN(N21)+LN(1-INDEX($N$11:$N$30,$M$6+1-L21)))</f>
        <v/>
      </c>
      <c r="S21" s="17">
        <f>M21</f>
        <v/>
      </c>
      <c r="T21" s="17">
        <f>L21/$M$6</f>
        <v/>
      </c>
      <c r="U21" s="16">
        <f>N21</f>
        <v/>
      </c>
    </row>
    <row r="22">
      <c r="A22" s="13" t="n">
        <v>17</v>
      </c>
      <c r="B22" s="12" t="n">
        <v>4</v>
      </c>
      <c r="K22" s="12" t="n">
        <v>4.29</v>
      </c>
      <c r="L22" s="13" t="n">
        <v>12</v>
      </c>
      <c r="M22" s="17">
        <f>SMALL($K$11:$K$30,L22)</f>
        <v/>
      </c>
      <c r="N22" s="14">
        <f>1-EXP(-M22/$M$5)</f>
        <v/>
      </c>
      <c r="O22" s="14">
        <f>L22/$M$6-N22</f>
        <v/>
      </c>
      <c r="P22" s="14">
        <f>N22-(L22-1)/$M$6</f>
        <v/>
      </c>
      <c r="Q22" s="16">
        <f>(2*L22-1)*(LN(N22)+LN(1-INDEX($N$11:$N$30,$M$6+1-L22)))</f>
        <v/>
      </c>
      <c r="S22" s="17">
        <f>M22</f>
        <v/>
      </c>
      <c r="T22" s="17">
        <f>L22/$M$6</f>
        <v/>
      </c>
      <c r="U22" s="16">
        <f>N22</f>
        <v/>
      </c>
    </row>
    <row r="23">
      <c r="A23" s="13" t="n">
        <v>18</v>
      </c>
      <c r="B23" s="12" t="n">
        <v>5</v>
      </c>
      <c r="K23" s="12" t="n">
        <v>3.81</v>
      </c>
      <c r="L23" s="13" t="n">
        <v>13</v>
      </c>
      <c r="M23" s="17">
        <f>SMALL($K$11:$K$30,L23)</f>
        <v/>
      </c>
      <c r="N23" s="14">
        <f>1-EXP(-M23/$M$5)</f>
        <v/>
      </c>
      <c r="O23" s="14">
        <f>L23/$M$6-N23</f>
        <v/>
      </c>
      <c r="P23" s="14">
        <f>N23-(L23-1)/$M$6</f>
        <v/>
      </c>
      <c r="Q23" s="16">
        <f>(2*L23-1)*(LN(N23)+LN(1-INDEX($N$11:$N$30,$M$6+1-L23)))</f>
        <v/>
      </c>
      <c r="S23" s="17">
        <f>M23</f>
        <v/>
      </c>
      <c r="T23" s="17">
        <f>L23/$M$6</f>
        <v/>
      </c>
      <c r="U23" s="16">
        <f>N23</f>
        <v/>
      </c>
    </row>
    <row r="24">
      <c r="A24" s="13" t="n">
        <v>19</v>
      </c>
      <c r="B24" s="12" t="n">
        <v>3</v>
      </c>
      <c r="K24" s="12" t="n">
        <v>2.37</v>
      </c>
      <c r="L24" s="13" t="n">
        <v>14</v>
      </c>
      <c r="M24" s="17">
        <f>SMALL($K$11:$K$30,L24)</f>
        <v/>
      </c>
      <c r="N24" s="14">
        <f>1-EXP(-M24/$M$5)</f>
        <v/>
      </c>
      <c r="O24" s="14">
        <f>L24/$M$6-N24</f>
        <v/>
      </c>
      <c r="P24" s="14">
        <f>N24-(L24-1)/$M$6</f>
        <v/>
      </c>
      <c r="Q24" s="16">
        <f>(2*L24-1)*(LN(N24)+LN(1-INDEX($N$11:$N$30,$M$6+1-L24)))</f>
        <v/>
      </c>
      <c r="S24" s="17">
        <f>M24</f>
        <v/>
      </c>
      <c r="T24" s="17">
        <f>L24/$M$6</f>
        <v/>
      </c>
      <c r="U24" s="16">
        <f>N24</f>
        <v/>
      </c>
    </row>
    <row r="25">
      <c r="A25" s="13" t="n">
        <v>20</v>
      </c>
      <c r="B25" s="12" t="n">
        <v>1</v>
      </c>
      <c r="K25" s="12" t="n">
        <v>4.87</v>
      </c>
      <c r="L25" s="13" t="n">
        <v>15</v>
      </c>
      <c r="M25" s="17">
        <f>SMALL($K$11:$K$30,L25)</f>
        <v/>
      </c>
      <c r="N25" s="14">
        <f>1-EXP(-M25/$M$5)</f>
        <v/>
      </c>
      <c r="O25" s="14">
        <f>L25/$M$6-N25</f>
        <v/>
      </c>
      <c r="P25" s="14">
        <f>N25-(L25-1)/$M$6</f>
        <v/>
      </c>
      <c r="Q25" s="16">
        <f>(2*L25-1)*(LN(N25)+LN(1-INDEX($N$11:$N$30,$M$6+1-L25)))</f>
        <v/>
      </c>
      <c r="S25" s="17">
        <f>M25</f>
        <v/>
      </c>
      <c r="T25" s="17">
        <f>L25/$M$6</f>
        <v/>
      </c>
      <c r="U25" s="16">
        <f>N25</f>
        <v/>
      </c>
    </row>
    <row r="26">
      <c r="A26" s="13" t="n">
        <v>21</v>
      </c>
      <c r="B26" s="12" t="n">
        <v>6</v>
      </c>
      <c r="K26" s="12" t="n">
        <v>2.28</v>
      </c>
      <c r="L26" s="13" t="n">
        <v>16</v>
      </c>
      <c r="M26" s="17">
        <f>SMALL($K$11:$K$30,L26)</f>
        <v/>
      </c>
      <c r="N26" s="14">
        <f>1-EXP(-M26/$M$5)</f>
        <v/>
      </c>
      <c r="O26" s="14">
        <f>L26/$M$6-N26</f>
        <v/>
      </c>
      <c r="P26" s="14">
        <f>N26-(L26-1)/$M$6</f>
        <v/>
      </c>
      <c r="Q26" s="16">
        <f>(2*L26-1)*(LN(N26)+LN(1-INDEX($N$11:$N$30,$M$6+1-L26)))</f>
        <v/>
      </c>
      <c r="S26" s="17">
        <f>M26</f>
        <v/>
      </c>
      <c r="T26" s="17">
        <f>L26/$M$6</f>
        <v/>
      </c>
      <c r="U26" s="16">
        <f>N26</f>
        <v/>
      </c>
    </row>
    <row r="27">
      <c r="A27" s="13" t="n">
        <v>22</v>
      </c>
      <c r="B27" s="12" t="n">
        <v>6</v>
      </c>
      <c r="K27" s="12" t="n">
        <v>0.58</v>
      </c>
      <c r="L27" s="13" t="n">
        <v>17</v>
      </c>
      <c r="M27" s="17">
        <f>SMALL($K$11:$K$30,L27)</f>
        <v/>
      </c>
      <c r="N27" s="14">
        <f>1-EXP(-M27/$M$5)</f>
        <v/>
      </c>
      <c r="O27" s="14">
        <f>L27/$M$6-N27</f>
        <v/>
      </c>
      <c r="P27" s="14">
        <f>N27-(L27-1)/$M$6</f>
        <v/>
      </c>
      <c r="Q27" s="16">
        <f>(2*L27-1)*(LN(N27)+LN(1-INDEX($N$11:$N$30,$M$6+1-L27)))</f>
        <v/>
      </c>
      <c r="S27" s="17">
        <f>M27</f>
        <v/>
      </c>
      <c r="T27" s="17">
        <f>L27/$M$6</f>
        <v/>
      </c>
      <c r="U27" s="16">
        <f>N27</f>
        <v/>
      </c>
    </row>
    <row r="28">
      <c r="A28" s="13" t="n">
        <v>23</v>
      </c>
      <c r="B28" s="12" t="n">
        <v>3</v>
      </c>
      <c r="K28" s="12" t="n">
        <v>0.9</v>
      </c>
      <c r="L28" s="13" t="n">
        <v>18</v>
      </c>
      <c r="M28" s="17">
        <f>SMALL($K$11:$K$30,L28)</f>
        <v/>
      </c>
      <c r="N28" s="14">
        <f>1-EXP(-M28/$M$5)</f>
        <v/>
      </c>
      <c r="O28" s="14">
        <f>L28/$M$6-N28</f>
        <v/>
      </c>
      <c r="P28" s="14">
        <f>N28-(L28-1)/$M$6</f>
        <v/>
      </c>
      <c r="Q28" s="16">
        <f>(2*L28-1)*(LN(N28)+LN(1-INDEX($N$11:$N$30,$M$6+1-L28)))</f>
        <v/>
      </c>
      <c r="S28" s="17">
        <f>M28</f>
        <v/>
      </c>
      <c r="T28" s="17">
        <f>L28/$M$6</f>
        <v/>
      </c>
      <c r="U28" s="16">
        <f>N28</f>
        <v/>
      </c>
    </row>
    <row r="29">
      <c r="A29" s="13" t="n">
        <v>24</v>
      </c>
      <c r="B29" s="12" t="n">
        <v>2</v>
      </c>
      <c r="K29" s="12" t="n">
        <v>0.06</v>
      </c>
      <c r="L29" s="13" t="n">
        <v>19</v>
      </c>
      <c r="M29" s="17">
        <f>SMALL($K$11:$K$30,L29)</f>
        <v/>
      </c>
      <c r="N29" s="14">
        <f>1-EXP(-M29/$M$5)</f>
        <v/>
      </c>
      <c r="O29" s="14">
        <f>L29/$M$6-N29</f>
        <v/>
      </c>
      <c r="P29" s="14">
        <f>N29-(L29-1)/$M$6</f>
        <v/>
      </c>
      <c r="Q29" s="16">
        <f>(2*L29-1)*(LN(N29)+LN(1-INDEX($N$11:$N$30,$M$6+1-L29)))</f>
        <v/>
      </c>
      <c r="S29" s="17">
        <f>M29</f>
        <v/>
      </c>
      <c r="T29" s="17">
        <f>L29/$M$6</f>
        <v/>
      </c>
      <c r="U29" s="16">
        <f>N29</f>
        <v/>
      </c>
    </row>
    <row r="30">
      <c r="A30" s="13" t="n">
        <v>25</v>
      </c>
      <c r="B30" s="12" t="n">
        <v>5</v>
      </c>
      <c r="K30" s="12" t="n">
        <v>2.13</v>
      </c>
      <c r="L30" s="13" t="n">
        <v>20</v>
      </c>
      <c r="M30" s="17">
        <f>SMALL($K$11:$K$30,L30)</f>
        <v/>
      </c>
      <c r="N30" s="14">
        <f>1-EXP(-M30/$M$5)</f>
        <v/>
      </c>
      <c r="O30" s="14">
        <f>L30/$M$6-N30</f>
        <v/>
      </c>
      <c r="P30" s="14">
        <f>N30-(L30-1)/$M$6</f>
        <v/>
      </c>
      <c r="Q30" s="16">
        <f>(2*L30-1)*(LN(N30)+LN(1-INDEX($N$11:$N$30,$M$6+1-L30)))</f>
        <v/>
      </c>
      <c r="S30" s="17">
        <f>M30</f>
        <v/>
      </c>
      <c r="T30" s="17">
        <f>L30/$M$6</f>
        <v/>
      </c>
      <c r="U30" s="16">
        <f>N30</f>
        <v/>
      </c>
    </row>
    <row r="31">
      <c r="A31" s="13" t="n">
        <v>26</v>
      </c>
      <c r="B31" s="12" t="n">
        <v>2</v>
      </c>
    </row>
    <row r="32">
      <c r="A32" s="13" t="n">
        <v>27</v>
      </c>
      <c r="B32" s="12" t="n">
        <v>0</v>
      </c>
      <c r="L32" s="22" t="inlineStr">
        <is>
          <t>D+</t>
        </is>
      </c>
      <c r="M32" s="14">
        <f>MAX(O11:O30)</f>
        <v/>
      </c>
    </row>
    <row r="33">
      <c r="A33" s="13" t="n">
        <v>28</v>
      </c>
      <c r="B33" s="12" t="n">
        <v>1</v>
      </c>
      <c r="L33" s="22" t="inlineStr">
        <is>
          <t>D−</t>
        </is>
      </c>
      <c r="M33" s="14">
        <f>MAX(P11:P30)</f>
        <v/>
      </c>
    </row>
    <row r="34">
      <c r="A34" s="13" t="n">
        <v>29</v>
      </c>
      <c r="B34" s="12" t="n">
        <v>4</v>
      </c>
      <c r="L34" s="22" t="inlineStr">
        <is>
          <t>D = máx(D+, D−)</t>
        </is>
      </c>
      <c r="M34" s="14">
        <f>MAX(M32:M33)</f>
        <v/>
      </c>
    </row>
    <row r="35">
      <c r="A35" s="13" t="n">
        <v>30</v>
      </c>
      <c r="B35" s="12" t="n">
        <v>2</v>
      </c>
      <c r="L35" s="22" t="inlineStr">
        <is>
          <t>Decisión K-S</t>
        </is>
      </c>
      <c r="M35" s="23">
        <f>IF(M34&lt;=M7,"No se rechaza H0","Se rechaza H0")</f>
        <v/>
      </c>
      <c r="N35" s="24" t="n"/>
      <c r="O35" s="25" t="n"/>
    </row>
    <row r="36">
      <c r="A36" s="13" t="n">
        <v>31</v>
      </c>
      <c r="B36" s="12" t="n">
        <v>8</v>
      </c>
    </row>
    <row r="37">
      <c r="A37" s="13" t="n">
        <v>32</v>
      </c>
      <c r="B37" s="12" t="n">
        <v>6</v>
      </c>
      <c r="L37" s="22" t="inlineStr">
        <is>
          <t>A² = −n − Σ/n</t>
        </is>
      </c>
      <c r="M37" s="16">
        <f>-M6-SUM(Q11:Q30)/M6</f>
        <v/>
      </c>
    </row>
    <row r="38">
      <c r="A38" s="13" t="n">
        <v>33</v>
      </c>
      <c r="B38" s="12" t="n">
        <v>1</v>
      </c>
      <c r="L38" s="22" t="inlineStr">
        <is>
          <t>Decisión A-D</t>
        </is>
      </c>
      <c r="M38" s="23">
        <f>IF(M37&lt;=M8,"No se rechaza H0","Se rechaza H0")</f>
        <v/>
      </c>
      <c r="N38" s="24" t="n"/>
      <c r="O38" s="25" t="n"/>
    </row>
    <row r="39">
      <c r="A39" s="13" t="n">
        <v>34</v>
      </c>
      <c r="B39" s="12" t="n">
        <v>2</v>
      </c>
    </row>
    <row r="40">
      <c r="A40" s="13" t="n">
        <v>35</v>
      </c>
      <c r="B40" s="12" t="n">
        <v>1</v>
      </c>
    </row>
    <row r="41">
      <c r="A41" s="13" t="n">
        <v>36</v>
      </c>
      <c r="B41" s="12" t="n">
        <v>3</v>
      </c>
    </row>
    <row r="42">
      <c r="A42" s="13" t="n">
        <v>37</v>
      </c>
      <c r="B42" s="12" t="n">
        <v>2</v>
      </c>
    </row>
    <row r="43">
      <c r="A43" s="13" t="n">
        <v>38</v>
      </c>
      <c r="B43" s="12" t="n">
        <v>3</v>
      </c>
    </row>
    <row r="44">
      <c r="A44" s="13" t="n">
        <v>39</v>
      </c>
      <c r="B44" s="12" t="n">
        <v>3</v>
      </c>
    </row>
    <row r="45">
      <c r="A45" s="13" t="n">
        <v>40</v>
      </c>
      <c r="B45" s="12" t="n">
        <v>1</v>
      </c>
    </row>
    <row r="46">
      <c r="A46" s="13" t="n">
        <v>41</v>
      </c>
      <c r="B46" s="12" t="n">
        <v>1</v>
      </c>
    </row>
    <row r="47">
      <c r="A47" s="13" t="n">
        <v>42</v>
      </c>
      <c r="B47" s="12" t="n">
        <v>2</v>
      </c>
    </row>
    <row r="48">
      <c r="A48" s="13" t="n">
        <v>43</v>
      </c>
      <c r="B48" s="12" t="n">
        <v>4</v>
      </c>
    </row>
    <row r="49">
      <c r="A49" s="13" t="n">
        <v>44</v>
      </c>
      <c r="B49" s="12" t="n">
        <v>3</v>
      </c>
    </row>
    <row r="50">
      <c r="A50" s="13" t="n">
        <v>45</v>
      </c>
      <c r="B50" s="12" t="n">
        <v>7</v>
      </c>
    </row>
    <row r="51">
      <c r="A51" s="13" t="n">
        <v>46</v>
      </c>
      <c r="B51" s="12" t="n">
        <v>2</v>
      </c>
    </row>
    <row r="52">
      <c r="A52" s="13" t="n">
        <v>47</v>
      </c>
      <c r="B52" s="12" t="n">
        <v>4</v>
      </c>
    </row>
    <row r="53">
      <c r="A53" s="13" t="n">
        <v>48</v>
      </c>
      <c r="B53" s="12" t="n">
        <v>2</v>
      </c>
    </row>
    <row r="54">
      <c r="A54" s="13" t="n">
        <v>49</v>
      </c>
      <c r="B54" s="12" t="n">
        <v>3</v>
      </c>
    </row>
    <row r="55">
      <c r="A55" s="13" t="n">
        <v>50</v>
      </c>
      <c r="B55" s="12" t="n">
        <v>3</v>
      </c>
    </row>
    <row r="56">
      <c r="A56" s="13" t="n">
        <v>51</v>
      </c>
      <c r="B56" s="12" t="n">
        <v>3</v>
      </c>
    </row>
    <row r="57">
      <c r="A57" s="13" t="n">
        <v>52</v>
      </c>
      <c r="B57" s="12" t="n">
        <v>3</v>
      </c>
    </row>
    <row r="58">
      <c r="A58" s="13" t="n">
        <v>53</v>
      </c>
      <c r="B58" s="12" t="n">
        <v>3</v>
      </c>
    </row>
    <row r="59">
      <c r="A59" s="13" t="n">
        <v>54</v>
      </c>
      <c r="B59" s="12" t="n">
        <v>2</v>
      </c>
    </row>
    <row r="60">
      <c r="A60" s="13" t="n">
        <v>55</v>
      </c>
      <c r="B60" s="12" t="n">
        <v>3</v>
      </c>
    </row>
    <row r="61">
      <c r="A61" s="13" t="n">
        <v>56</v>
      </c>
      <c r="B61" s="12" t="n">
        <v>4</v>
      </c>
    </row>
    <row r="62">
      <c r="A62" s="13" t="n">
        <v>57</v>
      </c>
      <c r="B62" s="12" t="n">
        <v>3</v>
      </c>
    </row>
    <row r="63">
      <c r="A63" s="13" t="n">
        <v>58</v>
      </c>
      <c r="B63" s="12" t="n">
        <v>3</v>
      </c>
    </row>
    <row r="64">
      <c r="A64" s="13" t="n">
        <v>59</v>
      </c>
      <c r="B64" s="12" t="n">
        <v>5</v>
      </c>
    </row>
    <row r="65">
      <c r="A65" s="13" t="n">
        <v>60</v>
      </c>
      <c r="B65" s="12" t="n">
        <v>0</v>
      </c>
    </row>
    <row r="66">
      <c r="A66" s="13" t="n">
        <v>61</v>
      </c>
      <c r="B66" s="12" t="n">
        <v>1</v>
      </c>
    </row>
    <row r="67">
      <c r="A67" s="13" t="n">
        <v>62</v>
      </c>
      <c r="B67" s="12" t="n">
        <v>1</v>
      </c>
    </row>
    <row r="68">
      <c r="A68" s="13" t="n">
        <v>63</v>
      </c>
      <c r="B68" s="12" t="n">
        <v>2</v>
      </c>
    </row>
    <row r="69">
      <c r="A69" s="13" t="n">
        <v>64</v>
      </c>
      <c r="B69" s="12" t="n">
        <v>8</v>
      </c>
    </row>
    <row r="70">
      <c r="A70" s="13" t="n">
        <v>65</v>
      </c>
      <c r="B70" s="12" t="n">
        <v>3</v>
      </c>
    </row>
    <row r="71">
      <c r="A71" s="13" t="n">
        <v>66</v>
      </c>
      <c r="B71" s="12" t="n">
        <v>1</v>
      </c>
    </row>
    <row r="72">
      <c r="A72" s="13" t="n">
        <v>67</v>
      </c>
      <c r="B72" s="12" t="n">
        <v>2</v>
      </c>
    </row>
    <row r="73">
      <c r="A73" s="13" t="n">
        <v>68</v>
      </c>
      <c r="B73" s="12" t="n">
        <v>5</v>
      </c>
    </row>
    <row r="74">
      <c r="A74" s="13" t="n">
        <v>69</v>
      </c>
      <c r="B74" s="12" t="n">
        <v>1</v>
      </c>
    </row>
    <row r="75">
      <c r="A75" s="13" t="n">
        <v>70</v>
      </c>
      <c r="B75" s="12" t="n">
        <v>3</v>
      </c>
    </row>
    <row r="76">
      <c r="A76" s="13" t="n">
        <v>71</v>
      </c>
      <c r="B76" s="12" t="n">
        <v>8</v>
      </c>
    </row>
    <row r="77">
      <c r="A77" s="13" t="n">
        <v>72</v>
      </c>
      <c r="B77" s="12" t="n">
        <v>4</v>
      </c>
    </row>
    <row r="78">
      <c r="A78" s="13" t="n">
        <v>73</v>
      </c>
      <c r="B78" s="12" t="n">
        <v>2</v>
      </c>
    </row>
    <row r="79">
      <c r="A79" s="13" t="n">
        <v>74</v>
      </c>
      <c r="B79" s="12" t="n">
        <v>2</v>
      </c>
    </row>
    <row r="80">
      <c r="A80" s="13" t="n">
        <v>75</v>
      </c>
      <c r="B80" s="12" t="n">
        <v>2</v>
      </c>
    </row>
    <row r="81">
      <c r="A81" s="13" t="n">
        <v>76</v>
      </c>
      <c r="B81" s="12" t="n">
        <v>3</v>
      </c>
    </row>
    <row r="82">
      <c r="A82" s="13" t="n">
        <v>77</v>
      </c>
      <c r="B82" s="12" t="n">
        <v>5</v>
      </c>
    </row>
    <row r="83">
      <c r="A83" s="13" t="n">
        <v>78</v>
      </c>
      <c r="B83" s="12" t="n">
        <v>2</v>
      </c>
    </row>
    <row r="84">
      <c r="A84" s="13" t="n">
        <v>79</v>
      </c>
      <c r="B84" s="12" t="n">
        <v>3</v>
      </c>
    </row>
    <row r="85">
      <c r="A85" s="13" t="n">
        <v>80</v>
      </c>
      <c r="B85" s="12" t="n">
        <v>4</v>
      </c>
    </row>
    <row r="86">
      <c r="A86" s="13" t="n">
        <v>81</v>
      </c>
      <c r="B86" s="12" t="n">
        <v>6</v>
      </c>
    </row>
    <row r="87">
      <c r="A87" s="13" t="n">
        <v>82</v>
      </c>
      <c r="B87" s="12" t="n">
        <v>7</v>
      </c>
    </row>
    <row r="88">
      <c r="A88" s="13" t="n">
        <v>83</v>
      </c>
      <c r="B88" s="12" t="n">
        <v>4</v>
      </c>
    </row>
    <row r="89">
      <c r="A89" s="13" t="n">
        <v>84</v>
      </c>
      <c r="B89" s="12" t="n">
        <v>2</v>
      </c>
    </row>
    <row r="90">
      <c r="A90" s="13" t="n">
        <v>85</v>
      </c>
      <c r="B90" s="12" t="n">
        <v>2</v>
      </c>
    </row>
    <row r="91">
      <c r="A91" s="13" t="n">
        <v>86</v>
      </c>
      <c r="B91" s="12" t="n">
        <v>0</v>
      </c>
    </row>
    <row r="92">
      <c r="A92" s="13" t="n">
        <v>87</v>
      </c>
      <c r="B92" s="12" t="n">
        <v>3</v>
      </c>
    </row>
    <row r="93">
      <c r="A93" s="13" t="n">
        <v>88</v>
      </c>
      <c r="B93" s="12" t="n">
        <v>3</v>
      </c>
    </row>
    <row r="94">
      <c r="A94" s="13" t="n">
        <v>89</v>
      </c>
      <c r="B94" s="12" t="n">
        <v>4</v>
      </c>
    </row>
    <row r="95">
      <c r="A95" s="13" t="n">
        <v>90</v>
      </c>
      <c r="B95" s="12" t="n">
        <v>3</v>
      </c>
    </row>
    <row r="96">
      <c r="A96" s="13" t="n">
        <v>91</v>
      </c>
      <c r="B96" s="12" t="n">
        <v>5</v>
      </c>
    </row>
    <row r="97">
      <c r="A97" s="13" t="n">
        <v>92</v>
      </c>
      <c r="B97" s="12" t="n">
        <v>2</v>
      </c>
    </row>
    <row r="98">
      <c r="A98" s="13" t="n">
        <v>93</v>
      </c>
      <c r="B98" s="12" t="n">
        <v>2</v>
      </c>
    </row>
    <row r="99">
      <c r="A99" s="13" t="n">
        <v>94</v>
      </c>
      <c r="B99" s="12" t="n">
        <v>2</v>
      </c>
    </row>
    <row r="100">
      <c r="A100" s="13" t="n">
        <v>95</v>
      </c>
      <c r="B100" s="12" t="n">
        <v>4</v>
      </c>
    </row>
    <row r="101">
      <c r="A101" s="13" t="n">
        <v>96</v>
      </c>
      <c r="B101" s="12" t="n">
        <v>4</v>
      </c>
    </row>
    <row r="102">
      <c r="A102" s="13" t="n">
        <v>97</v>
      </c>
      <c r="B102" s="12" t="n">
        <v>4</v>
      </c>
    </row>
    <row r="103">
      <c r="A103" s="13" t="n">
        <v>98</v>
      </c>
      <c r="B103" s="12" t="n">
        <v>1</v>
      </c>
    </row>
    <row r="104">
      <c r="A104" s="13" t="n">
        <v>99</v>
      </c>
      <c r="B104" s="12" t="n">
        <v>1</v>
      </c>
    </row>
    <row r="105">
      <c r="A105" s="13" t="n">
        <v>100</v>
      </c>
      <c r="B105" s="12" t="n">
        <v>2</v>
      </c>
    </row>
  </sheetData>
  <mergeCells count="3">
    <mergeCell ref="M38:O38"/>
    <mergeCell ref="E20:G20"/>
    <mergeCell ref="M35:O35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2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4" customWidth="1" min="10" max="10"/>
    <col width="28" customWidth="1" min="11" max="11"/>
    <col width="13" customWidth="1" min="12" max="12"/>
    <col width="13" customWidth="1" min="13" max="13"/>
  </cols>
  <sheetData>
    <row r="1">
      <c r="A1" s="1" t="inlineStr">
        <is>
          <t>Línea de espera M/M/1: simulación frente a teoría</t>
        </is>
      </c>
    </row>
    <row r="2">
      <c r="A2" s="2" t="inlineStr">
        <is>
          <t>200 clientes. Tiempos en minutos. Cambia λ y μ (por hora) y pulsa F9.</t>
        </is>
      </c>
    </row>
    <row r="4">
      <c r="A4" s="10" t="inlineStr">
        <is>
          <t>Cliente</t>
        </is>
      </c>
      <c r="B4" s="10" t="inlineStr">
        <is>
          <t>r₁</t>
        </is>
      </c>
      <c r="C4" s="10" t="inlineStr">
        <is>
          <t>r₂</t>
        </is>
      </c>
      <c r="D4" s="10" t="inlineStr">
        <is>
          <t>Entre llegadas</t>
        </is>
      </c>
      <c r="E4" s="10" t="inlineStr">
        <is>
          <t>Llegada</t>
        </is>
      </c>
      <c r="F4" s="10" t="inlineStr">
        <is>
          <t>Servicio</t>
        </is>
      </c>
      <c r="G4" s="10" t="inlineStr">
        <is>
          <t>Inicio</t>
        </is>
      </c>
      <c r="H4" s="10" t="inlineStr">
        <is>
          <t>Fin</t>
        </is>
      </c>
      <c r="I4" s="10" t="inlineStr">
        <is>
          <t>Espera</t>
        </is>
      </c>
      <c r="K4" s="11" t="inlineStr">
        <is>
          <t>λ (llegadas por hora)</t>
        </is>
      </c>
      <c r="L4" s="12" t="n">
        <v>10</v>
      </c>
    </row>
    <row r="5">
      <c r="A5" s="13" t="n">
        <v>1</v>
      </c>
      <c r="B5" s="14">
        <f>RAND()</f>
        <v/>
      </c>
      <c r="C5" s="14">
        <f>RAND()</f>
        <v/>
      </c>
      <c r="D5" s="17">
        <f>-60/$L$4*LN(1-B5)</f>
        <v/>
      </c>
      <c r="E5" s="17">
        <f>D5</f>
        <v/>
      </c>
      <c r="F5" s="17">
        <f>-60/$L$5*LN(1-C5)</f>
        <v/>
      </c>
      <c r="G5" s="17">
        <f>E5</f>
        <v/>
      </c>
      <c r="H5" s="17">
        <f>G5+F5</f>
        <v/>
      </c>
      <c r="I5" s="17">
        <f>G5-E5</f>
        <v/>
      </c>
      <c r="K5" s="11" t="inlineStr">
        <is>
          <t>μ (servicios por hora)</t>
        </is>
      </c>
      <c r="L5" s="12" t="n">
        <v>12</v>
      </c>
    </row>
    <row r="6">
      <c r="A6" s="13" t="n">
        <v>2</v>
      </c>
      <c r="B6" s="14">
        <f>RAND()</f>
        <v/>
      </c>
      <c r="C6" s="14">
        <f>RAND()</f>
        <v/>
      </c>
      <c r="D6" s="17">
        <f>-60/$L$4*LN(1-B6)</f>
        <v/>
      </c>
      <c r="E6" s="17">
        <f>E5+D6</f>
        <v/>
      </c>
      <c r="F6" s="17">
        <f>-60/$L$5*LN(1-C6)</f>
        <v/>
      </c>
      <c r="G6" s="17">
        <f>MAX(E6,H5)</f>
        <v/>
      </c>
      <c r="H6" s="17">
        <f>G6+F6</f>
        <v/>
      </c>
      <c r="I6" s="17">
        <f>G6-E6</f>
        <v/>
      </c>
      <c r="K6" s="11" t="inlineStr">
        <is>
          <t>ρ = λ/μ</t>
        </is>
      </c>
      <c r="L6" s="16">
        <f>L4/L5</f>
        <v/>
      </c>
    </row>
    <row r="7">
      <c r="A7" s="13" t="n">
        <v>3</v>
      </c>
      <c r="B7" s="14">
        <f>RAND()</f>
        <v/>
      </c>
      <c r="C7" s="14">
        <f>RAND()</f>
        <v/>
      </c>
      <c r="D7" s="17">
        <f>-60/$L$4*LN(1-B7)</f>
        <v/>
      </c>
      <c r="E7" s="17">
        <f>E6+D7</f>
        <v/>
      </c>
      <c r="F7" s="17">
        <f>-60/$L$5*LN(1-C7)</f>
        <v/>
      </c>
      <c r="G7" s="17">
        <f>MAX(E7,H6)</f>
        <v/>
      </c>
      <c r="H7" s="17">
        <f>G7+F7</f>
        <v/>
      </c>
      <c r="I7" s="17">
        <f>G7-E7</f>
        <v/>
      </c>
    </row>
    <row r="8">
      <c r="A8" s="13" t="n">
        <v>4</v>
      </c>
      <c r="B8" s="14">
        <f>RAND()</f>
        <v/>
      </c>
      <c r="C8" s="14">
        <f>RAND()</f>
        <v/>
      </c>
      <c r="D8" s="17">
        <f>-60/$L$4*LN(1-B8)</f>
        <v/>
      </c>
      <c r="E8" s="17">
        <f>E7+D8</f>
        <v/>
      </c>
      <c r="F8" s="17">
        <f>-60/$L$5*LN(1-C8)</f>
        <v/>
      </c>
      <c r="G8" s="17">
        <f>MAX(E8,H7)</f>
        <v/>
      </c>
      <c r="H8" s="17">
        <f>G8+F8</f>
        <v/>
      </c>
      <c r="I8" s="17">
        <f>G8-E8</f>
        <v/>
      </c>
      <c r="K8" s="10" t="inlineStr">
        <is>
          <t>Medida</t>
        </is>
      </c>
      <c r="L8" s="10" t="inlineStr">
        <is>
          <t>Teoría</t>
        </is>
      </c>
      <c r="M8" s="10" t="inlineStr">
        <is>
          <t>Simulación</t>
        </is>
      </c>
    </row>
    <row r="9">
      <c r="A9" s="13" t="n">
        <v>5</v>
      </c>
      <c r="B9" s="14">
        <f>RAND()</f>
        <v/>
      </c>
      <c r="C9" s="14">
        <f>RAND()</f>
        <v/>
      </c>
      <c r="D9" s="17">
        <f>-60/$L$4*LN(1-B9)</f>
        <v/>
      </c>
      <c r="E9" s="17">
        <f>E8+D9</f>
        <v/>
      </c>
      <c r="F9" s="17">
        <f>-60/$L$5*LN(1-C9)</f>
        <v/>
      </c>
      <c r="G9" s="17">
        <f>MAX(E9,H8)</f>
        <v/>
      </c>
      <c r="H9" s="17">
        <f>G9+F9</f>
        <v/>
      </c>
      <c r="I9" s="17">
        <f>G9-E9</f>
        <v/>
      </c>
      <c r="K9" s="11" t="inlineStr">
        <is>
          <t>Utilización ρ</t>
        </is>
      </c>
      <c r="L9" s="20">
        <f>IF(L6&lt;1,L6,"inestable")</f>
        <v/>
      </c>
      <c r="M9" s="20">
        <f>SUM(F5:F204)/H204</f>
        <v/>
      </c>
    </row>
    <row r="10">
      <c r="A10" s="13" t="n">
        <v>6</v>
      </c>
      <c r="B10" s="14">
        <f>RAND()</f>
        <v/>
      </c>
      <c r="C10" s="14">
        <f>RAND()</f>
        <v/>
      </c>
      <c r="D10" s="17">
        <f>-60/$L$4*LN(1-B10)</f>
        <v/>
      </c>
      <c r="E10" s="17">
        <f>E9+D10</f>
        <v/>
      </c>
      <c r="F10" s="17">
        <f>-60/$L$5*LN(1-C10)</f>
        <v/>
      </c>
      <c r="G10" s="17">
        <f>MAX(E10,H9)</f>
        <v/>
      </c>
      <c r="H10" s="17">
        <f>G10+F10</f>
        <v/>
      </c>
      <c r="I10" s="17">
        <f>G10-E10</f>
        <v/>
      </c>
      <c r="K10" s="11" t="inlineStr">
        <is>
          <t>Wq: espera en cola (min)</t>
        </is>
      </c>
      <c r="L10" s="17">
        <f>IF(L6&lt;1,60*L4/(L5*(L5-L4)),"inestable")</f>
        <v/>
      </c>
      <c r="M10" s="17">
        <f>AVERAGE(I5:I204)</f>
        <v/>
      </c>
    </row>
    <row r="11">
      <c r="A11" s="13" t="n">
        <v>7</v>
      </c>
      <c r="B11" s="14">
        <f>RAND()</f>
        <v/>
      </c>
      <c r="C11" s="14">
        <f>RAND()</f>
        <v/>
      </c>
      <c r="D11" s="17">
        <f>-60/$L$4*LN(1-B11)</f>
        <v/>
      </c>
      <c r="E11" s="17">
        <f>E10+D11</f>
        <v/>
      </c>
      <c r="F11" s="17">
        <f>-60/$L$5*LN(1-C11)</f>
        <v/>
      </c>
      <c r="G11" s="17">
        <f>MAX(E11,H10)</f>
        <v/>
      </c>
      <c r="H11" s="17">
        <f>G11+F11</f>
        <v/>
      </c>
      <c r="I11" s="17">
        <f>G11-E11</f>
        <v/>
      </c>
      <c r="K11" s="11" t="inlineStr">
        <is>
          <t>W: tiempo en el sistema (min)</t>
        </is>
      </c>
      <c r="L11" s="17">
        <f>IF(L6&lt;1,60/(L5-L4),"inestable")</f>
        <v/>
      </c>
      <c r="M11" s="17">
        <f>AVERAGE(H5:H204)-AVERAGE(E5:E204)</f>
        <v/>
      </c>
    </row>
    <row r="12">
      <c r="A12" s="13" t="n">
        <v>8</v>
      </c>
      <c r="B12" s="14">
        <f>RAND()</f>
        <v/>
      </c>
      <c r="C12" s="14">
        <f>RAND()</f>
        <v/>
      </c>
      <c r="D12" s="17">
        <f>-60/$L$4*LN(1-B12)</f>
        <v/>
      </c>
      <c r="E12" s="17">
        <f>E11+D12</f>
        <v/>
      </c>
      <c r="F12" s="17">
        <f>-60/$L$5*LN(1-C12)</f>
        <v/>
      </c>
      <c r="G12" s="17">
        <f>MAX(E12,H11)</f>
        <v/>
      </c>
      <c r="H12" s="17">
        <f>G12+F12</f>
        <v/>
      </c>
      <c r="I12" s="17">
        <f>G12-E12</f>
        <v/>
      </c>
      <c r="K12" s="11" t="inlineStr">
        <is>
          <t>Lq: clientes en cola</t>
        </is>
      </c>
      <c r="L12" s="17">
        <f>IF(L6&lt;1,L6^2/(1-L6),"inestable")</f>
        <v/>
      </c>
      <c r="M12" s="17">
        <f>SUM(I5:I204)/H204</f>
        <v/>
      </c>
    </row>
    <row r="13">
      <c r="A13" s="13" t="n">
        <v>9</v>
      </c>
      <c r="B13" s="14">
        <f>RAND()</f>
        <v/>
      </c>
      <c r="C13" s="14">
        <f>RAND()</f>
        <v/>
      </c>
      <c r="D13" s="17">
        <f>-60/$L$4*LN(1-B13)</f>
        <v/>
      </c>
      <c r="E13" s="17">
        <f>E12+D13</f>
        <v/>
      </c>
      <c r="F13" s="17">
        <f>-60/$L$5*LN(1-C13)</f>
        <v/>
      </c>
      <c r="G13" s="17">
        <f>MAX(E13,H12)</f>
        <v/>
      </c>
      <c r="H13" s="17">
        <f>G13+F13</f>
        <v/>
      </c>
      <c r="I13" s="17">
        <f>G13-E13</f>
        <v/>
      </c>
      <c r="K13" s="11" t="inlineStr">
        <is>
          <t>Clientes que esperan</t>
        </is>
      </c>
      <c r="L13" s="20">
        <f>IF(L6&lt;1,L6,"inestable")</f>
        <v/>
      </c>
      <c r="M13" s="20">
        <f>COUNTIF(I5:I204,"&gt;0")/200</f>
        <v/>
      </c>
    </row>
    <row r="14">
      <c r="A14" s="13" t="n">
        <v>10</v>
      </c>
      <c r="B14" s="14">
        <f>RAND()</f>
        <v/>
      </c>
      <c r="C14" s="14">
        <f>RAND()</f>
        <v/>
      </c>
      <c r="D14" s="17">
        <f>-60/$L$4*LN(1-B14)</f>
        <v/>
      </c>
      <c r="E14" s="17">
        <f>E13+D14</f>
        <v/>
      </c>
      <c r="F14" s="17">
        <f>-60/$L$5*LN(1-C14)</f>
        <v/>
      </c>
      <c r="G14" s="17">
        <f>MAX(E14,H13)</f>
        <v/>
      </c>
      <c r="H14" s="17">
        <f>G14+F14</f>
        <v/>
      </c>
      <c r="I14" s="17">
        <f>G14-E14</f>
        <v/>
      </c>
    </row>
    <row r="15">
      <c r="A15" s="13" t="n">
        <v>11</v>
      </c>
      <c r="B15" s="14">
        <f>RAND()</f>
        <v/>
      </c>
      <c r="C15" s="14">
        <f>RAND()</f>
        <v/>
      </c>
      <c r="D15" s="17">
        <f>-60/$L$4*LN(1-B15)</f>
        <v/>
      </c>
      <c r="E15" s="17">
        <f>E14+D15</f>
        <v/>
      </c>
      <c r="F15" s="17">
        <f>-60/$L$5*LN(1-C15)</f>
        <v/>
      </c>
      <c r="G15" s="17">
        <f>MAX(E15,H14)</f>
        <v/>
      </c>
      <c r="H15" s="17">
        <f>G15+F15</f>
        <v/>
      </c>
      <c r="I15" s="17">
        <f>G15-E15</f>
        <v/>
      </c>
      <c r="K15" s="2" t="inlineStr">
        <is>
          <t>Con solo 200 clientes la simulación varía bastante entre corridas: pulsa F9 varias veces y observa.</t>
        </is>
      </c>
    </row>
    <row r="16">
      <c r="A16" s="13" t="n">
        <v>12</v>
      </c>
      <c r="B16" s="14">
        <f>RAND()</f>
        <v/>
      </c>
      <c r="C16" s="14">
        <f>RAND()</f>
        <v/>
      </c>
      <c r="D16" s="17">
        <f>-60/$L$4*LN(1-B16)</f>
        <v/>
      </c>
      <c r="E16" s="17">
        <f>E15+D16</f>
        <v/>
      </c>
      <c r="F16" s="17">
        <f>-60/$L$5*LN(1-C16)</f>
        <v/>
      </c>
      <c r="G16" s="17">
        <f>MAX(E16,H15)</f>
        <v/>
      </c>
      <c r="H16" s="17">
        <f>G16+F16</f>
        <v/>
      </c>
      <c r="I16" s="17">
        <f>G16-E16</f>
        <v/>
      </c>
    </row>
    <row r="17">
      <c r="A17" s="13" t="n">
        <v>13</v>
      </c>
      <c r="B17" s="14">
        <f>RAND()</f>
        <v/>
      </c>
      <c r="C17" s="14">
        <f>RAND()</f>
        <v/>
      </c>
      <c r="D17" s="17">
        <f>-60/$L$4*LN(1-B17)</f>
        <v/>
      </c>
      <c r="E17" s="17">
        <f>E16+D17</f>
        <v/>
      </c>
      <c r="F17" s="17">
        <f>-60/$L$5*LN(1-C17)</f>
        <v/>
      </c>
      <c r="G17" s="17">
        <f>MAX(E17,H16)</f>
        <v/>
      </c>
      <c r="H17" s="17">
        <f>G17+F17</f>
        <v/>
      </c>
      <c r="I17" s="17">
        <f>G17-E17</f>
        <v/>
      </c>
    </row>
    <row r="18">
      <c r="A18" s="13" t="n">
        <v>14</v>
      </c>
      <c r="B18" s="14">
        <f>RAND()</f>
        <v/>
      </c>
      <c r="C18" s="14">
        <f>RAND()</f>
        <v/>
      </c>
      <c r="D18" s="17">
        <f>-60/$L$4*LN(1-B18)</f>
        <v/>
      </c>
      <c r="E18" s="17">
        <f>E17+D18</f>
        <v/>
      </c>
      <c r="F18" s="17">
        <f>-60/$L$5*LN(1-C18)</f>
        <v/>
      </c>
      <c r="G18" s="17">
        <f>MAX(E18,H17)</f>
        <v/>
      </c>
      <c r="H18" s="17">
        <f>G18+F18</f>
        <v/>
      </c>
      <c r="I18" s="17">
        <f>G18-E18</f>
        <v/>
      </c>
    </row>
    <row r="19">
      <c r="A19" s="13" t="n">
        <v>15</v>
      </c>
      <c r="B19" s="14">
        <f>RAND()</f>
        <v/>
      </c>
      <c r="C19" s="14">
        <f>RAND()</f>
        <v/>
      </c>
      <c r="D19" s="17">
        <f>-60/$L$4*LN(1-B19)</f>
        <v/>
      </c>
      <c r="E19" s="17">
        <f>E18+D19</f>
        <v/>
      </c>
      <c r="F19" s="17">
        <f>-60/$L$5*LN(1-C19)</f>
        <v/>
      </c>
      <c r="G19" s="17">
        <f>MAX(E19,H18)</f>
        <v/>
      </c>
      <c r="H19" s="17">
        <f>G19+F19</f>
        <v/>
      </c>
      <c r="I19" s="17">
        <f>G19-E19</f>
        <v/>
      </c>
    </row>
    <row r="20">
      <c r="A20" s="13" t="n">
        <v>16</v>
      </c>
      <c r="B20" s="14">
        <f>RAND()</f>
        <v/>
      </c>
      <c r="C20" s="14">
        <f>RAND()</f>
        <v/>
      </c>
      <c r="D20" s="17">
        <f>-60/$L$4*LN(1-B20)</f>
        <v/>
      </c>
      <c r="E20" s="17">
        <f>E19+D20</f>
        <v/>
      </c>
      <c r="F20" s="17">
        <f>-60/$L$5*LN(1-C20)</f>
        <v/>
      </c>
      <c r="G20" s="17">
        <f>MAX(E20,H19)</f>
        <v/>
      </c>
      <c r="H20" s="17">
        <f>G20+F20</f>
        <v/>
      </c>
      <c r="I20" s="17">
        <f>G20-E20</f>
        <v/>
      </c>
    </row>
    <row r="21">
      <c r="A21" s="13" t="n">
        <v>17</v>
      </c>
      <c r="B21" s="14">
        <f>RAND()</f>
        <v/>
      </c>
      <c r="C21" s="14">
        <f>RAND()</f>
        <v/>
      </c>
      <c r="D21" s="17">
        <f>-60/$L$4*LN(1-B21)</f>
        <v/>
      </c>
      <c r="E21" s="17">
        <f>E20+D21</f>
        <v/>
      </c>
      <c r="F21" s="17">
        <f>-60/$L$5*LN(1-C21)</f>
        <v/>
      </c>
      <c r="G21" s="17">
        <f>MAX(E21,H20)</f>
        <v/>
      </c>
      <c r="H21" s="17">
        <f>G21+F21</f>
        <v/>
      </c>
      <c r="I21" s="17">
        <f>G21-E21</f>
        <v/>
      </c>
    </row>
    <row r="22">
      <c r="A22" s="13" t="n">
        <v>18</v>
      </c>
      <c r="B22" s="14">
        <f>RAND()</f>
        <v/>
      </c>
      <c r="C22" s="14">
        <f>RAND()</f>
        <v/>
      </c>
      <c r="D22" s="17">
        <f>-60/$L$4*LN(1-B22)</f>
        <v/>
      </c>
      <c r="E22" s="17">
        <f>E21+D22</f>
        <v/>
      </c>
      <c r="F22" s="17">
        <f>-60/$L$5*LN(1-C22)</f>
        <v/>
      </c>
      <c r="G22" s="17">
        <f>MAX(E22,H21)</f>
        <v/>
      </c>
      <c r="H22" s="17">
        <f>G22+F22</f>
        <v/>
      </c>
      <c r="I22" s="17">
        <f>G22-E22</f>
        <v/>
      </c>
    </row>
    <row r="23">
      <c r="A23" s="13" t="n">
        <v>19</v>
      </c>
      <c r="B23" s="14">
        <f>RAND()</f>
        <v/>
      </c>
      <c r="C23" s="14">
        <f>RAND()</f>
        <v/>
      </c>
      <c r="D23" s="17">
        <f>-60/$L$4*LN(1-B23)</f>
        <v/>
      </c>
      <c r="E23" s="17">
        <f>E22+D23</f>
        <v/>
      </c>
      <c r="F23" s="17">
        <f>-60/$L$5*LN(1-C23)</f>
        <v/>
      </c>
      <c r="G23" s="17">
        <f>MAX(E23,H22)</f>
        <v/>
      </c>
      <c r="H23" s="17">
        <f>G23+F23</f>
        <v/>
      </c>
      <c r="I23" s="17">
        <f>G23-E23</f>
        <v/>
      </c>
    </row>
    <row r="24">
      <c r="A24" s="13" t="n">
        <v>20</v>
      </c>
      <c r="B24" s="14">
        <f>RAND()</f>
        <v/>
      </c>
      <c r="C24" s="14">
        <f>RAND()</f>
        <v/>
      </c>
      <c r="D24" s="17">
        <f>-60/$L$4*LN(1-B24)</f>
        <v/>
      </c>
      <c r="E24" s="17">
        <f>E23+D24</f>
        <v/>
      </c>
      <c r="F24" s="17">
        <f>-60/$L$5*LN(1-C24)</f>
        <v/>
      </c>
      <c r="G24" s="17">
        <f>MAX(E24,H23)</f>
        <v/>
      </c>
      <c r="H24" s="17">
        <f>G24+F24</f>
        <v/>
      </c>
      <c r="I24" s="17">
        <f>G24-E24</f>
        <v/>
      </c>
    </row>
    <row r="25">
      <c r="A25" s="13" t="n">
        <v>21</v>
      </c>
      <c r="B25" s="14">
        <f>RAND()</f>
        <v/>
      </c>
      <c r="C25" s="14">
        <f>RAND()</f>
        <v/>
      </c>
      <c r="D25" s="17">
        <f>-60/$L$4*LN(1-B25)</f>
        <v/>
      </c>
      <c r="E25" s="17">
        <f>E24+D25</f>
        <v/>
      </c>
      <c r="F25" s="17">
        <f>-60/$L$5*LN(1-C25)</f>
        <v/>
      </c>
      <c r="G25" s="17">
        <f>MAX(E25,H24)</f>
        <v/>
      </c>
      <c r="H25" s="17">
        <f>G25+F25</f>
        <v/>
      </c>
      <c r="I25" s="17">
        <f>G25-E25</f>
        <v/>
      </c>
    </row>
    <row r="26">
      <c r="A26" s="13" t="n">
        <v>22</v>
      </c>
      <c r="B26" s="14">
        <f>RAND()</f>
        <v/>
      </c>
      <c r="C26" s="14">
        <f>RAND()</f>
        <v/>
      </c>
      <c r="D26" s="17">
        <f>-60/$L$4*LN(1-B26)</f>
        <v/>
      </c>
      <c r="E26" s="17">
        <f>E25+D26</f>
        <v/>
      </c>
      <c r="F26" s="17">
        <f>-60/$L$5*LN(1-C26)</f>
        <v/>
      </c>
      <c r="G26" s="17">
        <f>MAX(E26,H25)</f>
        <v/>
      </c>
      <c r="H26" s="17">
        <f>G26+F26</f>
        <v/>
      </c>
      <c r="I26" s="17">
        <f>G26-E26</f>
        <v/>
      </c>
    </row>
    <row r="27">
      <c r="A27" s="13" t="n">
        <v>23</v>
      </c>
      <c r="B27" s="14">
        <f>RAND()</f>
        <v/>
      </c>
      <c r="C27" s="14">
        <f>RAND()</f>
        <v/>
      </c>
      <c r="D27" s="17">
        <f>-60/$L$4*LN(1-B27)</f>
        <v/>
      </c>
      <c r="E27" s="17">
        <f>E26+D27</f>
        <v/>
      </c>
      <c r="F27" s="17">
        <f>-60/$L$5*LN(1-C27)</f>
        <v/>
      </c>
      <c r="G27" s="17">
        <f>MAX(E27,H26)</f>
        <v/>
      </c>
      <c r="H27" s="17">
        <f>G27+F27</f>
        <v/>
      </c>
      <c r="I27" s="17">
        <f>G27-E27</f>
        <v/>
      </c>
    </row>
    <row r="28">
      <c r="A28" s="13" t="n">
        <v>24</v>
      </c>
      <c r="B28" s="14">
        <f>RAND()</f>
        <v/>
      </c>
      <c r="C28" s="14">
        <f>RAND()</f>
        <v/>
      </c>
      <c r="D28" s="17">
        <f>-60/$L$4*LN(1-B28)</f>
        <v/>
      </c>
      <c r="E28" s="17">
        <f>E27+D28</f>
        <v/>
      </c>
      <c r="F28" s="17">
        <f>-60/$L$5*LN(1-C28)</f>
        <v/>
      </c>
      <c r="G28" s="17">
        <f>MAX(E28,H27)</f>
        <v/>
      </c>
      <c r="H28" s="17">
        <f>G28+F28</f>
        <v/>
      </c>
      <c r="I28" s="17">
        <f>G28-E28</f>
        <v/>
      </c>
    </row>
    <row r="29">
      <c r="A29" s="13" t="n">
        <v>25</v>
      </c>
      <c r="B29" s="14">
        <f>RAND()</f>
        <v/>
      </c>
      <c r="C29" s="14">
        <f>RAND()</f>
        <v/>
      </c>
      <c r="D29" s="17">
        <f>-60/$L$4*LN(1-B29)</f>
        <v/>
      </c>
      <c r="E29" s="17">
        <f>E28+D29</f>
        <v/>
      </c>
      <c r="F29" s="17">
        <f>-60/$L$5*LN(1-C29)</f>
        <v/>
      </c>
      <c r="G29" s="17">
        <f>MAX(E29,H28)</f>
        <v/>
      </c>
      <c r="H29" s="17">
        <f>G29+F29</f>
        <v/>
      </c>
      <c r="I29" s="17">
        <f>G29-E29</f>
        <v/>
      </c>
    </row>
    <row r="30">
      <c r="A30" s="13" t="n">
        <v>26</v>
      </c>
      <c r="B30" s="14">
        <f>RAND()</f>
        <v/>
      </c>
      <c r="C30" s="14">
        <f>RAND()</f>
        <v/>
      </c>
      <c r="D30" s="17">
        <f>-60/$L$4*LN(1-B30)</f>
        <v/>
      </c>
      <c r="E30" s="17">
        <f>E29+D30</f>
        <v/>
      </c>
      <c r="F30" s="17">
        <f>-60/$L$5*LN(1-C30)</f>
        <v/>
      </c>
      <c r="G30" s="17">
        <f>MAX(E30,H29)</f>
        <v/>
      </c>
      <c r="H30" s="17">
        <f>G30+F30</f>
        <v/>
      </c>
      <c r="I30" s="17">
        <f>G30-E30</f>
        <v/>
      </c>
    </row>
    <row r="31">
      <c r="A31" s="13" t="n">
        <v>27</v>
      </c>
      <c r="B31" s="14">
        <f>RAND()</f>
        <v/>
      </c>
      <c r="C31" s="14">
        <f>RAND()</f>
        <v/>
      </c>
      <c r="D31" s="17">
        <f>-60/$L$4*LN(1-B31)</f>
        <v/>
      </c>
      <c r="E31" s="17">
        <f>E30+D31</f>
        <v/>
      </c>
      <c r="F31" s="17">
        <f>-60/$L$5*LN(1-C31)</f>
        <v/>
      </c>
      <c r="G31" s="17">
        <f>MAX(E31,H30)</f>
        <v/>
      </c>
      <c r="H31" s="17">
        <f>G31+F31</f>
        <v/>
      </c>
      <c r="I31" s="17">
        <f>G31-E31</f>
        <v/>
      </c>
    </row>
    <row r="32">
      <c r="A32" s="13" t="n">
        <v>28</v>
      </c>
      <c r="B32" s="14">
        <f>RAND()</f>
        <v/>
      </c>
      <c r="C32" s="14">
        <f>RAND()</f>
        <v/>
      </c>
      <c r="D32" s="17">
        <f>-60/$L$4*LN(1-B32)</f>
        <v/>
      </c>
      <c r="E32" s="17">
        <f>E31+D32</f>
        <v/>
      </c>
      <c r="F32" s="17">
        <f>-60/$L$5*LN(1-C32)</f>
        <v/>
      </c>
      <c r="G32" s="17">
        <f>MAX(E32,H31)</f>
        <v/>
      </c>
      <c r="H32" s="17">
        <f>G32+F32</f>
        <v/>
      </c>
      <c r="I32" s="17">
        <f>G32-E32</f>
        <v/>
      </c>
    </row>
    <row r="33">
      <c r="A33" s="13" t="n">
        <v>29</v>
      </c>
      <c r="B33" s="14">
        <f>RAND()</f>
        <v/>
      </c>
      <c r="C33" s="14">
        <f>RAND()</f>
        <v/>
      </c>
      <c r="D33" s="17">
        <f>-60/$L$4*LN(1-B33)</f>
        <v/>
      </c>
      <c r="E33" s="17">
        <f>E32+D33</f>
        <v/>
      </c>
      <c r="F33" s="17">
        <f>-60/$L$5*LN(1-C33)</f>
        <v/>
      </c>
      <c r="G33" s="17">
        <f>MAX(E33,H32)</f>
        <v/>
      </c>
      <c r="H33" s="17">
        <f>G33+F33</f>
        <v/>
      </c>
      <c r="I33" s="17">
        <f>G33-E33</f>
        <v/>
      </c>
    </row>
    <row r="34">
      <c r="A34" s="13" t="n">
        <v>30</v>
      </c>
      <c r="B34" s="14">
        <f>RAND()</f>
        <v/>
      </c>
      <c r="C34" s="14">
        <f>RAND()</f>
        <v/>
      </c>
      <c r="D34" s="17">
        <f>-60/$L$4*LN(1-B34)</f>
        <v/>
      </c>
      <c r="E34" s="17">
        <f>E33+D34</f>
        <v/>
      </c>
      <c r="F34" s="17">
        <f>-60/$L$5*LN(1-C34)</f>
        <v/>
      </c>
      <c r="G34" s="17">
        <f>MAX(E34,H33)</f>
        <v/>
      </c>
      <c r="H34" s="17">
        <f>G34+F34</f>
        <v/>
      </c>
      <c r="I34" s="17">
        <f>G34-E34</f>
        <v/>
      </c>
    </row>
    <row r="35">
      <c r="A35" s="13" t="n">
        <v>31</v>
      </c>
      <c r="B35" s="14">
        <f>RAND()</f>
        <v/>
      </c>
      <c r="C35" s="14">
        <f>RAND()</f>
        <v/>
      </c>
      <c r="D35" s="17">
        <f>-60/$L$4*LN(1-B35)</f>
        <v/>
      </c>
      <c r="E35" s="17">
        <f>E34+D35</f>
        <v/>
      </c>
      <c r="F35" s="17">
        <f>-60/$L$5*LN(1-C35)</f>
        <v/>
      </c>
      <c r="G35" s="17">
        <f>MAX(E35,H34)</f>
        <v/>
      </c>
      <c r="H35" s="17">
        <f>G35+F35</f>
        <v/>
      </c>
      <c r="I35" s="17">
        <f>G35-E35</f>
        <v/>
      </c>
    </row>
    <row r="36">
      <c r="A36" s="13" t="n">
        <v>32</v>
      </c>
      <c r="B36" s="14">
        <f>RAND()</f>
        <v/>
      </c>
      <c r="C36" s="14">
        <f>RAND()</f>
        <v/>
      </c>
      <c r="D36" s="17">
        <f>-60/$L$4*LN(1-B36)</f>
        <v/>
      </c>
      <c r="E36" s="17">
        <f>E35+D36</f>
        <v/>
      </c>
      <c r="F36" s="17">
        <f>-60/$L$5*LN(1-C36)</f>
        <v/>
      </c>
      <c r="G36" s="17">
        <f>MAX(E36,H35)</f>
        <v/>
      </c>
      <c r="H36" s="17">
        <f>G36+F36</f>
        <v/>
      </c>
      <c r="I36" s="17">
        <f>G36-E36</f>
        <v/>
      </c>
    </row>
    <row r="37">
      <c r="A37" s="13" t="n">
        <v>33</v>
      </c>
      <c r="B37" s="14">
        <f>RAND()</f>
        <v/>
      </c>
      <c r="C37" s="14">
        <f>RAND()</f>
        <v/>
      </c>
      <c r="D37" s="17">
        <f>-60/$L$4*LN(1-B37)</f>
        <v/>
      </c>
      <c r="E37" s="17">
        <f>E36+D37</f>
        <v/>
      </c>
      <c r="F37" s="17">
        <f>-60/$L$5*LN(1-C37)</f>
        <v/>
      </c>
      <c r="G37" s="17">
        <f>MAX(E37,H36)</f>
        <v/>
      </c>
      <c r="H37" s="17">
        <f>G37+F37</f>
        <v/>
      </c>
      <c r="I37" s="17">
        <f>G37-E37</f>
        <v/>
      </c>
    </row>
    <row r="38">
      <c r="A38" s="13" t="n">
        <v>34</v>
      </c>
      <c r="B38" s="14">
        <f>RAND()</f>
        <v/>
      </c>
      <c r="C38" s="14">
        <f>RAND()</f>
        <v/>
      </c>
      <c r="D38" s="17">
        <f>-60/$L$4*LN(1-B38)</f>
        <v/>
      </c>
      <c r="E38" s="17">
        <f>E37+D38</f>
        <v/>
      </c>
      <c r="F38" s="17">
        <f>-60/$L$5*LN(1-C38)</f>
        <v/>
      </c>
      <c r="G38" s="17">
        <f>MAX(E38,H37)</f>
        <v/>
      </c>
      <c r="H38" s="17">
        <f>G38+F38</f>
        <v/>
      </c>
      <c r="I38" s="17">
        <f>G38-E38</f>
        <v/>
      </c>
    </row>
    <row r="39">
      <c r="A39" s="13" t="n">
        <v>35</v>
      </c>
      <c r="B39" s="14">
        <f>RAND()</f>
        <v/>
      </c>
      <c r="C39" s="14">
        <f>RAND()</f>
        <v/>
      </c>
      <c r="D39" s="17">
        <f>-60/$L$4*LN(1-B39)</f>
        <v/>
      </c>
      <c r="E39" s="17">
        <f>E38+D39</f>
        <v/>
      </c>
      <c r="F39" s="17">
        <f>-60/$L$5*LN(1-C39)</f>
        <v/>
      </c>
      <c r="G39" s="17">
        <f>MAX(E39,H38)</f>
        <v/>
      </c>
      <c r="H39" s="17">
        <f>G39+F39</f>
        <v/>
      </c>
      <c r="I39" s="17">
        <f>G39-E39</f>
        <v/>
      </c>
    </row>
    <row r="40">
      <c r="A40" s="13" t="n">
        <v>36</v>
      </c>
      <c r="B40" s="14">
        <f>RAND()</f>
        <v/>
      </c>
      <c r="C40" s="14">
        <f>RAND()</f>
        <v/>
      </c>
      <c r="D40" s="17">
        <f>-60/$L$4*LN(1-B40)</f>
        <v/>
      </c>
      <c r="E40" s="17">
        <f>E39+D40</f>
        <v/>
      </c>
      <c r="F40" s="17">
        <f>-60/$L$5*LN(1-C40)</f>
        <v/>
      </c>
      <c r="G40" s="17">
        <f>MAX(E40,H39)</f>
        <v/>
      </c>
      <c r="H40" s="17">
        <f>G40+F40</f>
        <v/>
      </c>
      <c r="I40" s="17">
        <f>G40-E40</f>
        <v/>
      </c>
    </row>
    <row r="41">
      <c r="A41" s="13" t="n">
        <v>37</v>
      </c>
      <c r="B41" s="14">
        <f>RAND()</f>
        <v/>
      </c>
      <c r="C41" s="14">
        <f>RAND()</f>
        <v/>
      </c>
      <c r="D41" s="17">
        <f>-60/$L$4*LN(1-B41)</f>
        <v/>
      </c>
      <c r="E41" s="17">
        <f>E40+D41</f>
        <v/>
      </c>
      <c r="F41" s="17">
        <f>-60/$L$5*LN(1-C41)</f>
        <v/>
      </c>
      <c r="G41" s="17">
        <f>MAX(E41,H40)</f>
        <v/>
      </c>
      <c r="H41" s="17">
        <f>G41+F41</f>
        <v/>
      </c>
      <c r="I41" s="17">
        <f>G41-E41</f>
        <v/>
      </c>
    </row>
    <row r="42">
      <c r="A42" s="13" t="n">
        <v>38</v>
      </c>
      <c r="B42" s="14">
        <f>RAND()</f>
        <v/>
      </c>
      <c r="C42" s="14">
        <f>RAND()</f>
        <v/>
      </c>
      <c r="D42" s="17">
        <f>-60/$L$4*LN(1-B42)</f>
        <v/>
      </c>
      <c r="E42" s="17">
        <f>E41+D42</f>
        <v/>
      </c>
      <c r="F42" s="17">
        <f>-60/$L$5*LN(1-C42)</f>
        <v/>
      </c>
      <c r="G42" s="17">
        <f>MAX(E42,H41)</f>
        <v/>
      </c>
      <c r="H42" s="17">
        <f>G42+F42</f>
        <v/>
      </c>
      <c r="I42" s="17">
        <f>G42-E42</f>
        <v/>
      </c>
    </row>
    <row r="43">
      <c r="A43" s="13" t="n">
        <v>39</v>
      </c>
      <c r="B43" s="14">
        <f>RAND()</f>
        <v/>
      </c>
      <c r="C43" s="14">
        <f>RAND()</f>
        <v/>
      </c>
      <c r="D43" s="17">
        <f>-60/$L$4*LN(1-B43)</f>
        <v/>
      </c>
      <c r="E43" s="17">
        <f>E42+D43</f>
        <v/>
      </c>
      <c r="F43" s="17">
        <f>-60/$L$5*LN(1-C43)</f>
        <v/>
      </c>
      <c r="G43" s="17">
        <f>MAX(E43,H42)</f>
        <v/>
      </c>
      <c r="H43" s="17">
        <f>G43+F43</f>
        <v/>
      </c>
      <c r="I43" s="17">
        <f>G43-E43</f>
        <v/>
      </c>
    </row>
    <row r="44">
      <c r="A44" s="13" t="n">
        <v>40</v>
      </c>
      <c r="B44" s="14">
        <f>RAND()</f>
        <v/>
      </c>
      <c r="C44" s="14">
        <f>RAND()</f>
        <v/>
      </c>
      <c r="D44" s="17">
        <f>-60/$L$4*LN(1-B44)</f>
        <v/>
      </c>
      <c r="E44" s="17">
        <f>E43+D44</f>
        <v/>
      </c>
      <c r="F44" s="17">
        <f>-60/$L$5*LN(1-C44)</f>
        <v/>
      </c>
      <c r="G44" s="17">
        <f>MAX(E44,H43)</f>
        <v/>
      </c>
      <c r="H44" s="17">
        <f>G44+F44</f>
        <v/>
      </c>
      <c r="I44" s="17">
        <f>G44-E44</f>
        <v/>
      </c>
    </row>
    <row r="45">
      <c r="A45" s="13" t="n">
        <v>41</v>
      </c>
      <c r="B45" s="14">
        <f>RAND()</f>
        <v/>
      </c>
      <c r="C45" s="14">
        <f>RAND()</f>
        <v/>
      </c>
      <c r="D45" s="17">
        <f>-60/$L$4*LN(1-B45)</f>
        <v/>
      </c>
      <c r="E45" s="17">
        <f>E44+D45</f>
        <v/>
      </c>
      <c r="F45" s="17">
        <f>-60/$L$5*LN(1-C45)</f>
        <v/>
      </c>
      <c r="G45" s="17">
        <f>MAX(E45,H44)</f>
        <v/>
      </c>
      <c r="H45" s="17">
        <f>G45+F45</f>
        <v/>
      </c>
      <c r="I45" s="17">
        <f>G45-E45</f>
        <v/>
      </c>
    </row>
    <row r="46">
      <c r="A46" s="13" t="n">
        <v>42</v>
      </c>
      <c r="B46" s="14">
        <f>RAND()</f>
        <v/>
      </c>
      <c r="C46" s="14">
        <f>RAND()</f>
        <v/>
      </c>
      <c r="D46" s="17">
        <f>-60/$L$4*LN(1-B46)</f>
        <v/>
      </c>
      <c r="E46" s="17">
        <f>E45+D46</f>
        <v/>
      </c>
      <c r="F46" s="17">
        <f>-60/$L$5*LN(1-C46)</f>
        <v/>
      </c>
      <c r="G46" s="17">
        <f>MAX(E46,H45)</f>
        <v/>
      </c>
      <c r="H46" s="17">
        <f>G46+F46</f>
        <v/>
      </c>
      <c r="I46" s="17">
        <f>G46-E46</f>
        <v/>
      </c>
    </row>
    <row r="47">
      <c r="A47" s="13" t="n">
        <v>43</v>
      </c>
      <c r="B47" s="14">
        <f>RAND()</f>
        <v/>
      </c>
      <c r="C47" s="14">
        <f>RAND()</f>
        <v/>
      </c>
      <c r="D47" s="17">
        <f>-60/$L$4*LN(1-B47)</f>
        <v/>
      </c>
      <c r="E47" s="17">
        <f>E46+D47</f>
        <v/>
      </c>
      <c r="F47" s="17">
        <f>-60/$L$5*LN(1-C47)</f>
        <v/>
      </c>
      <c r="G47" s="17">
        <f>MAX(E47,H46)</f>
        <v/>
      </c>
      <c r="H47" s="17">
        <f>G47+F47</f>
        <v/>
      </c>
      <c r="I47" s="17">
        <f>G47-E47</f>
        <v/>
      </c>
    </row>
    <row r="48">
      <c r="A48" s="13" t="n">
        <v>44</v>
      </c>
      <c r="B48" s="14">
        <f>RAND()</f>
        <v/>
      </c>
      <c r="C48" s="14">
        <f>RAND()</f>
        <v/>
      </c>
      <c r="D48" s="17">
        <f>-60/$L$4*LN(1-B48)</f>
        <v/>
      </c>
      <c r="E48" s="17">
        <f>E47+D48</f>
        <v/>
      </c>
      <c r="F48" s="17">
        <f>-60/$L$5*LN(1-C48)</f>
        <v/>
      </c>
      <c r="G48" s="17">
        <f>MAX(E48,H47)</f>
        <v/>
      </c>
      <c r="H48" s="17">
        <f>G48+F48</f>
        <v/>
      </c>
      <c r="I48" s="17">
        <f>G48-E48</f>
        <v/>
      </c>
    </row>
    <row r="49">
      <c r="A49" s="13" t="n">
        <v>45</v>
      </c>
      <c r="B49" s="14">
        <f>RAND()</f>
        <v/>
      </c>
      <c r="C49" s="14">
        <f>RAND()</f>
        <v/>
      </c>
      <c r="D49" s="17">
        <f>-60/$L$4*LN(1-B49)</f>
        <v/>
      </c>
      <c r="E49" s="17">
        <f>E48+D49</f>
        <v/>
      </c>
      <c r="F49" s="17">
        <f>-60/$L$5*LN(1-C49)</f>
        <v/>
      </c>
      <c r="G49" s="17">
        <f>MAX(E49,H48)</f>
        <v/>
      </c>
      <c r="H49" s="17">
        <f>G49+F49</f>
        <v/>
      </c>
      <c r="I49" s="17">
        <f>G49-E49</f>
        <v/>
      </c>
    </row>
    <row r="50">
      <c r="A50" s="13" t="n">
        <v>46</v>
      </c>
      <c r="B50" s="14">
        <f>RAND()</f>
        <v/>
      </c>
      <c r="C50" s="14">
        <f>RAND()</f>
        <v/>
      </c>
      <c r="D50" s="17">
        <f>-60/$L$4*LN(1-B50)</f>
        <v/>
      </c>
      <c r="E50" s="17">
        <f>E49+D50</f>
        <v/>
      </c>
      <c r="F50" s="17">
        <f>-60/$L$5*LN(1-C50)</f>
        <v/>
      </c>
      <c r="G50" s="17">
        <f>MAX(E50,H49)</f>
        <v/>
      </c>
      <c r="H50" s="17">
        <f>G50+F50</f>
        <v/>
      </c>
      <c r="I50" s="17">
        <f>G50-E50</f>
        <v/>
      </c>
    </row>
    <row r="51">
      <c r="A51" s="13" t="n">
        <v>47</v>
      </c>
      <c r="B51" s="14">
        <f>RAND()</f>
        <v/>
      </c>
      <c r="C51" s="14">
        <f>RAND()</f>
        <v/>
      </c>
      <c r="D51" s="17">
        <f>-60/$L$4*LN(1-B51)</f>
        <v/>
      </c>
      <c r="E51" s="17">
        <f>E50+D51</f>
        <v/>
      </c>
      <c r="F51" s="17">
        <f>-60/$L$5*LN(1-C51)</f>
        <v/>
      </c>
      <c r="G51" s="17">
        <f>MAX(E51,H50)</f>
        <v/>
      </c>
      <c r="H51" s="17">
        <f>G51+F51</f>
        <v/>
      </c>
      <c r="I51" s="17">
        <f>G51-E51</f>
        <v/>
      </c>
    </row>
    <row r="52">
      <c r="A52" s="13" t="n">
        <v>48</v>
      </c>
      <c r="B52" s="14">
        <f>RAND()</f>
        <v/>
      </c>
      <c r="C52" s="14">
        <f>RAND()</f>
        <v/>
      </c>
      <c r="D52" s="17">
        <f>-60/$L$4*LN(1-B52)</f>
        <v/>
      </c>
      <c r="E52" s="17">
        <f>E51+D52</f>
        <v/>
      </c>
      <c r="F52" s="17">
        <f>-60/$L$5*LN(1-C52)</f>
        <v/>
      </c>
      <c r="G52" s="17">
        <f>MAX(E52,H51)</f>
        <v/>
      </c>
      <c r="H52" s="17">
        <f>G52+F52</f>
        <v/>
      </c>
      <c r="I52" s="17">
        <f>G52-E52</f>
        <v/>
      </c>
    </row>
    <row r="53">
      <c r="A53" s="13" t="n">
        <v>49</v>
      </c>
      <c r="B53" s="14">
        <f>RAND()</f>
        <v/>
      </c>
      <c r="C53" s="14">
        <f>RAND()</f>
        <v/>
      </c>
      <c r="D53" s="17">
        <f>-60/$L$4*LN(1-B53)</f>
        <v/>
      </c>
      <c r="E53" s="17">
        <f>E52+D53</f>
        <v/>
      </c>
      <c r="F53" s="17">
        <f>-60/$L$5*LN(1-C53)</f>
        <v/>
      </c>
      <c r="G53" s="17">
        <f>MAX(E53,H52)</f>
        <v/>
      </c>
      <c r="H53" s="17">
        <f>G53+F53</f>
        <v/>
      </c>
      <c r="I53" s="17">
        <f>G53-E53</f>
        <v/>
      </c>
    </row>
    <row r="54">
      <c r="A54" s="13" t="n">
        <v>50</v>
      </c>
      <c r="B54" s="14">
        <f>RAND()</f>
        <v/>
      </c>
      <c r="C54" s="14">
        <f>RAND()</f>
        <v/>
      </c>
      <c r="D54" s="17">
        <f>-60/$L$4*LN(1-B54)</f>
        <v/>
      </c>
      <c r="E54" s="17">
        <f>E53+D54</f>
        <v/>
      </c>
      <c r="F54" s="17">
        <f>-60/$L$5*LN(1-C54)</f>
        <v/>
      </c>
      <c r="G54" s="17">
        <f>MAX(E54,H53)</f>
        <v/>
      </c>
      <c r="H54" s="17">
        <f>G54+F54</f>
        <v/>
      </c>
      <c r="I54" s="17">
        <f>G54-E54</f>
        <v/>
      </c>
    </row>
    <row r="55">
      <c r="A55" s="13" t="n">
        <v>51</v>
      </c>
      <c r="B55" s="14">
        <f>RAND()</f>
        <v/>
      </c>
      <c r="C55" s="14">
        <f>RAND()</f>
        <v/>
      </c>
      <c r="D55" s="17">
        <f>-60/$L$4*LN(1-B55)</f>
        <v/>
      </c>
      <c r="E55" s="17">
        <f>E54+D55</f>
        <v/>
      </c>
      <c r="F55" s="17">
        <f>-60/$L$5*LN(1-C55)</f>
        <v/>
      </c>
      <c r="G55" s="17">
        <f>MAX(E55,H54)</f>
        <v/>
      </c>
      <c r="H55" s="17">
        <f>G55+F55</f>
        <v/>
      </c>
      <c r="I55" s="17">
        <f>G55-E55</f>
        <v/>
      </c>
    </row>
    <row r="56">
      <c r="A56" s="13" t="n">
        <v>52</v>
      </c>
      <c r="B56" s="14">
        <f>RAND()</f>
        <v/>
      </c>
      <c r="C56" s="14">
        <f>RAND()</f>
        <v/>
      </c>
      <c r="D56" s="17">
        <f>-60/$L$4*LN(1-B56)</f>
        <v/>
      </c>
      <c r="E56" s="17">
        <f>E55+D56</f>
        <v/>
      </c>
      <c r="F56" s="17">
        <f>-60/$L$5*LN(1-C56)</f>
        <v/>
      </c>
      <c r="G56" s="17">
        <f>MAX(E56,H55)</f>
        <v/>
      </c>
      <c r="H56" s="17">
        <f>G56+F56</f>
        <v/>
      </c>
      <c r="I56" s="17">
        <f>G56-E56</f>
        <v/>
      </c>
    </row>
    <row r="57">
      <c r="A57" s="13" t="n">
        <v>53</v>
      </c>
      <c r="B57" s="14">
        <f>RAND()</f>
        <v/>
      </c>
      <c r="C57" s="14">
        <f>RAND()</f>
        <v/>
      </c>
      <c r="D57" s="17">
        <f>-60/$L$4*LN(1-B57)</f>
        <v/>
      </c>
      <c r="E57" s="17">
        <f>E56+D57</f>
        <v/>
      </c>
      <c r="F57" s="17">
        <f>-60/$L$5*LN(1-C57)</f>
        <v/>
      </c>
      <c r="G57" s="17">
        <f>MAX(E57,H56)</f>
        <v/>
      </c>
      <c r="H57" s="17">
        <f>G57+F57</f>
        <v/>
      </c>
      <c r="I57" s="17">
        <f>G57-E57</f>
        <v/>
      </c>
    </row>
    <row r="58">
      <c r="A58" s="13" t="n">
        <v>54</v>
      </c>
      <c r="B58" s="14">
        <f>RAND()</f>
        <v/>
      </c>
      <c r="C58" s="14">
        <f>RAND()</f>
        <v/>
      </c>
      <c r="D58" s="17">
        <f>-60/$L$4*LN(1-B58)</f>
        <v/>
      </c>
      <c r="E58" s="17">
        <f>E57+D58</f>
        <v/>
      </c>
      <c r="F58" s="17">
        <f>-60/$L$5*LN(1-C58)</f>
        <v/>
      </c>
      <c r="G58" s="17">
        <f>MAX(E58,H57)</f>
        <v/>
      </c>
      <c r="H58" s="17">
        <f>G58+F58</f>
        <v/>
      </c>
      <c r="I58" s="17">
        <f>G58-E58</f>
        <v/>
      </c>
    </row>
    <row r="59">
      <c r="A59" s="13" t="n">
        <v>55</v>
      </c>
      <c r="B59" s="14">
        <f>RAND()</f>
        <v/>
      </c>
      <c r="C59" s="14">
        <f>RAND()</f>
        <v/>
      </c>
      <c r="D59" s="17">
        <f>-60/$L$4*LN(1-B59)</f>
        <v/>
      </c>
      <c r="E59" s="17">
        <f>E58+D59</f>
        <v/>
      </c>
      <c r="F59" s="17">
        <f>-60/$L$5*LN(1-C59)</f>
        <v/>
      </c>
      <c r="G59" s="17">
        <f>MAX(E59,H58)</f>
        <v/>
      </c>
      <c r="H59" s="17">
        <f>G59+F59</f>
        <v/>
      </c>
      <c r="I59" s="17">
        <f>G59-E59</f>
        <v/>
      </c>
    </row>
    <row r="60">
      <c r="A60" s="13" t="n">
        <v>56</v>
      </c>
      <c r="B60" s="14">
        <f>RAND()</f>
        <v/>
      </c>
      <c r="C60" s="14">
        <f>RAND()</f>
        <v/>
      </c>
      <c r="D60" s="17">
        <f>-60/$L$4*LN(1-B60)</f>
        <v/>
      </c>
      <c r="E60" s="17">
        <f>E59+D60</f>
        <v/>
      </c>
      <c r="F60" s="17">
        <f>-60/$L$5*LN(1-C60)</f>
        <v/>
      </c>
      <c r="G60" s="17">
        <f>MAX(E60,H59)</f>
        <v/>
      </c>
      <c r="H60" s="17">
        <f>G60+F60</f>
        <v/>
      </c>
      <c r="I60" s="17">
        <f>G60-E60</f>
        <v/>
      </c>
    </row>
    <row r="61">
      <c r="A61" s="13" t="n">
        <v>57</v>
      </c>
      <c r="B61" s="14">
        <f>RAND()</f>
        <v/>
      </c>
      <c r="C61" s="14">
        <f>RAND()</f>
        <v/>
      </c>
      <c r="D61" s="17">
        <f>-60/$L$4*LN(1-B61)</f>
        <v/>
      </c>
      <c r="E61" s="17">
        <f>E60+D61</f>
        <v/>
      </c>
      <c r="F61" s="17">
        <f>-60/$L$5*LN(1-C61)</f>
        <v/>
      </c>
      <c r="G61" s="17">
        <f>MAX(E61,H60)</f>
        <v/>
      </c>
      <c r="H61" s="17">
        <f>G61+F61</f>
        <v/>
      </c>
      <c r="I61" s="17">
        <f>G61-E61</f>
        <v/>
      </c>
    </row>
    <row r="62">
      <c r="A62" s="13" t="n">
        <v>58</v>
      </c>
      <c r="B62" s="14">
        <f>RAND()</f>
        <v/>
      </c>
      <c r="C62" s="14">
        <f>RAND()</f>
        <v/>
      </c>
      <c r="D62" s="17">
        <f>-60/$L$4*LN(1-B62)</f>
        <v/>
      </c>
      <c r="E62" s="17">
        <f>E61+D62</f>
        <v/>
      </c>
      <c r="F62" s="17">
        <f>-60/$L$5*LN(1-C62)</f>
        <v/>
      </c>
      <c r="G62" s="17">
        <f>MAX(E62,H61)</f>
        <v/>
      </c>
      <c r="H62" s="17">
        <f>G62+F62</f>
        <v/>
      </c>
      <c r="I62" s="17">
        <f>G62-E62</f>
        <v/>
      </c>
    </row>
    <row r="63">
      <c r="A63" s="13" t="n">
        <v>59</v>
      </c>
      <c r="B63" s="14">
        <f>RAND()</f>
        <v/>
      </c>
      <c r="C63" s="14">
        <f>RAND()</f>
        <v/>
      </c>
      <c r="D63" s="17">
        <f>-60/$L$4*LN(1-B63)</f>
        <v/>
      </c>
      <c r="E63" s="17">
        <f>E62+D63</f>
        <v/>
      </c>
      <c r="F63" s="17">
        <f>-60/$L$5*LN(1-C63)</f>
        <v/>
      </c>
      <c r="G63" s="17">
        <f>MAX(E63,H62)</f>
        <v/>
      </c>
      <c r="H63" s="17">
        <f>G63+F63</f>
        <v/>
      </c>
      <c r="I63" s="17">
        <f>G63-E63</f>
        <v/>
      </c>
    </row>
    <row r="64">
      <c r="A64" s="13" t="n">
        <v>60</v>
      </c>
      <c r="B64" s="14">
        <f>RAND()</f>
        <v/>
      </c>
      <c r="C64" s="14">
        <f>RAND()</f>
        <v/>
      </c>
      <c r="D64" s="17">
        <f>-60/$L$4*LN(1-B64)</f>
        <v/>
      </c>
      <c r="E64" s="17">
        <f>E63+D64</f>
        <v/>
      </c>
      <c r="F64" s="17">
        <f>-60/$L$5*LN(1-C64)</f>
        <v/>
      </c>
      <c r="G64" s="17">
        <f>MAX(E64,H63)</f>
        <v/>
      </c>
      <c r="H64" s="17">
        <f>G64+F64</f>
        <v/>
      </c>
      <c r="I64" s="17">
        <f>G64-E64</f>
        <v/>
      </c>
    </row>
    <row r="65">
      <c r="A65" s="13" t="n">
        <v>61</v>
      </c>
      <c r="B65" s="14">
        <f>RAND()</f>
        <v/>
      </c>
      <c r="C65" s="14">
        <f>RAND()</f>
        <v/>
      </c>
      <c r="D65" s="17">
        <f>-60/$L$4*LN(1-B65)</f>
        <v/>
      </c>
      <c r="E65" s="17">
        <f>E64+D65</f>
        <v/>
      </c>
      <c r="F65" s="17">
        <f>-60/$L$5*LN(1-C65)</f>
        <v/>
      </c>
      <c r="G65" s="17">
        <f>MAX(E65,H64)</f>
        <v/>
      </c>
      <c r="H65" s="17">
        <f>G65+F65</f>
        <v/>
      </c>
      <c r="I65" s="17">
        <f>G65-E65</f>
        <v/>
      </c>
    </row>
    <row r="66">
      <c r="A66" s="13" t="n">
        <v>62</v>
      </c>
      <c r="B66" s="14">
        <f>RAND()</f>
        <v/>
      </c>
      <c r="C66" s="14">
        <f>RAND()</f>
        <v/>
      </c>
      <c r="D66" s="17">
        <f>-60/$L$4*LN(1-B66)</f>
        <v/>
      </c>
      <c r="E66" s="17">
        <f>E65+D66</f>
        <v/>
      </c>
      <c r="F66" s="17">
        <f>-60/$L$5*LN(1-C66)</f>
        <v/>
      </c>
      <c r="G66" s="17">
        <f>MAX(E66,H65)</f>
        <v/>
      </c>
      <c r="H66" s="17">
        <f>G66+F66</f>
        <v/>
      </c>
      <c r="I66" s="17">
        <f>G66-E66</f>
        <v/>
      </c>
    </row>
    <row r="67">
      <c r="A67" s="13" t="n">
        <v>63</v>
      </c>
      <c r="B67" s="14">
        <f>RAND()</f>
        <v/>
      </c>
      <c r="C67" s="14">
        <f>RAND()</f>
        <v/>
      </c>
      <c r="D67" s="17">
        <f>-60/$L$4*LN(1-B67)</f>
        <v/>
      </c>
      <c r="E67" s="17">
        <f>E66+D67</f>
        <v/>
      </c>
      <c r="F67" s="17">
        <f>-60/$L$5*LN(1-C67)</f>
        <v/>
      </c>
      <c r="G67" s="17">
        <f>MAX(E67,H66)</f>
        <v/>
      </c>
      <c r="H67" s="17">
        <f>G67+F67</f>
        <v/>
      </c>
      <c r="I67" s="17">
        <f>G67-E67</f>
        <v/>
      </c>
    </row>
    <row r="68">
      <c r="A68" s="13" t="n">
        <v>64</v>
      </c>
      <c r="B68" s="14">
        <f>RAND()</f>
        <v/>
      </c>
      <c r="C68" s="14">
        <f>RAND()</f>
        <v/>
      </c>
      <c r="D68" s="17">
        <f>-60/$L$4*LN(1-B68)</f>
        <v/>
      </c>
      <c r="E68" s="17">
        <f>E67+D68</f>
        <v/>
      </c>
      <c r="F68" s="17">
        <f>-60/$L$5*LN(1-C68)</f>
        <v/>
      </c>
      <c r="G68" s="17">
        <f>MAX(E68,H67)</f>
        <v/>
      </c>
      <c r="H68" s="17">
        <f>G68+F68</f>
        <v/>
      </c>
      <c r="I68" s="17">
        <f>G68-E68</f>
        <v/>
      </c>
    </row>
    <row r="69">
      <c r="A69" s="13" t="n">
        <v>65</v>
      </c>
      <c r="B69" s="14">
        <f>RAND()</f>
        <v/>
      </c>
      <c r="C69" s="14">
        <f>RAND()</f>
        <v/>
      </c>
      <c r="D69" s="17">
        <f>-60/$L$4*LN(1-B69)</f>
        <v/>
      </c>
      <c r="E69" s="17">
        <f>E68+D69</f>
        <v/>
      </c>
      <c r="F69" s="17">
        <f>-60/$L$5*LN(1-C69)</f>
        <v/>
      </c>
      <c r="G69" s="17">
        <f>MAX(E69,H68)</f>
        <v/>
      </c>
      <c r="H69" s="17">
        <f>G69+F69</f>
        <v/>
      </c>
      <c r="I69" s="17">
        <f>G69-E69</f>
        <v/>
      </c>
    </row>
    <row r="70">
      <c r="A70" s="13" t="n">
        <v>66</v>
      </c>
      <c r="B70" s="14">
        <f>RAND()</f>
        <v/>
      </c>
      <c r="C70" s="14">
        <f>RAND()</f>
        <v/>
      </c>
      <c r="D70" s="17">
        <f>-60/$L$4*LN(1-B70)</f>
        <v/>
      </c>
      <c r="E70" s="17">
        <f>E69+D70</f>
        <v/>
      </c>
      <c r="F70" s="17">
        <f>-60/$L$5*LN(1-C70)</f>
        <v/>
      </c>
      <c r="G70" s="17">
        <f>MAX(E70,H69)</f>
        <v/>
      </c>
      <c r="H70" s="17">
        <f>G70+F70</f>
        <v/>
      </c>
      <c r="I70" s="17">
        <f>G70-E70</f>
        <v/>
      </c>
    </row>
    <row r="71">
      <c r="A71" s="13" t="n">
        <v>67</v>
      </c>
      <c r="B71" s="14">
        <f>RAND()</f>
        <v/>
      </c>
      <c r="C71" s="14">
        <f>RAND()</f>
        <v/>
      </c>
      <c r="D71" s="17">
        <f>-60/$L$4*LN(1-B71)</f>
        <v/>
      </c>
      <c r="E71" s="17">
        <f>E70+D71</f>
        <v/>
      </c>
      <c r="F71" s="17">
        <f>-60/$L$5*LN(1-C71)</f>
        <v/>
      </c>
      <c r="G71" s="17">
        <f>MAX(E71,H70)</f>
        <v/>
      </c>
      <c r="H71" s="17">
        <f>G71+F71</f>
        <v/>
      </c>
      <c r="I71" s="17">
        <f>G71-E71</f>
        <v/>
      </c>
    </row>
    <row r="72">
      <c r="A72" s="13" t="n">
        <v>68</v>
      </c>
      <c r="B72" s="14">
        <f>RAND()</f>
        <v/>
      </c>
      <c r="C72" s="14">
        <f>RAND()</f>
        <v/>
      </c>
      <c r="D72" s="17">
        <f>-60/$L$4*LN(1-B72)</f>
        <v/>
      </c>
      <c r="E72" s="17">
        <f>E71+D72</f>
        <v/>
      </c>
      <c r="F72" s="17">
        <f>-60/$L$5*LN(1-C72)</f>
        <v/>
      </c>
      <c r="G72" s="17">
        <f>MAX(E72,H71)</f>
        <v/>
      </c>
      <c r="H72" s="17">
        <f>G72+F72</f>
        <v/>
      </c>
      <c r="I72" s="17">
        <f>G72-E72</f>
        <v/>
      </c>
    </row>
    <row r="73">
      <c r="A73" s="13" t="n">
        <v>69</v>
      </c>
      <c r="B73" s="14">
        <f>RAND()</f>
        <v/>
      </c>
      <c r="C73" s="14">
        <f>RAND()</f>
        <v/>
      </c>
      <c r="D73" s="17">
        <f>-60/$L$4*LN(1-B73)</f>
        <v/>
      </c>
      <c r="E73" s="17">
        <f>E72+D73</f>
        <v/>
      </c>
      <c r="F73" s="17">
        <f>-60/$L$5*LN(1-C73)</f>
        <v/>
      </c>
      <c r="G73" s="17">
        <f>MAX(E73,H72)</f>
        <v/>
      </c>
      <c r="H73" s="17">
        <f>G73+F73</f>
        <v/>
      </c>
      <c r="I73" s="17">
        <f>G73-E73</f>
        <v/>
      </c>
    </row>
    <row r="74">
      <c r="A74" s="13" t="n">
        <v>70</v>
      </c>
      <c r="B74" s="14">
        <f>RAND()</f>
        <v/>
      </c>
      <c r="C74" s="14">
        <f>RAND()</f>
        <v/>
      </c>
      <c r="D74" s="17">
        <f>-60/$L$4*LN(1-B74)</f>
        <v/>
      </c>
      <c r="E74" s="17">
        <f>E73+D74</f>
        <v/>
      </c>
      <c r="F74" s="17">
        <f>-60/$L$5*LN(1-C74)</f>
        <v/>
      </c>
      <c r="G74" s="17">
        <f>MAX(E74,H73)</f>
        <v/>
      </c>
      <c r="H74" s="17">
        <f>G74+F74</f>
        <v/>
      </c>
      <c r="I74" s="17">
        <f>G74-E74</f>
        <v/>
      </c>
    </row>
    <row r="75">
      <c r="A75" s="13" t="n">
        <v>71</v>
      </c>
      <c r="B75" s="14">
        <f>RAND()</f>
        <v/>
      </c>
      <c r="C75" s="14">
        <f>RAND()</f>
        <v/>
      </c>
      <c r="D75" s="17">
        <f>-60/$L$4*LN(1-B75)</f>
        <v/>
      </c>
      <c r="E75" s="17">
        <f>E74+D75</f>
        <v/>
      </c>
      <c r="F75" s="17">
        <f>-60/$L$5*LN(1-C75)</f>
        <v/>
      </c>
      <c r="G75" s="17">
        <f>MAX(E75,H74)</f>
        <v/>
      </c>
      <c r="H75" s="17">
        <f>G75+F75</f>
        <v/>
      </c>
      <c r="I75" s="17">
        <f>G75-E75</f>
        <v/>
      </c>
    </row>
    <row r="76">
      <c r="A76" s="13" t="n">
        <v>72</v>
      </c>
      <c r="B76" s="14">
        <f>RAND()</f>
        <v/>
      </c>
      <c r="C76" s="14">
        <f>RAND()</f>
        <v/>
      </c>
      <c r="D76" s="17">
        <f>-60/$L$4*LN(1-B76)</f>
        <v/>
      </c>
      <c r="E76" s="17">
        <f>E75+D76</f>
        <v/>
      </c>
      <c r="F76" s="17">
        <f>-60/$L$5*LN(1-C76)</f>
        <v/>
      </c>
      <c r="G76" s="17">
        <f>MAX(E76,H75)</f>
        <v/>
      </c>
      <c r="H76" s="17">
        <f>G76+F76</f>
        <v/>
      </c>
      <c r="I76" s="17">
        <f>G76-E76</f>
        <v/>
      </c>
    </row>
    <row r="77">
      <c r="A77" s="13" t="n">
        <v>73</v>
      </c>
      <c r="B77" s="14">
        <f>RAND()</f>
        <v/>
      </c>
      <c r="C77" s="14">
        <f>RAND()</f>
        <v/>
      </c>
      <c r="D77" s="17">
        <f>-60/$L$4*LN(1-B77)</f>
        <v/>
      </c>
      <c r="E77" s="17">
        <f>E76+D77</f>
        <v/>
      </c>
      <c r="F77" s="17">
        <f>-60/$L$5*LN(1-C77)</f>
        <v/>
      </c>
      <c r="G77" s="17">
        <f>MAX(E77,H76)</f>
        <v/>
      </c>
      <c r="H77" s="17">
        <f>G77+F77</f>
        <v/>
      </c>
      <c r="I77" s="17">
        <f>G77-E77</f>
        <v/>
      </c>
    </row>
    <row r="78">
      <c r="A78" s="13" t="n">
        <v>74</v>
      </c>
      <c r="B78" s="14">
        <f>RAND()</f>
        <v/>
      </c>
      <c r="C78" s="14">
        <f>RAND()</f>
        <v/>
      </c>
      <c r="D78" s="17">
        <f>-60/$L$4*LN(1-B78)</f>
        <v/>
      </c>
      <c r="E78" s="17">
        <f>E77+D78</f>
        <v/>
      </c>
      <c r="F78" s="17">
        <f>-60/$L$5*LN(1-C78)</f>
        <v/>
      </c>
      <c r="G78" s="17">
        <f>MAX(E78,H77)</f>
        <v/>
      </c>
      <c r="H78" s="17">
        <f>G78+F78</f>
        <v/>
      </c>
      <c r="I78" s="17">
        <f>G78-E78</f>
        <v/>
      </c>
    </row>
    <row r="79">
      <c r="A79" s="13" t="n">
        <v>75</v>
      </c>
      <c r="B79" s="14">
        <f>RAND()</f>
        <v/>
      </c>
      <c r="C79" s="14">
        <f>RAND()</f>
        <v/>
      </c>
      <c r="D79" s="17">
        <f>-60/$L$4*LN(1-B79)</f>
        <v/>
      </c>
      <c r="E79" s="17">
        <f>E78+D79</f>
        <v/>
      </c>
      <c r="F79" s="17">
        <f>-60/$L$5*LN(1-C79)</f>
        <v/>
      </c>
      <c r="G79" s="17">
        <f>MAX(E79,H78)</f>
        <v/>
      </c>
      <c r="H79" s="17">
        <f>G79+F79</f>
        <v/>
      </c>
      <c r="I79" s="17">
        <f>G79-E79</f>
        <v/>
      </c>
    </row>
    <row r="80">
      <c r="A80" s="13" t="n">
        <v>76</v>
      </c>
      <c r="B80" s="14">
        <f>RAND()</f>
        <v/>
      </c>
      <c r="C80" s="14">
        <f>RAND()</f>
        <v/>
      </c>
      <c r="D80" s="17">
        <f>-60/$L$4*LN(1-B80)</f>
        <v/>
      </c>
      <c r="E80" s="17">
        <f>E79+D80</f>
        <v/>
      </c>
      <c r="F80" s="17">
        <f>-60/$L$5*LN(1-C80)</f>
        <v/>
      </c>
      <c r="G80" s="17">
        <f>MAX(E80,H79)</f>
        <v/>
      </c>
      <c r="H80" s="17">
        <f>G80+F80</f>
        <v/>
      </c>
      <c r="I80" s="17">
        <f>G80-E80</f>
        <v/>
      </c>
    </row>
    <row r="81">
      <c r="A81" s="13" t="n">
        <v>77</v>
      </c>
      <c r="B81" s="14">
        <f>RAND()</f>
        <v/>
      </c>
      <c r="C81" s="14">
        <f>RAND()</f>
        <v/>
      </c>
      <c r="D81" s="17">
        <f>-60/$L$4*LN(1-B81)</f>
        <v/>
      </c>
      <c r="E81" s="17">
        <f>E80+D81</f>
        <v/>
      </c>
      <c r="F81" s="17">
        <f>-60/$L$5*LN(1-C81)</f>
        <v/>
      </c>
      <c r="G81" s="17">
        <f>MAX(E81,H80)</f>
        <v/>
      </c>
      <c r="H81" s="17">
        <f>G81+F81</f>
        <v/>
      </c>
      <c r="I81" s="17">
        <f>G81-E81</f>
        <v/>
      </c>
    </row>
    <row r="82">
      <c r="A82" s="13" t="n">
        <v>78</v>
      </c>
      <c r="B82" s="14">
        <f>RAND()</f>
        <v/>
      </c>
      <c r="C82" s="14">
        <f>RAND()</f>
        <v/>
      </c>
      <c r="D82" s="17">
        <f>-60/$L$4*LN(1-B82)</f>
        <v/>
      </c>
      <c r="E82" s="17">
        <f>E81+D82</f>
        <v/>
      </c>
      <c r="F82" s="17">
        <f>-60/$L$5*LN(1-C82)</f>
        <v/>
      </c>
      <c r="G82" s="17">
        <f>MAX(E82,H81)</f>
        <v/>
      </c>
      <c r="H82" s="17">
        <f>G82+F82</f>
        <v/>
      </c>
      <c r="I82" s="17">
        <f>G82-E82</f>
        <v/>
      </c>
    </row>
    <row r="83">
      <c r="A83" s="13" t="n">
        <v>79</v>
      </c>
      <c r="B83" s="14">
        <f>RAND()</f>
        <v/>
      </c>
      <c r="C83" s="14">
        <f>RAND()</f>
        <v/>
      </c>
      <c r="D83" s="17">
        <f>-60/$L$4*LN(1-B83)</f>
        <v/>
      </c>
      <c r="E83" s="17">
        <f>E82+D83</f>
        <v/>
      </c>
      <c r="F83" s="17">
        <f>-60/$L$5*LN(1-C83)</f>
        <v/>
      </c>
      <c r="G83" s="17">
        <f>MAX(E83,H82)</f>
        <v/>
      </c>
      <c r="H83" s="17">
        <f>G83+F83</f>
        <v/>
      </c>
      <c r="I83" s="17">
        <f>G83-E83</f>
        <v/>
      </c>
    </row>
    <row r="84">
      <c r="A84" s="13" t="n">
        <v>80</v>
      </c>
      <c r="B84" s="14">
        <f>RAND()</f>
        <v/>
      </c>
      <c r="C84" s="14">
        <f>RAND()</f>
        <v/>
      </c>
      <c r="D84" s="17">
        <f>-60/$L$4*LN(1-B84)</f>
        <v/>
      </c>
      <c r="E84" s="17">
        <f>E83+D84</f>
        <v/>
      </c>
      <c r="F84" s="17">
        <f>-60/$L$5*LN(1-C84)</f>
        <v/>
      </c>
      <c r="G84" s="17">
        <f>MAX(E84,H83)</f>
        <v/>
      </c>
      <c r="H84" s="17">
        <f>G84+F84</f>
        <v/>
      </c>
      <c r="I84" s="17">
        <f>G84-E84</f>
        <v/>
      </c>
    </row>
    <row r="85">
      <c r="A85" s="13" t="n">
        <v>81</v>
      </c>
      <c r="B85" s="14">
        <f>RAND()</f>
        <v/>
      </c>
      <c r="C85" s="14">
        <f>RAND()</f>
        <v/>
      </c>
      <c r="D85" s="17">
        <f>-60/$L$4*LN(1-B85)</f>
        <v/>
      </c>
      <c r="E85" s="17">
        <f>E84+D85</f>
        <v/>
      </c>
      <c r="F85" s="17">
        <f>-60/$L$5*LN(1-C85)</f>
        <v/>
      </c>
      <c r="G85" s="17">
        <f>MAX(E85,H84)</f>
        <v/>
      </c>
      <c r="H85" s="17">
        <f>G85+F85</f>
        <v/>
      </c>
      <c r="I85" s="17">
        <f>G85-E85</f>
        <v/>
      </c>
    </row>
    <row r="86">
      <c r="A86" s="13" t="n">
        <v>82</v>
      </c>
      <c r="B86" s="14">
        <f>RAND()</f>
        <v/>
      </c>
      <c r="C86" s="14">
        <f>RAND()</f>
        <v/>
      </c>
      <c r="D86" s="17">
        <f>-60/$L$4*LN(1-B86)</f>
        <v/>
      </c>
      <c r="E86" s="17">
        <f>E85+D86</f>
        <v/>
      </c>
      <c r="F86" s="17">
        <f>-60/$L$5*LN(1-C86)</f>
        <v/>
      </c>
      <c r="G86" s="17">
        <f>MAX(E86,H85)</f>
        <v/>
      </c>
      <c r="H86" s="17">
        <f>G86+F86</f>
        <v/>
      </c>
      <c r="I86" s="17">
        <f>G86-E86</f>
        <v/>
      </c>
    </row>
    <row r="87">
      <c r="A87" s="13" t="n">
        <v>83</v>
      </c>
      <c r="B87" s="14">
        <f>RAND()</f>
        <v/>
      </c>
      <c r="C87" s="14">
        <f>RAND()</f>
        <v/>
      </c>
      <c r="D87" s="17">
        <f>-60/$L$4*LN(1-B87)</f>
        <v/>
      </c>
      <c r="E87" s="17">
        <f>E86+D87</f>
        <v/>
      </c>
      <c r="F87" s="17">
        <f>-60/$L$5*LN(1-C87)</f>
        <v/>
      </c>
      <c r="G87" s="17">
        <f>MAX(E87,H86)</f>
        <v/>
      </c>
      <c r="H87" s="17">
        <f>G87+F87</f>
        <v/>
      </c>
      <c r="I87" s="17">
        <f>G87-E87</f>
        <v/>
      </c>
    </row>
    <row r="88">
      <c r="A88" s="13" t="n">
        <v>84</v>
      </c>
      <c r="B88" s="14">
        <f>RAND()</f>
        <v/>
      </c>
      <c r="C88" s="14">
        <f>RAND()</f>
        <v/>
      </c>
      <c r="D88" s="17">
        <f>-60/$L$4*LN(1-B88)</f>
        <v/>
      </c>
      <c r="E88" s="17">
        <f>E87+D88</f>
        <v/>
      </c>
      <c r="F88" s="17">
        <f>-60/$L$5*LN(1-C88)</f>
        <v/>
      </c>
      <c r="G88" s="17">
        <f>MAX(E88,H87)</f>
        <v/>
      </c>
      <c r="H88" s="17">
        <f>G88+F88</f>
        <v/>
      </c>
      <c r="I88" s="17">
        <f>G88-E88</f>
        <v/>
      </c>
    </row>
    <row r="89">
      <c r="A89" s="13" t="n">
        <v>85</v>
      </c>
      <c r="B89" s="14">
        <f>RAND()</f>
        <v/>
      </c>
      <c r="C89" s="14">
        <f>RAND()</f>
        <v/>
      </c>
      <c r="D89" s="17">
        <f>-60/$L$4*LN(1-B89)</f>
        <v/>
      </c>
      <c r="E89" s="17">
        <f>E88+D89</f>
        <v/>
      </c>
      <c r="F89" s="17">
        <f>-60/$L$5*LN(1-C89)</f>
        <v/>
      </c>
      <c r="G89" s="17">
        <f>MAX(E89,H88)</f>
        <v/>
      </c>
      <c r="H89" s="17">
        <f>G89+F89</f>
        <v/>
      </c>
      <c r="I89" s="17">
        <f>G89-E89</f>
        <v/>
      </c>
    </row>
    <row r="90">
      <c r="A90" s="13" t="n">
        <v>86</v>
      </c>
      <c r="B90" s="14">
        <f>RAND()</f>
        <v/>
      </c>
      <c r="C90" s="14">
        <f>RAND()</f>
        <v/>
      </c>
      <c r="D90" s="17">
        <f>-60/$L$4*LN(1-B90)</f>
        <v/>
      </c>
      <c r="E90" s="17">
        <f>E89+D90</f>
        <v/>
      </c>
      <c r="F90" s="17">
        <f>-60/$L$5*LN(1-C90)</f>
        <v/>
      </c>
      <c r="G90" s="17">
        <f>MAX(E90,H89)</f>
        <v/>
      </c>
      <c r="H90" s="17">
        <f>G90+F90</f>
        <v/>
      </c>
      <c r="I90" s="17">
        <f>G90-E90</f>
        <v/>
      </c>
    </row>
    <row r="91">
      <c r="A91" s="13" t="n">
        <v>87</v>
      </c>
      <c r="B91" s="14">
        <f>RAND()</f>
        <v/>
      </c>
      <c r="C91" s="14">
        <f>RAND()</f>
        <v/>
      </c>
      <c r="D91" s="17">
        <f>-60/$L$4*LN(1-B91)</f>
        <v/>
      </c>
      <c r="E91" s="17">
        <f>E90+D91</f>
        <v/>
      </c>
      <c r="F91" s="17">
        <f>-60/$L$5*LN(1-C91)</f>
        <v/>
      </c>
      <c r="G91" s="17">
        <f>MAX(E91,H90)</f>
        <v/>
      </c>
      <c r="H91" s="17">
        <f>G91+F91</f>
        <v/>
      </c>
      <c r="I91" s="17">
        <f>G91-E91</f>
        <v/>
      </c>
    </row>
    <row r="92">
      <c r="A92" s="13" t="n">
        <v>88</v>
      </c>
      <c r="B92" s="14">
        <f>RAND()</f>
        <v/>
      </c>
      <c r="C92" s="14">
        <f>RAND()</f>
        <v/>
      </c>
      <c r="D92" s="17">
        <f>-60/$L$4*LN(1-B92)</f>
        <v/>
      </c>
      <c r="E92" s="17">
        <f>E91+D92</f>
        <v/>
      </c>
      <c r="F92" s="17">
        <f>-60/$L$5*LN(1-C92)</f>
        <v/>
      </c>
      <c r="G92" s="17">
        <f>MAX(E92,H91)</f>
        <v/>
      </c>
      <c r="H92" s="17">
        <f>G92+F92</f>
        <v/>
      </c>
      <c r="I92" s="17">
        <f>G92-E92</f>
        <v/>
      </c>
    </row>
    <row r="93">
      <c r="A93" s="13" t="n">
        <v>89</v>
      </c>
      <c r="B93" s="14">
        <f>RAND()</f>
        <v/>
      </c>
      <c r="C93" s="14">
        <f>RAND()</f>
        <v/>
      </c>
      <c r="D93" s="17">
        <f>-60/$L$4*LN(1-B93)</f>
        <v/>
      </c>
      <c r="E93" s="17">
        <f>E92+D93</f>
        <v/>
      </c>
      <c r="F93" s="17">
        <f>-60/$L$5*LN(1-C93)</f>
        <v/>
      </c>
      <c r="G93" s="17">
        <f>MAX(E93,H92)</f>
        <v/>
      </c>
      <c r="H93" s="17">
        <f>G93+F93</f>
        <v/>
      </c>
      <c r="I93" s="17">
        <f>G93-E93</f>
        <v/>
      </c>
    </row>
    <row r="94">
      <c r="A94" s="13" t="n">
        <v>90</v>
      </c>
      <c r="B94" s="14">
        <f>RAND()</f>
        <v/>
      </c>
      <c r="C94" s="14">
        <f>RAND()</f>
        <v/>
      </c>
      <c r="D94" s="17">
        <f>-60/$L$4*LN(1-B94)</f>
        <v/>
      </c>
      <c r="E94" s="17">
        <f>E93+D94</f>
        <v/>
      </c>
      <c r="F94" s="17">
        <f>-60/$L$5*LN(1-C94)</f>
        <v/>
      </c>
      <c r="G94" s="17">
        <f>MAX(E94,H93)</f>
        <v/>
      </c>
      <c r="H94" s="17">
        <f>G94+F94</f>
        <v/>
      </c>
      <c r="I94" s="17">
        <f>G94-E94</f>
        <v/>
      </c>
    </row>
    <row r="95">
      <c r="A95" s="13" t="n">
        <v>91</v>
      </c>
      <c r="B95" s="14">
        <f>RAND()</f>
        <v/>
      </c>
      <c r="C95" s="14">
        <f>RAND()</f>
        <v/>
      </c>
      <c r="D95" s="17">
        <f>-60/$L$4*LN(1-B95)</f>
        <v/>
      </c>
      <c r="E95" s="17">
        <f>E94+D95</f>
        <v/>
      </c>
      <c r="F95" s="17">
        <f>-60/$L$5*LN(1-C95)</f>
        <v/>
      </c>
      <c r="G95" s="17">
        <f>MAX(E95,H94)</f>
        <v/>
      </c>
      <c r="H95" s="17">
        <f>G95+F95</f>
        <v/>
      </c>
      <c r="I95" s="17">
        <f>G95-E95</f>
        <v/>
      </c>
    </row>
    <row r="96">
      <c r="A96" s="13" t="n">
        <v>92</v>
      </c>
      <c r="B96" s="14">
        <f>RAND()</f>
        <v/>
      </c>
      <c r="C96" s="14">
        <f>RAND()</f>
        <v/>
      </c>
      <c r="D96" s="17">
        <f>-60/$L$4*LN(1-B96)</f>
        <v/>
      </c>
      <c r="E96" s="17">
        <f>E95+D96</f>
        <v/>
      </c>
      <c r="F96" s="17">
        <f>-60/$L$5*LN(1-C96)</f>
        <v/>
      </c>
      <c r="G96" s="17">
        <f>MAX(E96,H95)</f>
        <v/>
      </c>
      <c r="H96" s="17">
        <f>G96+F96</f>
        <v/>
      </c>
      <c r="I96" s="17">
        <f>G96-E96</f>
        <v/>
      </c>
    </row>
    <row r="97">
      <c r="A97" s="13" t="n">
        <v>93</v>
      </c>
      <c r="B97" s="14">
        <f>RAND()</f>
        <v/>
      </c>
      <c r="C97" s="14">
        <f>RAND()</f>
        <v/>
      </c>
      <c r="D97" s="17">
        <f>-60/$L$4*LN(1-B97)</f>
        <v/>
      </c>
      <c r="E97" s="17">
        <f>E96+D97</f>
        <v/>
      </c>
      <c r="F97" s="17">
        <f>-60/$L$5*LN(1-C97)</f>
        <v/>
      </c>
      <c r="G97" s="17">
        <f>MAX(E97,H96)</f>
        <v/>
      </c>
      <c r="H97" s="17">
        <f>G97+F97</f>
        <v/>
      </c>
      <c r="I97" s="17">
        <f>G97-E97</f>
        <v/>
      </c>
    </row>
    <row r="98">
      <c r="A98" s="13" t="n">
        <v>94</v>
      </c>
      <c r="B98" s="14">
        <f>RAND()</f>
        <v/>
      </c>
      <c r="C98" s="14">
        <f>RAND()</f>
        <v/>
      </c>
      <c r="D98" s="17">
        <f>-60/$L$4*LN(1-B98)</f>
        <v/>
      </c>
      <c r="E98" s="17">
        <f>E97+D98</f>
        <v/>
      </c>
      <c r="F98" s="17">
        <f>-60/$L$5*LN(1-C98)</f>
        <v/>
      </c>
      <c r="G98" s="17">
        <f>MAX(E98,H97)</f>
        <v/>
      </c>
      <c r="H98" s="17">
        <f>G98+F98</f>
        <v/>
      </c>
      <c r="I98" s="17">
        <f>G98-E98</f>
        <v/>
      </c>
    </row>
    <row r="99">
      <c r="A99" s="13" t="n">
        <v>95</v>
      </c>
      <c r="B99" s="14">
        <f>RAND()</f>
        <v/>
      </c>
      <c r="C99" s="14">
        <f>RAND()</f>
        <v/>
      </c>
      <c r="D99" s="17">
        <f>-60/$L$4*LN(1-B99)</f>
        <v/>
      </c>
      <c r="E99" s="17">
        <f>E98+D99</f>
        <v/>
      </c>
      <c r="F99" s="17">
        <f>-60/$L$5*LN(1-C99)</f>
        <v/>
      </c>
      <c r="G99" s="17">
        <f>MAX(E99,H98)</f>
        <v/>
      </c>
      <c r="H99" s="17">
        <f>G99+F99</f>
        <v/>
      </c>
      <c r="I99" s="17">
        <f>G99-E99</f>
        <v/>
      </c>
    </row>
    <row r="100">
      <c r="A100" s="13" t="n">
        <v>96</v>
      </c>
      <c r="B100" s="14">
        <f>RAND()</f>
        <v/>
      </c>
      <c r="C100" s="14">
        <f>RAND()</f>
        <v/>
      </c>
      <c r="D100" s="17">
        <f>-60/$L$4*LN(1-B100)</f>
        <v/>
      </c>
      <c r="E100" s="17">
        <f>E99+D100</f>
        <v/>
      </c>
      <c r="F100" s="17">
        <f>-60/$L$5*LN(1-C100)</f>
        <v/>
      </c>
      <c r="G100" s="17">
        <f>MAX(E100,H99)</f>
        <v/>
      </c>
      <c r="H100" s="17">
        <f>G100+F100</f>
        <v/>
      </c>
      <c r="I100" s="17">
        <f>G100-E100</f>
        <v/>
      </c>
    </row>
    <row r="101">
      <c r="A101" s="13" t="n">
        <v>97</v>
      </c>
      <c r="B101" s="14">
        <f>RAND()</f>
        <v/>
      </c>
      <c r="C101" s="14">
        <f>RAND()</f>
        <v/>
      </c>
      <c r="D101" s="17">
        <f>-60/$L$4*LN(1-B101)</f>
        <v/>
      </c>
      <c r="E101" s="17">
        <f>E100+D101</f>
        <v/>
      </c>
      <c r="F101" s="17">
        <f>-60/$L$5*LN(1-C101)</f>
        <v/>
      </c>
      <c r="G101" s="17">
        <f>MAX(E101,H100)</f>
        <v/>
      </c>
      <c r="H101" s="17">
        <f>G101+F101</f>
        <v/>
      </c>
      <c r="I101" s="17">
        <f>G101-E101</f>
        <v/>
      </c>
    </row>
    <row r="102">
      <c r="A102" s="13" t="n">
        <v>98</v>
      </c>
      <c r="B102" s="14">
        <f>RAND()</f>
        <v/>
      </c>
      <c r="C102" s="14">
        <f>RAND()</f>
        <v/>
      </c>
      <c r="D102" s="17">
        <f>-60/$L$4*LN(1-B102)</f>
        <v/>
      </c>
      <c r="E102" s="17">
        <f>E101+D102</f>
        <v/>
      </c>
      <c r="F102" s="17">
        <f>-60/$L$5*LN(1-C102)</f>
        <v/>
      </c>
      <c r="G102" s="17">
        <f>MAX(E102,H101)</f>
        <v/>
      </c>
      <c r="H102" s="17">
        <f>G102+F102</f>
        <v/>
      </c>
      <c r="I102" s="17">
        <f>G102-E102</f>
        <v/>
      </c>
    </row>
    <row r="103">
      <c r="A103" s="13" t="n">
        <v>99</v>
      </c>
      <c r="B103" s="14">
        <f>RAND()</f>
        <v/>
      </c>
      <c r="C103" s="14">
        <f>RAND()</f>
        <v/>
      </c>
      <c r="D103" s="17">
        <f>-60/$L$4*LN(1-B103)</f>
        <v/>
      </c>
      <c r="E103" s="17">
        <f>E102+D103</f>
        <v/>
      </c>
      <c r="F103" s="17">
        <f>-60/$L$5*LN(1-C103)</f>
        <v/>
      </c>
      <c r="G103" s="17">
        <f>MAX(E103,H102)</f>
        <v/>
      </c>
      <c r="H103" s="17">
        <f>G103+F103</f>
        <v/>
      </c>
      <c r="I103" s="17">
        <f>G103-E103</f>
        <v/>
      </c>
    </row>
    <row r="104">
      <c r="A104" s="13" t="n">
        <v>100</v>
      </c>
      <c r="B104" s="14">
        <f>RAND()</f>
        <v/>
      </c>
      <c r="C104" s="14">
        <f>RAND()</f>
        <v/>
      </c>
      <c r="D104" s="17">
        <f>-60/$L$4*LN(1-B104)</f>
        <v/>
      </c>
      <c r="E104" s="17">
        <f>E103+D104</f>
        <v/>
      </c>
      <c r="F104" s="17">
        <f>-60/$L$5*LN(1-C104)</f>
        <v/>
      </c>
      <c r="G104" s="17">
        <f>MAX(E104,H103)</f>
        <v/>
      </c>
      <c r="H104" s="17">
        <f>G104+F104</f>
        <v/>
      </c>
      <c r="I104" s="17">
        <f>G104-E104</f>
        <v/>
      </c>
    </row>
    <row r="105">
      <c r="A105" s="13" t="n">
        <v>101</v>
      </c>
      <c r="B105" s="14">
        <f>RAND()</f>
        <v/>
      </c>
      <c r="C105" s="14">
        <f>RAND()</f>
        <v/>
      </c>
      <c r="D105" s="17">
        <f>-60/$L$4*LN(1-B105)</f>
        <v/>
      </c>
      <c r="E105" s="17">
        <f>E104+D105</f>
        <v/>
      </c>
      <c r="F105" s="17">
        <f>-60/$L$5*LN(1-C105)</f>
        <v/>
      </c>
      <c r="G105" s="17">
        <f>MAX(E105,H104)</f>
        <v/>
      </c>
      <c r="H105" s="17">
        <f>G105+F105</f>
        <v/>
      </c>
      <c r="I105" s="17">
        <f>G105-E105</f>
        <v/>
      </c>
    </row>
    <row r="106">
      <c r="A106" s="13" t="n">
        <v>102</v>
      </c>
      <c r="B106" s="14">
        <f>RAND()</f>
        <v/>
      </c>
      <c r="C106" s="14">
        <f>RAND()</f>
        <v/>
      </c>
      <c r="D106" s="17">
        <f>-60/$L$4*LN(1-B106)</f>
        <v/>
      </c>
      <c r="E106" s="17">
        <f>E105+D106</f>
        <v/>
      </c>
      <c r="F106" s="17">
        <f>-60/$L$5*LN(1-C106)</f>
        <v/>
      </c>
      <c r="G106" s="17">
        <f>MAX(E106,H105)</f>
        <v/>
      </c>
      <c r="H106" s="17">
        <f>G106+F106</f>
        <v/>
      </c>
      <c r="I106" s="17">
        <f>G106-E106</f>
        <v/>
      </c>
    </row>
    <row r="107">
      <c r="A107" s="13" t="n">
        <v>103</v>
      </c>
      <c r="B107" s="14">
        <f>RAND()</f>
        <v/>
      </c>
      <c r="C107" s="14">
        <f>RAND()</f>
        <v/>
      </c>
      <c r="D107" s="17">
        <f>-60/$L$4*LN(1-B107)</f>
        <v/>
      </c>
      <c r="E107" s="17">
        <f>E106+D107</f>
        <v/>
      </c>
      <c r="F107" s="17">
        <f>-60/$L$5*LN(1-C107)</f>
        <v/>
      </c>
      <c r="G107" s="17">
        <f>MAX(E107,H106)</f>
        <v/>
      </c>
      <c r="H107" s="17">
        <f>G107+F107</f>
        <v/>
      </c>
      <c r="I107" s="17">
        <f>G107-E107</f>
        <v/>
      </c>
    </row>
    <row r="108">
      <c r="A108" s="13" t="n">
        <v>104</v>
      </c>
      <c r="B108" s="14">
        <f>RAND()</f>
        <v/>
      </c>
      <c r="C108" s="14">
        <f>RAND()</f>
        <v/>
      </c>
      <c r="D108" s="17">
        <f>-60/$L$4*LN(1-B108)</f>
        <v/>
      </c>
      <c r="E108" s="17">
        <f>E107+D108</f>
        <v/>
      </c>
      <c r="F108" s="17">
        <f>-60/$L$5*LN(1-C108)</f>
        <v/>
      </c>
      <c r="G108" s="17">
        <f>MAX(E108,H107)</f>
        <v/>
      </c>
      <c r="H108" s="17">
        <f>G108+F108</f>
        <v/>
      </c>
      <c r="I108" s="17">
        <f>G108-E108</f>
        <v/>
      </c>
    </row>
    <row r="109">
      <c r="A109" s="13" t="n">
        <v>105</v>
      </c>
      <c r="B109" s="14">
        <f>RAND()</f>
        <v/>
      </c>
      <c r="C109" s="14">
        <f>RAND()</f>
        <v/>
      </c>
      <c r="D109" s="17">
        <f>-60/$L$4*LN(1-B109)</f>
        <v/>
      </c>
      <c r="E109" s="17">
        <f>E108+D109</f>
        <v/>
      </c>
      <c r="F109" s="17">
        <f>-60/$L$5*LN(1-C109)</f>
        <v/>
      </c>
      <c r="G109" s="17">
        <f>MAX(E109,H108)</f>
        <v/>
      </c>
      <c r="H109" s="17">
        <f>G109+F109</f>
        <v/>
      </c>
      <c r="I109" s="17">
        <f>G109-E109</f>
        <v/>
      </c>
    </row>
    <row r="110">
      <c r="A110" s="13" t="n">
        <v>106</v>
      </c>
      <c r="B110" s="14">
        <f>RAND()</f>
        <v/>
      </c>
      <c r="C110" s="14">
        <f>RAND()</f>
        <v/>
      </c>
      <c r="D110" s="17">
        <f>-60/$L$4*LN(1-B110)</f>
        <v/>
      </c>
      <c r="E110" s="17">
        <f>E109+D110</f>
        <v/>
      </c>
      <c r="F110" s="17">
        <f>-60/$L$5*LN(1-C110)</f>
        <v/>
      </c>
      <c r="G110" s="17">
        <f>MAX(E110,H109)</f>
        <v/>
      </c>
      <c r="H110" s="17">
        <f>G110+F110</f>
        <v/>
      </c>
      <c r="I110" s="17">
        <f>G110-E110</f>
        <v/>
      </c>
    </row>
    <row r="111">
      <c r="A111" s="13" t="n">
        <v>107</v>
      </c>
      <c r="B111" s="14">
        <f>RAND()</f>
        <v/>
      </c>
      <c r="C111" s="14">
        <f>RAND()</f>
        <v/>
      </c>
      <c r="D111" s="17">
        <f>-60/$L$4*LN(1-B111)</f>
        <v/>
      </c>
      <c r="E111" s="17">
        <f>E110+D111</f>
        <v/>
      </c>
      <c r="F111" s="17">
        <f>-60/$L$5*LN(1-C111)</f>
        <v/>
      </c>
      <c r="G111" s="17">
        <f>MAX(E111,H110)</f>
        <v/>
      </c>
      <c r="H111" s="17">
        <f>G111+F111</f>
        <v/>
      </c>
      <c r="I111" s="17">
        <f>G111-E111</f>
        <v/>
      </c>
    </row>
    <row r="112">
      <c r="A112" s="13" t="n">
        <v>108</v>
      </c>
      <c r="B112" s="14">
        <f>RAND()</f>
        <v/>
      </c>
      <c r="C112" s="14">
        <f>RAND()</f>
        <v/>
      </c>
      <c r="D112" s="17">
        <f>-60/$L$4*LN(1-B112)</f>
        <v/>
      </c>
      <c r="E112" s="17">
        <f>E111+D112</f>
        <v/>
      </c>
      <c r="F112" s="17">
        <f>-60/$L$5*LN(1-C112)</f>
        <v/>
      </c>
      <c r="G112" s="17">
        <f>MAX(E112,H111)</f>
        <v/>
      </c>
      <c r="H112" s="17">
        <f>G112+F112</f>
        <v/>
      </c>
      <c r="I112" s="17">
        <f>G112-E112</f>
        <v/>
      </c>
    </row>
    <row r="113">
      <c r="A113" s="13" t="n">
        <v>109</v>
      </c>
      <c r="B113" s="14">
        <f>RAND()</f>
        <v/>
      </c>
      <c r="C113" s="14">
        <f>RAND()</f>
        <v/>
      </c>
      <c r="D113" s="17">
        <f>-60/$L$4*LN(1-B113)</f>
        <v/>
      </c>
      <c r="E113" s="17">
        <f>E112+D113</f>
        <v/>
      </c>
      <c r="F113" s="17">
        <f>-60/$L$5*LN(1-C113)</f>
        <v/>
      </c>
      <c r="G113" s="17">
        <f>MAX(E113,H112)</f>
        <v/>
      </c>
      <c r="H113" s="17">
        <f>G113+F113</f>
        <v/>
      </c>
      <c r="I113" s="17">
        <f>G113-E113</f>
        <v/>
      </c>
    </row>
    <row r="114">
      <c r="A114" s="13" t="n">
        <v>110</v>
      </c>
      <c r="B114" s="14">
        <f>RAND()</f>
        <v/>
      </c>
      <c r="C114" s="14">
        <f>RAND()</f>
        <v/>
      </c>
      <c r="D114" s="17">
        <f>-60/$L$4*LN(1-B114)</f>
        <v/>
      </c>
      <c r="E114" s="17">
        <f>E113+D114</f>
        <v/>
      </c>
      <c r="F114" s="17">
        <f>-60/$L$5*LN(1-C114)</f>
        <v/>
      </c>
      <c r="G114" s="17">
        <f>MAX(E114,H113)</f>
        <v/>
      </c>
      <c r="H114" s="17">
        <f>G114+F114</f>
        <v/>
      </c>
      <c r="I114" s="17">
        <f>G114-E114</f>
        <v/>
      </c>
    </row>
    <row r="115">
      <c r="A115" s="13" t="n">
        <v>111</v>
      </c>
      <c r="B115" s="14">
        <f>RAND()</f>
        <v/>
      </c>
      <c r="C115" s="14">
        <f>RAND()</f>
        <v/>
      </c>
      <c r="D115" s="17">
        <f>-60/$L$4*LN(1-B115)</f>
        <v/>
      </c>
      <c r="E115" s="17">
        <f>E114+D115</f>
        <v/>
      </c>
      <c r="F115" s="17">
        <f>-60/$L$5*LN(1-C115)</f>
        <v/>
      </c>
      <c r="G115" s="17">
        <f>MAX(E115,H114)</f>
        <v/>
      </c>
      <c r="H115" s="17">
        <f>G115+F115</f>
        <v/>
      </c>
      <c r="I115" s="17">
        <f>G115-E115</f>
        <v/>
      </c>
    </row>
    <row r="116">
      <c r="A116" s="13" t="n">
        <v>112</v>
      </c>
      <c r="B116" s="14">
        <f>RAND()</f>
        <v/>
      </c>
      <c r="C116" s="14">
        <f>RAND()</f>
        <v/>
      </c>
      <c r="D116" s="17">
        <f>-60/$L$4*LN(1-B116)</f>
        <v/>
      </c>
      <c r="E116" s="17">
        <f>E115+D116</f>
        <v/>
      </c>
      <c r="F116" s="17">
        <f>-60/$L$5*LN(1-C116)</f>
        <v/>
      </c>
      <c r="G116" s="17">
        <f>MAX(E116,H115)</f>
        <v/>
      </c>
      <c r="H116" s="17">
        <f>G116+F116</f>
        <v/>
      </c>
      <c r="I116" s="17">
        <f>G116-E116</f>
        <v/>
      </c>
    </row>
    <row r="117">
      <c r="A117" s="13" t="n">
        <v>113</v>
      </c>
      <c r="B117" s="14">
        <f>RAND()</f>
        <v/>
      </c>
      <c r="C117" s="14">
        <f>RAND()</f>
        <v/>
      </c>
      <c r="D117" s="17">
        <f>-60/$L$4*LN(1-B117)</f>
        <v/>
      </c>
      <c r="E117" s="17">
        <f>E116+D117</f>
        <v/>
      </c>
      <c r="F117" s="17">
        <f>-60/$L$5*LN(1-C117)</f>
        <v/>
      </c>
      <c r="G117" s="17">
        <f>MAX(E117,H116)</f>
        <v/>
      </c>
      <c r="H117" s="17">
        <f>G117+F117</f>
        <v/>
      </c>
      <c r="I117" s="17">
        <f>G117-E117</f>
        <v/>
      </c>
    </row>
    <row r="118">
      <c r="A118" s="13" t="n">
        <v>114</v>
      </c>
      <c r="B118" s="14">
        <f>RAND()</f>
        <v/>
      </c>
      <c r="C118" s="14">
        <f>RAND()</f>
        <v/>
      </c>
      <c r="D118" s="17">
        <f>-60/$L$4*LN(1-B118)</f>
        <v/>
      </c>
      <c r="E118" s="17">
        <f>E117+D118</f>
        <v/>
      </c>
      <c r="F118" s="17">
        <f>-60/$L$5*LN(1-C118)</f>
        <v/>
      </c>
      <c r="G118" s="17">
        <f>MAX(E118,H117)</f>
        <v/>
      </c>
      <c r="H118" s="17">
        <f>G118+F118</f>
        <v/>
      </c>
      <c r="I118" s="17">
        <f>G118-E118</f>
        <v/>
      </c>
    </row>
    <row r="119">
      <c r="A119" s="13" t="n">
        <v>115</v>
      </c>
      <c r="B119" s="14">
        <f>RAND()</f>
        <v/>
      </c>
      <c r="C119" s="14">
        <f>RAND()</f>
        <v/>
      </c>
      <c r="D119" s="17">
        <f>-60/$L$4*LN(1-B119)</f>
        <v/>
      </c>
      <c r="E119" s="17">
        <f>E118+D119</f>
        <v/>
      </c>
      <c r="F119" s="17">
        <f>-60/$L$5*LN(1-C119)</f>
        <v/>
      </c>
      <c r="G119" s="17">
        <f>MAX(E119,H118)</f>
        <v/>
      </c>
      <c r="H119" s="17">
        <f>G119+F119</f>
        <v/>
      </c>
      <c r="I119" s="17">
        <f>G119-E119</f>
        <v/>
      </c>
    </row>
    <row r="120">
      <c r="A120" s="13" t="n">
        <v>116</v>
      </c>
      <c r="B120" s="14">
        <f>RAND()</f>
        <v/>
      </c>
      <c r="C120" s="14">
        <f>RAND()</f>
        <v/>
      </c>
      <c r="D120" s="17">
        <f>-60/$L$4*LN(1-B120)</f>
        <v/>
      </c>
      <c r="E120" s="17">
        <f>E119+D120</f>
        <v/>
      </c>
      <c r="F120" s="17">
        <f>-60/$L$5*LN(1-C120)</f>
        <v/>
      </c>
      <c r="G120" s="17">
        <f>MAX(E120,H119)</f>
        <v/>
      </c>
      <c r="H120" s="17">
        <f>G120+F120</f>
        <v/>
      </c>
      <c r="I120" s="17">
        <f>G120-E120</f>
        <v/>
      </c>
    </row>
    <row r="121">
      <c r="A121" s="13" t="n">
        <v>117</v>
      </c>
      <c r="B121" s="14">
        <f>RAND()</f>
        <v/>
      </c>
      <c r="C121" s="14">
        <f>RAND()</f>
        <v/>
      </c>
      <c r="D121" s="17">
        <f>-60/$L$4*LN(1-B121)</f>
        <v/>
      </c>
      <c r="E121" s="17">
        <f>E120+D121</f>
        <v/>
      </c>
      <c r="F121" s="17">
        <f>-60/$L$5*LN(1-C121)</f>
        <v/>
      </c>
      <c r="G121" s="17">
        <f>MAX(E121,H120)</f>
        <v/>
      </c>
      <c r="H121" s="17">
        <f>G121+F121</f>
        <v/>
      </c>
      <c r="I121" s="17">
        <f>G121-E121</f>
        <v/>
      </c>
    </row>
    <row r="122">
      <c r="A122" s="13" t="n">
        <v>118</v>
      </c>
      <c r="B122" s="14">
        <f>RAND()</f>
        <v/>
      </c>
      <c r="C122" s="14">
        <f>RAND()</f>
        <v/>
      </c>
      <c r="D122" s="17">
        <f>-60/$L$4*LN(1-B122)</f>
        <v/>
      </c>
      <c r="E122" s="17">
        <f>E121+D122</f>
        <v/>
      </c>
      <c r="F122" s="17">
        <f>-60/$L$5*LN(1-C122)</f>
        <v/>
      </c>
      <c r="G122" s="17">
        <f>MAX(E122,H121)</f>
        <v/>
      </c>
      <c r="H122" s="17">
        <f>G122+F122</f>
        <v/>
      </c>
      <c r="I122" s="17">
        <f>G122-E122</f>
        <v/>
      </c>
    </row>
    <row r="123">
      <c r="A123" s="13" t="n">
        <v>119</v>
      </c>
      <c r="B123" s="14">
        <f>RAND()</f>
        <v/>
      </c>
      <c r="C123" s="14">
        <f>RAND()</f>
        <v/>
      </c>
      <c r="D123" s="17">
        <f>-60/$L$4*LN(1-B123)</f>
        <v/>
      </c>
      <c r="E123" s="17">
        <f>E122+D123</f>
        <v/>
      </c>
      <c r="F123" s="17">
        <f>-60/$L$5*LN(1-C123)</f>
        <v/>
      </c>
      <c r="G123" s="17">
        <f>MAX(E123,H122)</f>
        <v/>
      </c>
      <c r="H123" s="17">
        <f>G123+F123</f>
        <v/>
      </c>
      <c r="I123" s="17">
        <f>G123-E123</f>
        <v/>
      </c>
    </row>
    <row r="124">
      <c r="A124" s="13" t="n">
        <v>120</v>
      </c>
      <c r="B124" s="14">
        <f>RAND()</f>
        <v/>
      </c>
      <c r="C124" s="14">
        <f>RAND()</f>
        <v/>
      </c>
      <c r="D124" s="17">
        <f>-60/$L$4*LN(1-B124)</f>
        <v/>
      </c>
      <c r="E124" s="17">
        <f>E123+D124</f>
        <v/>
      </c>
      <c r="F124" s="17">
        <f>-60/$L$5*LN(1-C124)</f>
        <v/>
      </c>
      <c r="G124" s="17">
        <f>MAX(E124,H123)</f>
        <v/>
      </c>
      <c r="H124" s="17">
        <f>G124+F124</f>
        <v/>
      </c>
      <c r="I124" s="17">
        <f>G124-E124</f>
        <v/>
      </c>
    </row>
    <row r="125">
      <c r="A125" s="13" t="n">
        <v>121</v>
      </c>
      <c r="B125" s="14">
        <f>RAND()</f>
        <v/>
      </c>
      <c r="C125" s="14">
        <f>RAND()</f>
        <v/>
      </c>
      <c r="D125" s="17">
        <f>-60/$L$4*LN(1-B125)</f>
        <v/>
      </c>
      <c r="E125" s="17">
        <f>E124+D125</f>
        <v/>
      </c>
      <c r="F125" s="17">
        <f>-60/$L$5*LN(1-C125)</f>
        <v/>
      </c>
      <c r="G125" s="17">
        <f>MAX(E125,H124)</f>
        <v/>
      </c>
      <c r="H125" s="17">
        <f>G125+F125</f>
        <v/>
      </c>
      <c r="I125" s="17">
        <f>G125-E125</f>
        <v/>
      </c>
    </row>
    <row r="126">
      <c r="A126" s="13" t="n">
        <v>122</v>
      </c>
      <c r="B126" s="14">
        <f>RAND()</f>
        <v/>
      </c>
      <c r="C126" s="14">
        <f>RAND()</f>
        <v/>
      </c>
      <c r="D126" s="17">
        <f>-60/$L$4*LN(1-B126)</f>
        <v/>
      </c>
      <c r="E126" s="17">
        <f>E125+D126</f>
        <v/>
      </c>
      <c r="F126" s="17">
        <f>-60/$L$5*LN(1-C126)</f>
        <v/>
      </c>
      <c r="G126" s="17">
        <f>MAX(E126,H125)</f>
        <v/>
      </c>
      <c r="H126" s="17">
        <f>G126+F126</f>
        <v/>
      </c>
      <c r="I126" s="17">
        <f>G126-E126</f>
        <v/>
      </c>
    </row>
    <row r="127">
      <c r="A127" s="13" t="n">
        <v>123</v>
      </c>
      <c r="B127" s="14">
        <f>RAND()</f>
        <v/>
      </c>
      <c r="C127" s="14">
        <f>RAND()</f>
        <v/>
      </c>
      <c r="D127" s="17">
        <f>-60/$L$4*LN(1-B127)</f>
        <v/>
      </c>
      <c r="E127" s="17">
        <f>E126+D127</f>
        <v/>
      </c>
      <c r="F127" s="17">
        <f>-60/$L$5*LN(1-C127)</f>
        <v/>
      </c>
      <c r="G127" s="17">
        <f>MAX(E127,H126)</f>
        <v/>
      </c>
      <c r="H127" s="17">
        <f>G127+F127</f>
        <v/>
      </c>
      <c r="I127" s="17">
        <f>G127-E127</f>
        <v/>
      </c>
    </row>
    <row r="128">
      <c r="A128" s="13" t="n">
        <v>124</v>
      </c>
      <c r="B128" s="14">
        <f>RAND()</f>
        <v/>
      </c>
      <c r="C128" s="14">
        <f>RAND()</f>
        <v/>
      </c>
      <c r="D128" s="17">
        <f>-60/$L$4*LN(1-B128)</f>
        <v/>
      </c>
      <c r="E128" s="17">
        <f>E127+D128</f>
        <v/>
      </c>
      <c r="F128" s="17">
        <f>-60/$L$5*LN(1-C128)</f>
        <v/>
      </c>
      <c r="G128" s="17">
        <f>MAX(E128,H127)</f>
        <v/>
      </c>
      <c r="H128" s="17">
        <f>G128+F128</f>
        <v/>
      </c>
      <c r="I128" s="17">
        <f>G128-E128</f>
        <v/>
      </c>
    </row>
    <row r="129">
      <c r="A129" s="13" t="n">
        <v>125</v>
      </c>
      <c r="B129" s="14">
        <f>RAND()</f>
        <v/>
      </c>
      <c r="C129" s="14">
        <f>RAND()</f>
        <v/>
      </c>
      <c r="D129" s="17">
        <f>-60/$L$4*LN(1-B129)</f>
        <v/>
      </c>
      <c r="E129" s="17">
        <f>E128+D129</f>
        <v/>
      </c>
      <c r="F129" s="17">
        <f>-60/$L$5*LN(1-C129)</f>
        <v/>
      </c>
      <c r="G129" s="17">
        <f>MAX(E129,H128)</f>
        <v/>
      </c>
      <c r="H129" s="17">
        <f>G129+F129</f>
        <v/>
      </c>
      <c r="I129" s="17">
        <f>G129-E129</f>
        <v/>
      </c>
    </row>
    <row r="130">
      <c r="A130" s="13" t="n">
        <v>126</v>
      </c>
      <c r="B130" s="14">
        <f>RAND()</f>
        <v/>
      </c>
      <c r="C130" s="14">
        <f>RAND()</f>
        <v/>
      </c>
      <c r="D130" s="17">
        <f>-60/$L$4*LN(1-B130)</f>
        <v/>
      </c>
      <c r="E130" s="17">
        <f>E129+D130</f>
        <v/>
      </c>
      <c r="F130" s="17">
        <f>-60/$L$5*LN(1-C130)</f>
        <v/>
      </c>
      <c r="G130" s="17">
        <f>MAX(E130,H129)</f>
        <v/>
      </c>
      <c r="H130" s="17">
        <f>G130+F130</f>
        <v/>
      </c>
      <c r="I130" s="17">
        <f>G130-E130</f>
        <v/>
      </c>
    </row>
    <row r="131">
      <c r="A131" s="13" t="n">
        <v>127</v>
      </c>
      <c r="B131" s="14">
        <f>RAND()</f>
        <v/>
      </c>
      <c r="C131" s="14">
        <f>RAND()</f>
        <v/>
      </c>
      <c r="D131" s="17">
        <f>-60/$L$4*LN(1-B131)</f>
        <v/>
      </c>
      <c r="E131" s="17">
        <f>E130+D131</f>
        <v/>
      </c>
      <c r="F131" s="17">
        <f>-60/$L$5*LN(1-C131)</f>
        <v/>
      </c>
      <c r="G131" s="17">
        <f>MAX(E131,H130)</f>
        <v/>
      </c>
      <c r="H131" s="17">
        <f>G131+F131</f>
        <v/>
      </c>
      <c r="I131" s="17">
        <f>G131-E131</f>
        <v/>
      </c>
    </row>
    <row r="132">
      <c r="A132" s="13" t="n">
        <v>128</v>
      </c>
      <c r="B132" s="14">
        <f>RAND()</f>
        <v/>
      </c>
      <c r="C132" s="14">
        <f>RAND()</f>
        <v/>
      </c>
      <c r="D132" s="17">
        <f>-60/$L$4*LN(1-B132)</f>
        <v/>
      </c>
      <c r="E132" s="17">
        <f>E131+D132</f>
        <v/>
      </c>
      <c r="F132" s="17">
        <f>-60/$L$5*LN(1-C132)</f>
        <v/>
      </c>
      <c r="G132" s="17">
        <f>MAX(E132,H131)</f>
        <v/>
      </c>
      <c r="H132" s="17">
        <f>G132+F132</f>
        <v/>
      </c>
      <c r="I132" s="17">
        <f>G132-E132</f>
        <v/>
      </c>
    </row>
    <row r="133">
      <c r="A133" s="13" t="n">
        <v>129</v>
      </c>
      <c r="B133" s="14">
        <f>RAND()</f>
        <v/>
      </c>
      <c r="C133" s="14">
        <f>RAND()</f>
        <v/>
      </c>
      <c r="D133" s="17">
        <f>-60/$L$4*LN(1-B133)</f>
        <v/>
      </c>
      <c r="E133" s="17">
        <f>E132+D133</f>
        <v/>
      </c>
      <c r="F133" s="17">
        <f>-60/$L$5*LN(1-C133)</f>
        <v/>
      </c>
      <c r="G133" s="17">
        <f>MAX(E133,H132)</f>
        <v/>
      </c>
      <c r="H133" s="17">
        <f>G133+F133</f>
        <v/>
      </c>
      <c r="I133" s="17">
        <f>G133-E133</f>
        <v/>
      </c>
    </row>
    <row r="134">
      <c r="A134" s="13" t="n">
        <v>130</v>
      </c>
      <c r="B134" s="14">
        <f>RAND()</f>
        <v/>
      </c>
      <c r="C134" s="14">
        <f>RAND()</f>
        <v/>
      </c>
      <c r="D134" s="17">
        <f>-60/$L$4*LN(1-B134)</f>
        <v/>
      </c>
      <c r="E134" s="17">
        <f>E133+D134</f>
        <v/>
      </c>
      <c r="F134" s="17">
        <f>-60/$L$5*LN(1-C134)</f>
        <v/>
      </c>
      <c r="G134" s="17">
        <f>MAX(E134,H133)</f>
        <v/>
      </c>
      <c r="H134" s="17">
        <f>G134+F134</f>
        <v/>
      </c>
      <c r="I134" s="17">
        <f>G134-E134</f>
        <v/>
      </c>
    </row>
    <row r="135">
      <c r="A135" s="13" t="n">
        <v>131</v>
      </c>
      <c r="B135" s="14">
        <f>RAND()</f>
        <v/>
      </c>
      <c r="C135" s="14">
        <f>RAND()</f>
        <v/>
      </c>
      <c r="D135" s="17">
        <f>-60/$L$4*LN(1-B135)</f>
        <v/>
      </c>
      <c r="E135" s="17">
        <f>E134+D135</f>
        <v/>
      </c>
      <c r="F135" s="17">
        <f>-60/$L$5*LN(1-C135)</f>
        <v/>
      </c>
      <c r="G135" s="17">
        <f>MAX(E135,H134)</f>
        <v/>
      </c>
      <c r="H135" s="17">
        <f>G135+F135</f>
        <v/>
      </c>
      <c r="I135" s="17">
        <f>G135-E135</f>
        <v/>
      </c>
    </row>
    <row r="136">
      <c r="A136" s="13" t="n">
        <v>132</v>
      </c>
      <c r="B136" s="14">
        <f>RAND()</f>
        <v/>
      </c>
      <c r="C136" s="14">
        <f>RAND()</f>
        <v/>
      </c>
      <c r="D136" s="17">
        <f>-60/$L$4*LN(1-B136)</f>
        <v/>
      </c>
      <c r="E136" s="17">
        <f>E135+D136</f>
        <v/>
      </c>
      <c r="F136" s="17">
        <f>-60/$L$5*LN(1-C136)</f>
        <v/>
      </c>
      <c r="G136" s="17">
        <f>MAX(E136,H135)</f>
        <v/>
      </c>
      <c r="H136" s="17">
        <f>G136+F136</f>
        <v/>
      </c>
      <c r="I136" s="17">
        <f>G136-E136</f>
        <v/>
      </c>
    </row>
    <row r="137">
      <c r="A137" s="13" t="n">
        <v>133</v>
      </c>
      <c r="B137" s="14">
        <f>RAND()</f>
        <v/>
      </c>
      <c r="C137" s="14">
        <f>RAND()</f>
        <v/>
      </c>
      <c r="D137" s="17">
        <f>-60/$L$4*LN(1-B137)</f>
        <v/>
      </c>
      <c r="E137" s="17">
        <f>E136+D137</f>
        <v/>
      </c>
      <c r="F137" s="17">
        <f>-60/$L$5*LN(1-C137)</f>
        <v/>
      </c>
      <c r="G137" s="17">
        <f>MAX(E137,H136)</f>
        <v/>
      </c>
      <c r="H137" s="17">
        <f>G137+F137</f>
        <v/>
      </c>
      <c r="I137" s="17">
        <f>G137-E137</f>
        <v/>
      </c>
    </row>
    <row r="138">
      <c r="A138" s="13" t="n">
        <v>134</v>
      </c>
      <c r="B138" s="14">
        <f>RAND()</f>
        <v/>
      </c>
      <c r="C138" s="14">
        <f>RAND()</f>
        <v/>
      </c>
      <c r="D138" s="17">
        <f>-60/$L$4*LN(1-B138)</f>
        <v/>
      </c>
      <c r="E138" s="17">
        <f>E137+D138</f>
        <v/>
      </c>
      <c r="F138" s="17">
        <f>-60/$L$5*LN(1-C138)</f>
        <v/>
      </c>
      <c r="G138" s="17">
        <f>MAX(E138,H137)</f>
        <v/>
      </c>
      <c r="H138" s="17">
        <f>G138+F138</f>
        <v/>
      </c>
      <c r="I138" s="17">
        <f>G138-E138</f>
        <v/>
      </c>
    </row>
    <row r="139">
      <c r="A139" s="13" t="n">
        <v>135</v>
      </c>
      <c r="B139" s="14">
        <f>RAND()</f>
        <v/>
      </c>
      <c r="C139" s="14">
        <f>RAND()</f>
        <v/>
      </c>
      <c r="D139" s="17">
        <f>-60/$L$4*LN(1-B139)</f>
        <v/>
      </c>
      <c r="E139" s="17">
        <f>E138+D139</f>
        <v/>
      </c>
      <c r="F139" s="17">
        <f>-60/$L$5*LN(1-C139)</f>
        <v/>
      </c>
      <c r="G139" s="17">
        <f>MAX(E139,H138)</f>
        <v/>
      </c>
      <c r="H139" s="17">
        <f>G139+F139</f>
        <v/>
      </c>
      <c r="I139" s="17">
        <f>G139-E139</f>
        <v/>
      </c>
    </row>
    <row r="140">
      <c r="A140" s="13" t="n">
        <v>136</v>
      </c>
      <c r="B140" s="14">
        <f>RAND()</f>
        <v/>
      </c>
      <c r="C140" s="14">
        <f>RAND()</f>
        <v/>
      </c>
      <c r="D140" s="17">
        <f>-60/$L$4*LN(1-B140)</f>
        <v/>
      </c>
      <c r="E140" s="17">
        <f>E139+D140</f>
        <v/>
      </c>
      <c r="F140" s="17">
        <f>-60/$L$5*LN(1-C140)</f>
        <v/>
      </c>
      <c r="G140" s="17">
        <f>MAX(E140,H139)</f>
        <v/>
      </c>
      <c r="H140" s="17">
        <f>G140+F140</f>
        <v/>
      </c>
      <c r="I140" s="17">
        <f>G140-E140</f>
        <v/>
      </c>
    </row>
    <row r="141">
      <c r="A141" s="13" t="n">
        <v>137</v>
      </c>
      <c r="B141" s="14">
        <f>RAND()</f>
        <v/>
      </c>
      <c r="C141" s="14">
        <f>RAND()</f>
        <v/>
      </c>
      <c r="D141" s="17">
        <f>-60/$L$4*LN(1-B141)</f>
        <v/>
      </c>
      <c r="E141" s="17">
        <f>E140+D141</f>
        <v/>
      </c>
      <c r="F141" s="17">
        <f>-60/$L$5*LN(1-C141)</f>
        <v/>
      </c>
      <c r="G141" s="17">
        <f>MAX(E141,H140)</f>
        <v/>
      </c>
      <c r="H141" s="17">
        <f>G141+F141</f>
        <v/>
      </c>
      <c r="I141" s="17">
        <f>G141-E141</f>
        <v/>
      </c>
    </row>
    <row r="142">
      <c r="A142" s="13" t="n">
        <v>138</v>
      </c>
      <c r="B142" s="14">
        <f>RAND()</f>
        <v/>
      </c>
      <c r="C142" s="14">
        <f>RAND()</f>
        <v/>
      </c>
      <c r="D142" s="17">
        <f>-60/$L$4*LN(1-B142)</f>
        <v/>
      </c>
      <c r="E142" s="17">
        <f>E141+D142</f>
        <v/>
      </c>
      <c r="F142" s="17">
        <f>-60/$L$5*LN(1-C142)</f>
        <v/>
      </c>
      <c r="G142" s="17">
        <f>MAX(E142,H141)</f>
        <v/>
      </c>
      <c r="H142" s="17">
        <f>G142+F142</f>
        <v/>
      </c>
      <c r="I142" s="17">
        <f>G142-E142</f>
        <v/>
      </c>
    </row>
    <row r="143">
      <c r="A143" s="13" t="n">
        <v>139</v>
      </c>
      <c r="B143" s="14">
        <f>RAND()</f>
        <v/>
      </c>
      <c r="C143" s="14">
        <f>RAND()</f>
        <v/>
      </c>
      <c r="D143" s="17">
        <f>-60/$L$4*LN(1-B143)</f>
        <v/>
      </c>
      <c r="E143" s="17">
        <f>E142+D143</f>
        <v/>
      </c>
      <c r="F143" s="17">
        <f>-60/$L$5*LN(1-C143)</f>
        <v/>
      </c>
      <c r="G143" s="17">
        <f>MAX(E143,H142)</f>
        <v/>
      </c>
      <c r="H143" s="17">
        <f>G143+F143</f>
        <v/>
      </c>
      <c r="I143" s="17">
        <f>G143-E143</f>
        <v/>
      </c>
    </row>
    <row r="144">
      <c r="A144" s="13" t="n">
        <v>140</v>
      </c>
      <c r="B144" s="14">
        <f>RAND()</f>
        <v/>
      </c>
      <c r="C144" s="14">
        <f>RAND()</f>
        <v/>
      </c>
      <c r="D144" s="17">
        <f>-60/$L$4*LN(1-B144)</f>
        <v/>
      </c>
      <c r="E144" s="17">
        <f>E143+D144</f>
        <v/>
      </c>
      <c r="F144" s="17">
        <f>-60/$L$5*LN(1-C144)</f>
        <v/>
      </c>
      <c r="G144" s="17">
        <f>MAX(E144,H143)</f>
        <v/>
      </c>
      <c r="H144" s="17">
        <f>G144+F144</f>
        <v/>
      </c>
      <c r="I144" s="17">
        <f>G144-E144</f>
        <v/>
      </c>
    </row>
    <row r="145">
      <c r="A145" s="13" t="n">
        <v>141</v>
      </c>
      <c r="B145" s="14">
        <f>RAND()</f>
        <v/>
      </c>
      <c r="C145" s="14">
        <f>RAND()</f>
        <v/>
      </c>
      <c r="D145" s="17">
        <f>-60/$L$4*LN(1-B145)</f>
        <v/>
      </c>
      <c r="E145" s="17">
        <f>E144+D145</f>
        <v/>
      </c>
      <c r="F145" s="17">
        <f>-60/$L$5*LN(1-C145)</f>
        <v/>
      </c>
      <c r="G145" s="17">
        <f>MAX(E145,H144)</f>
        <v/>
      </c>
      <c r="H145" s="17">
        <f>G145+F145</f>
        <v/>
      </c>
      <c r="I145" s="17">
        <f>G145-E145</f>
        <v/>
      </c>
    </row>
    <row r="146">
      <c r="A146" s="13" t="n">
        <v>142</v>
      </c>
      <c r="B146" s="14">
        <f>RAND()</f>
        <v/>
      </c>
      <c r="C146" s="14">
        <f>RAND()</f>
        <v/>
      </c>
      <c r="D146" s="17">
        <f>-60/$L$4*LN(1-B146)</f>
        <v/>
      </c>
      <c r="E146" s="17">
        <f>E145+D146</f>
        <v/>
      </c>
      <c r="F146" s="17">
        <f>-60/$L$5*LN(1-C146)</f>
        <v/>
      </c>
      <c r="G146" s="17">
        <f>MAX(E146,H145)</f>
        <v/>
      </c>
      <c r="H146" s="17">
        <f>G146+F146</f>
        <v/>
      </c>
      <c r="I146" s="17">
        <f>G146-E146</f>
        <v/>
      </c>
    </row>
    <row r="147">
      <c r="A147" s="13" t="n">
        <v>143</v>
      </c>
      <c r="B147" s="14">
        <f>RAND()</f>
        <v/>
      </c>
      <c r="C147" s="14">
        <f>RAND()</f>
        <v/>
      </c>
      <c r="D147" s="17">
        <f>-60/$L$4*LN(1-B147)</f>
        <v/>
      </c>
      <c r="E147" s="17">
        <f>E146+D147</f>
        <v/>
      </c>
      <c r="F147" s="17">
        <f>-60/$L$5*LN(1-C147)</f>
        <v/>
      </c>
      <c r="G147" s="17">
        <f>MAX(E147,H146)</f>
        <v/>
      </c>
      <c r="H147" s="17">
        <f>G147+F147</f>
        <v/>
      </c>
      <c r="I147" s="17">
        <f>G147-E147</f>
        <v/>
      </c>
    </row>
    <row r="148">
      <c r="A148" s="13" t="n">
        <v>144</v>
      </c>
      <c r="B148" s="14">
        <f>RAND()</f>
        <v/>
      </c>
      <c r="C148" s="14">
        <f>RAND()</f>
        <v/>
      </c>
      <c r="D148" s="17">
        <f>-60/$L$4*LN(1-B148)</f>
        <v/>
      </c>
      <c r="E148" s="17">
        <f>E147+D148</f>
        <v/>
      </c>
      <c r="F148" s="17">
        <f>-60/$L$5*LN(1-C148)</f>
        <v/>
      </c>
      <c r="G148" s="17">
        <f>MAX(E148,H147)</f>
        <v/>
      </c>
      <c r="H148" s="17">
        <f>G148+F148</f>
        <v/>
      </c>
      <c r="I148" s="17">
        <f>G148-E148</f>
        <v/>
      </c>
    </row>
    <row r="149">
      <c r="A149" s="13" t="n">
        <v>145</v>
      </c>
      <c r="B149" s="14">
        <f>RAND()</f>
        <v/>
      </c>
      <c r="C149" s="14">
        <f>RAND()</f>
        <v/>
      </c>
      <c r="D149" s="17">
        <f>-60/$L$4*LN(1-B149)</f>
        <v/>
      </c>
      <c r="E149" s="17">
        <f>E148+D149</f>
        <v/>
      </c>
      <c r="F149" s="17">
        <f>-60/$L$5*LN(1-C149)</f>
        <v/>
      </c>
      <c r="G149" s="17">
        <f>MAX(E149,H148)</f>
        <v/>
      </c>
      <c r="H149" s="17">
        <f>G149+F149</f>
        <v/>
      </c>
      <c r="I149" s="17">
        <f>G149-E149</f>
        <v/>
      </c>
    </row>
    <row r="150">
      <c r="A150" s="13" t="n">
        <v>146</v>
      </c>
      <c r="B150" s="14">
        <f>RAND()</f>
        <v/>
      </c>
      <c r="C150" s="14">
        <f>RAND()</f>
        <v/>
      </c>
      <c r="D150" s="17">
        <f>-60/$L$4*LN(1-B150)</f>
        <v/>
      </c>
      <c r="E150" s="17">
        <f>E149+D150</f>
        <v/>
      </c>
      <c r="F150" s="17">
        <f>-60/$L$5*LN(1-C150)</f>
        <v/>
      </c>
      <c r="G150" s="17">
        <f>MAX(E150,H149)</f>
        <v/>
      </c>
      <c r="H150" s="17">
        <f>G150+F150</f>
        <v/>
      </c>
      <c r="I150" s="17">
        <f>G150-E150</f>
        <v/>
      </c>
    </row>
    <row r="151">
      <c r="A151" s="13" t="n">
        <v>147</v>
      </c>
      <c r="B151" s="14">
        <f>RAND()</f>
        <v/>
      </c>
      <c r="C151" s="14">
        <f>RAND()</f>
        <v/>
      </c>
      <c r="D151" s="17">
        <f>-60/$L$4*LN(1-B151)</f>
        <v/>
      </c>
      <c r="E151" s="17">
        <f>E150+D151</f>
        <v/>
      </c>
      <c r="F151" s="17">
        <f>-60/$L$5*LN(1-C151)</f>
        <v/>
      </c>
      <c r="G151" s="17">
        <f>MAX(E151,H150)</f>
        <v/>
      </c>
      <c r="H151" s="17">
        <f>G151+F151</f>
        <v/>
      </c>
      <c r="I151" s="17">
        <f>G151-E151</f>
        <v/>
      </c>
    </row>
    <row r="152">
      <c r="A152" s="13" t="n">
        <v>148</v>
      </c>
      <c r="B152" s="14">
        <f>RAND()</f>
        <v/>
      </c>
      <c r="C152" s="14">
        <f>RAND()</f>
        <v/>
      </c>
      <c r="D152" s="17">
        <f>-60/$L$4*LN(1-B152)</f>
        <v/>
      </c>
      <c r="E152" s="17">
        <f>E151+D152</f>
        <v/>
      </c>
      <c r="F152" s="17">
        <f>-60/$L$5*LN(1-C152)</f>
        <v/>
      </c>
      <c r="G152" s="17">
        <f>MAX(E152,H151)</f>
        <v/>
      </c>
      <c r="H152" s="17">
        <f>G152+F152</f>
        <v/>
      </c>
      <c r="I152" s="17">
        <f>G152-E152</f>
        <v/>
      </c>
    </row>
    <row r="153">
      <c r="A153" s="13" t="n">
        <v>149</v>
      </c>
      <c r="B153" s="14">
        <f>RAND()</f>
        <v/>
      </c>
      <c r="C153" s="14">
        <f>RAND()</f>
        <v/>
      </c>
      <c r="D153" s="17">
        <f>-60/$L$4*LN(1-B153)</f>
        <v/>
      </c>
      <c r="E153" s="17">
        <f>E152+D153</f>
        <v/>
      </c>
      <c r="F153" s="17">
        <f>-60/$L$5*LN(1-C153)</f>
        <v/>
      </c>
      <c r="G153" s="17">
        <f>MAX(E153,H152)</f>
        <v/>
      </c>
      <c r="H153" s="17">
        <f>G153+F153</f>
        <v/>
      </c>
      <c r="I153" s="17">
        <f>G153-E153</f>
        <v/>
      </c>
    </row>
    <row r="154">
      <c r="A154" s="13" t="n">
        <v>150</v>
      </c>
      <c r="B154" s="14">
        <f>RAND()</f>
        <v/>
      </c>
      <c r="C154" s="14">
        <f>RAND()</f>
        <v/>
      </c>
      <c r="D154" s="17">
        <f>-60/$L$4*LN(1-B154)</f>
        <v/>
      </c>
      <c r="E154" s="17">
        <f>E153+D154</f>
        <v/>
      </c>
      <c r="F154" s="17">
        <f>-60/$L$5*LN(1-C154)</f>
        <v/>
      </c>
      <c r="G154" s="17">
        <f>MAX(E154,H153)</f>
        <v/>
      </c>
      <c r="H154" s="17">
        <f>G154+F154</f>
        <v/>
      </c>
      <c r="I154" s="17">
        <f>G154-E154</f>
        <v/>
      </c>
    </row>
    <row r="155">
      <c r="A155" s="13" t="n">
        <v>151</v>
      </c>
      <c r="B155" s="14">
        <f>RAND()</f>
        <v/>
      </c>
      <c r="C155" s="14">
        <f>RAND()</f>
        <v/>
      </c>
      <c r="D155" s="17">
        <f>-60/$L$4*LN(1-B155)</f>
        <v/>
      </c>
      <c r="E155" s="17">
        <f>E154+D155</f>
        <v/>
      </c>
      <c r="F155" s="17">
        <f>-60/$L$5*LN(1-C155)</f>
        <v/>
      </c>
      <c r="G155" s="17">
        <f>MAX(E155,H154)</f>
        <v/>
      </c>
      <c r="H155" s="17">
        <f>G155+F155</f>
        <v/>
      </c>
      <c r="I155" s="17">
        <f>G155-E155</f>
        <v/>
      </c>
    </row>
    <row r="156">
      <c r="A156" s="13" t="n">
        <v>152</v>
      </c>
      <c r="B156" s="14">
        <f>RAND()</f>
        <v/>
      </c>
      <c r="C156" s="14">
        <f>RAND()</f>
        <v/>
      </c>
      <c r="D156" s="17">
        <f>-60/$L$4*LN(1-B156)</f>
        <v/>
      </c>
      <c r="E156" s="17">
        <f>E155+D156</f>
        <v/>
      </c>
      <c r="F156" s="17">
        <f>-60/$L$5*LN(1-C156)</f>
        <v/>
      </c>
      <c r="G156" s="17">
        <f>MAX(E156,H155)</f>
        <v/>
      </c>
      <c r="H156" s="17">
        <f>G156+F156</f>
        <v/>
      </c>
      <c r="I156" s="17">
        <f>G156-E156</f>
        <v/>
      </c>
    </row>
    <row r="157">
      <c r="A157" s="13" t="n">
        <v>153</v>
      </c>
      <c r="B157" s="14">
        <f>RAND()</f>
        <v/>
      </c>
      <c r="C157" s="14">
        <f>RAND()</f>
        <v/>
      </c>
      <c r="D157" s="17">
        <f>-60/$L$4*LN(1-B157)</f>
        <v/>
      </c>
      <c r="E157" s="17">
        <f>E156+D157</f>
        <v/>
      </c>
      <c r="F157" s="17">
        <f>-60/$L$5*LN(1-C157)</f>
        <v/>
      </c>
      <c r="G157" s="17">
        <f>MAX(E157,H156)</f>
        <v/>
      </c>
      <c r="H157" s="17">
        <f>G157+F157</f>
        <v/>
      </c>
      <c r="I157" s="17">
        <f>G157-E157</f>
        <v/>
      </c>
    </row>
    <row r="158">
      <c r="A158" s="13" t="n">
        <v>154</v>
      </c>
      <c r="B158" s="14">
        <f>RAND()</f>
        <v/>
      </c>
      <c r="C158" s="14">
        <f>RAND()</f>
        <v/>
      </c>
      <c r="D158" s="17">
        <f>-60/$L$4*LN(1-B158)</f>
        <v/>
      </c>
      <c r="E158" s="17">
        <f>E157+D158</f>
        <v/>
      </c>
      <c r="F158" s="17">
        <f>-60/$L$5*LN(1-C158)</f>
        <v/>
      </c>
      <c r="G158" s="17">
        <f>MAX(E158,H157)</f>
        <v/>
      </c>
      <c r="H158" s="17">
        <f>G158+F158</f>
        <v/>
      </c>
      <c r="I158" s="17">
        <f>G158-E158</f>
        <v/>
      </c>
    </row>
    <row r="159">
      <c r="A159" s="13" t="n">
        <v>155</v>
      </c>
      <c r="B159" s="14">
        <f>RAND()</f>
        <v/>
      </c>
      <c r="C159" s="14">
        <f>RAND()</f>
        <v/>
      </c>
      <c r="D159" s="17">
        <f>-60/$L$4*LN(1-B159)</f>
        <v/>
      </c>
      <c r="E159" s="17">
        <f>E158+D159</f>
        <v/>
      </c>
      <c r="F159" s="17">
        <f>-60/$L$5*LN(1-C159)</f>
        <v/>
      </c>
      <c r="G159" s="17">
        <f>MAX(E159,H158)</f>
        <v/>
      </c>
      <c r="H159" s="17">
        <f>G159+F159</f>
        <v/>
      </c>
      <c r="I159" s="17">
        <f>G159-E159</f>
        <v/>
      </c>
    </row>
    <row r="160">
      <c r="A160" s="13" t="n">
        <v>156</v>
      </c>
      <c r="B160" s="14">
        <f>RAND()</f>
        <v/>
      </c>
      <c r="C160" s="14">
        <f>RAND()</f>
        <v/>
      </c>
      <c r="D160" s="17">
        <f>-60/$L$4*LN(1-B160)</f>
        <v/>
      </c>
      <c r="E160" s="17">
        <f>E159+D160</f>
        <v/>
      </c>
      <c r="F160" s="17">
        <f>-60/$L$5*LN(1-C160)</f>
        <v/>
      </c>
      <c r="G160" s="17">
        <f>MAX(E160,H159)</f>
        <v/>
      </c>
      <c r="H160" s="17">
        <f>G160+F160</f>
        <v/>
      </c>
      <c r="I160" s="17">
        <f>G160-E160</f>
        <v/>
      </c>
    </row>
    <row r="161">
      <c r="A161" s="13" t="n">
        <v>157</v>
      </c>
      <c r="B161" s="14">
        <f>RAND()</f>
        <v/>
      </c>
      <c r="C161" s="14">
        <f>RAND()</f>
        <v/>
      </c>
      <c r="D161" s="17">
        <f>-60/$L$4*LN(1-B161)</f>
        <v/>
      </c>
      <c r="E161" s="17">
        <f>E160+D161</f>
        <v/>
      </c>
      <c r="F161" s="17">
        <f>-60/$L$5*LN(1-C161)</f>
        <v/>
      </c>
      <c r="G161" s="17">
        <f>MAX(E161,H160)</f>
        <v/>
      </c>
      <c r="H161" s="17">
        <f>G161+F161</f>
        <v/>
      </c>
      <c r="I161" s="17">
        <f>G161-E161</f>
        <v/>
      </c>
    </row>
    <row r="162">
      <c r="A162" s="13" t="n">
        <v>158</v>
      </c>
      <c r="B162" s="14">
        <f>RAND()</f>
        <v/>
      </c>
      <c r="C162" s="14">
        <f>RAND()</f>
        <v/>
      </c>
      <c r="D162" s="17">
        <f>-60/$L$4*LN(1-B162)</f>
        <v/>
      </c>
      <c r="E162" s="17">
        <f>E161+D162</f>
        <v/>
      </c>
      <c r="F162" s="17">
        <f>-60/$L$5*LN(1-C162)</f>
        <v/>
      </c>
      <c r="G162" s="17">
        <f>MAX(E162,H161)</f>
        <v/>
      </c>
      <c r="H162" s="17">
        <f>G162+F162</f>
        <v/>
      </c>
      <c r="I162" s="17">
        <f>G162-E162</f>
        <v/>
      </c>
    </row>
    <row r="163">
      <c r="A163" s="13" t="n">
        <v>159</v>
      </c>
      <c r="B163" s="14">
        <f>RAND()</f>
        <v/>
      </c>
      <c r="C163" s="14">
        <f>RAND()</f>
        <v/>
      </c>
      <c r="D163" s="17">
        <f>-60/$L$4*LN(1-B163)</f>
        <v/>
      </c>
      <c r="E163" s="17">
        <f>E162+D163</f>
        <v/>
      </c>
      <c r="F163" s="17">
        <f>-60/$L$5*LN(1-C163)</f>
        <v/>
      </c>
      <c r="G163" s="17">
        <f>MAX(E163,H162)</f>
        <v/>
      </c>
      <c r="H163" s="17">
        <f>G163+F163</f>
        <v/>
      </c>
      <c r="I163" s="17">
        <f>G163-E163</f>
        <v/>
      </c>
    </row>
    <row r="164">
      <c r="A164" s="13" t="n">
        <v>160</v>
      </c>
      <c r="B164" s="14">
        <f>RAND()</f>
        <v/>
      </c>
      <c r="C164" s="14">
        <f>RAND()</f>
        <v/>
      </c>
      <c r="D164" s="17">
        <f>-60/$L$4*LN(1-B164)</f>
        <v/>
      </c>
      <c r="E164" s="17">
        <f>E163+D164</f>
        <v/>
      </c>
      <c r="F164" s="17">
        <f>-60/$L$5*LN(1-C164)</f>
        <v/>
      </c>
      <c r="G164" s="17">
        <f>MAX(E164,H163)</f>
        <v/>
      </c>
      <c r="H164" s="17">
        <f>G164+F164</f>
        <v/>
      </c>
      <c r="I164" s="17">
        <f>G164-E164</f>
        <v/>
      </c>
    </row>
    <row r="165">
      <c r="A165" s="13" t="n">
        <v>161</v>
      </c>
      <c r="B165" s="14">
        <f>RAND()</f>
        <v/>
      </c>
      <c r="C165" s="14">
        <f>RAND()</f>
        <v/>
      </c>
      <c r="D165" s="17">
        <f>-60/$L$4*LN(1-B165)</f>
        <v/>
      </c>
      <c r="E165" s="17">
        <f>E164+D165</f>
        <v/>
      </c>
      <c r="F165" s="17">
        <f>-60/$L$5*LN(1-C165)</f>
        <v/>
      </c>
      <c r="G165" s="17">
        <f>MAX(E165,H164)</f>
        <v/>
      </c>
      <c r="H165" s="17">
        <f>G165+F165</f>
        <v/>
      </c>
      <c r="I165" s="17">
        <f>G165-E165</f>
        <v/>
      </c>
    </row>
    <row r="166">
      <c r="A166" s="13" t="n">
        <v>162</v>
      </c>
      <c r="B166" s="14">
        <f>RAND()</f>
        <v/>
      </c>
      <c r="C166" s="14">
        <f>RAND()</f>
        <v/>
      </c>
      <c r="D166" s="17">
        <f>-60/$L$4*LN(1-B166)</f>
        <v/>
      </c>
      <c r="E166" s="17">
        <f>E165+D166</f>
        <v/>
      </c>
      <c r="F166" s="17">
        <f>-60/$L$5*LN(1-C166)</f>
        <v/>
      </c>
      <c r="G166" s="17">
        <f>MAX(E166,H165)</f>
        <v/>
      </c>
      <c r="H166" s="17">
        <f>G166+F166</f>
        <v/>
      </c>
      <c r="I166" s="17">
        <f>G166-E166</f>
        <v/>
      </c>
    </row>
    <row r="167">
      <c r="A167" s="13" t="n">
        <v>163</v>
      </c>
      <c r="B167" s="14">
        <f>RAND()</f>
        <v/>
      </c>
      <c r="C167" s="14">
        <f>RAND()</f>
        <v/>
      </c>
      <c r="D167" s="17">
        <f>-60/$L$4*LN(1-B167)</f>
        <v/>
      </c>
      <c r="E167" s="17">
        <f>E166+D167</f>
        <v/>
      </c>
      <c r="F167" s="17">
        <f>-60/$L$5*LN(1-C167)</f>
        <v/>
      </c>
      <c r="G167" s="17">
        <f>MAX(E167,H166)</f>
        <v/>
      </c>
      <c r="H167" s="17">
        <f>G167+F167</f>
        <v/>
      </c>
      <c r="I167" s="17">
        <f>G167-E167</f>
        <v/>
      </c>
    </row>
    <row r="168">
      <c r="A168" s="13" t="n">
        <v>164</v>
      </c>
      <c r="B168" s="14">
        <f>RAND()</f>
        <v/>
      </c>
      <c r="C168" s="14">
        <f>RAND()</f>
        <v/>
      </c>
      <c r="D168" s="17">
        <f>-60/$L$4*LN(1-B168)</f>
        <v/>
      </c>
      <c r="E168" s="17">
        <f>E167+D168</f>
        <v/>
      </c>
      <c r="F168" s="17">
        <f>-60/$L$5*LN(1-C168)</f>
        <v/>
      </c>
      <c r="G168" s="17">
        <f>MAX(E168,H167)</f>
        <v/>
      </c>
      <c r="H168" s="17">
        <f>G168+F168</f>
        <v/>
      </c>
      <c r="I168" s="17">
        <f>G168-E168</f>
        <v/>
      </c>
    </row>
    <row r="169">
      <c r="A169" s="13" t="n">
        <v>165</v>
      </c>
      <c r="B169" s="14">
        <f>RAND()</f>
        <v/>
      </c>
      <c r="C169" s="14">
        <f>RAND()</f>
        <v/>
      </c>
      <c r="D169" s="17">
        <f>-60/$L$4*LN(1-B169)</f>
        <v/>
      </c>
      <c r="E169" s="17">
        <f>E168+D169</f>
        <v/>
      </c>
      <c r="F169" s="17">
        <f>-60/$L$5*LN(1-C169)</f>
        <v/>
      </c>
      <c r="G169" s="17">
        <f>MAX(E169,H168)</f>
        <v/>
      </c>
      <c r="H169" s="17">
        <f>G169+F169</f>
        <v/>
      </c>
      <c r="I169" s="17">
        <f>G169-E169</f>
        <v/>
      </c>
    </row>
    <row r="170">
      <c r="A170" s="13" t="n">
        <v>166</v>
      </c>
      <c r="B170" s="14">
        <f>RAND()</f>
        <v/>
      </c>
      <c r="C170" s="14">
        <f>RAND()</f>
        <v/>
      </c>
      <c r="D170" s="17">
        <f>-60/$L$4*LN(1-B170)</f>
        <v/>
      </c>
      <c r="E170" s="17">
        <f>E169+D170</f>
        <v/>
      </c>
      <c r="F170" s="17">
        <f>-60/$L$5*LN(1-C170)</f>
        <v/>
      </c>
      <c r="G170" s="17">
        <f>MAX(E170,H169)</f>
        <v/>
      </c>
      <c r="H170" s="17">
        <f>G170+F170</f>
        <v/>
      </c>
      <c r="I170" s="17">
        <f>G170-E170</f>
        <v/>
      </c>
    </row>
    <row r="171">
      <c r="A171" s="13" t="n">
        <v>167</v>
      </c>
      <c r="B171" s="14">
        <f>RAND()</f>
        <v/>
      </c>
      <c r="C171" s="14">
        <f>RAND()</f>
        <v/>
      </c>
      <c r="D171" s="17">
        <f>-60/$L$4*LN(1-B171)</f>
        <v/>
      </c>
      <c r="E171" s="17">
        <f>E170+D171</f>
        <v/>
      </c>
      <c r="F171" s="17">
        <f>-60/$L$5*LN(1-C171)</f>
        <v/>
      </c>
      <c r="G171" s="17">
        <f>MAX(E171,H170)</f>
        <v/>
      </c>
      <c r="H171" s="17">
        <f>G171+F171</f>
        <v/>
      </c>
      <c r="I171" s="17">
        <f>G171-E171</f>
        <v/>
      </c>
    </row>
    <row r="172">
      <c r="A172" s="13" t="n">
        <v>168</v>
      </c>
      <c r="B172" s="14">
        <f>RAND()</f>
        <v/>
      </c>
      <c r="C172" s="14">
        <f>RAND()</f>
        <v/>
      </c>
      <c r="D172" s="17">
        <f>-60/$L$4*LN(1-B172)</f>
        <v/>
      </c>
      <c r="E172" s="17">
        <f>E171+D172</f>
        <v/>
      </c>
      <c r="F172" s="17">
        <f>-60/$L$5*LN(1-C172)</f>
        <v/>
      </c>
      <c r="G172" s="17">
        <f>MAX(E172,H171)</f>
        <v/>
      </c>
      <c r="H172" s="17">
        <f>G172+F172</f>
        <v/>
      </c>
      <c r="I172" s="17">
        <f>G172-E172</f>
        <v/>
      </c>
    </row>
    <row r="173">
      <c r="A173" s="13" t="n">
        <v>169</v>
      </c>
      <c r="B173" s="14">
        <f>RAND()</f>
        <v/>
      </c>
      <c r="C173" s="14">
        <f>RAND()</f>
        <v/>
      </c>
      <c r="D173" s="17">
        <f>-60/$L$4*LN(1-B173)</f>
        <v/>
      </c>
      <c r="E173" s="17">
        <f>E172+D173</f>
        <v/>
      </c>
      <c r="F173" s="17">
        <f>-60/$L$5*LN(1-C173)</f>
        <v/>
      </c>
      <c r="G173" s="17">
        <f>MAX(E173,H172)</f>
        <v/>
      </c>
      <c r="H173" s="17">
        <f>G173+F173</f>
        <v/>
      </c>
      <c r="I173" s="17">
        <f>G173-E173</f>
        <v/>
      </c>
    </row>
    <row r="174">
      <c r="A174" s="13" t="n">
        <v>170</v>
      </c>
      <c r="B174" s="14">
        <f>RAND()</f>
        <v/>
      </c>
      <c r="C174" s="14">
        <f>RAND()</f>
        <v/>
      </c>
      <c r="D174" s="17">
        <f>-60/$L$4*LN(1-B174)</f>
        <v/>
      </c>
      <c r="E174" s="17">
        <f>E173+D174</f>
        <v/>
      </c>
      <c r="F174" s="17">
        <f>-60/$L$5*LN(1-C174)</f>
        <v/>
      </c>
      <c r="G174" s="17">
        <f>MAX(E174,H173)</f>
        <v/>
      </c>
      <c r="H174" s="17">
        <f>G174+F174</f>
        <v/>
      </c>
      <c r="I174" s="17">
        <f>G174-E174</f>
        <v/>
      </c>
    </row>
    <row r="175">
      <c r="A175" s="13" t="n">
        <v>171</v>
      </c>
      <c r="B175" s="14">
        <f>RAND()</f>
        <v/>
      </c>
      <c r="C175" s="14">
        <f>RAND()</f>
        <v/>
      </c>
      <c r="D175" s="17">
        <f>-60/$L$4*LN(1-B175)</f>
        <v/>
      </c>
      <c r="E175" s="17">
        <f>E174+D175</f>
        <v/>
      </c>
      <c r="F175" s="17">
        <f>-60/$L$5*LN(1-C175)</f>
        <v/>
      </c>
      <c r="G175" s="17">
        <f>MAX(E175,H174)</f>
        <v/>
      </c>
      <c r="H175" s="17">
        <f>G175+F175</f>
        <v/>
      </c>
      <c r="I175" s="17">
        <f>G175-E175</f>
        <v/>
      </c>
    </row>
    <row r="176">
      <c r="A176" s="13" t="n">
        <v>172</v>
      </c>
      <c r="B176" s="14">
        <f>RAND()</f>
        <v/>
      </c>
      <c r="C176" s="14">
        <f>RAND()</f>
        <v/>
      </c>
      <c r="D176" s="17">
        <f>-60/$L$4*LN(1-B176)</f>
        <v/>
      </c>
      <c r="E176" s="17">
        <f>E175+D176</f>
        <v/>
      </c>
      <c r="F176" s="17">
        <f>-60/$L$5*LN(1-C176)</f>
        <v/>
      </c>
      <c r="G176" s="17">
        <f>MAX(E176,H175)</f>
        <v/>
      </c>
      <c r="H176" s="17">
        <f>G176+F176</f>
        <v/>
      </c>
      <c r="I176" s="17">
        <f>G176-E176</f>
        <v/>
      </c>
    </row>
    <row r="177">
      <c r="A177" s="13" t="n">
        <v>173</v>
      </c>
      <c r="B177" s="14">
        <f>RAND()</f>
        <v/>
      </c>
      <c r="C177" s="14">
        <f>RAND()</f>
        <v/>
      </c>
      <c r="D177" s="17">
        <f>-60/$L$4*LN(1-B177)</f>
        <v/>
      </c>
      <c r="E177" s="17">
        <f>E176+D177</f>
        <v/>
      </c>
      <c r="F177" s="17">
        <f>-60/$L$5*LN(1-C177)</f>
        <v/>
      </c>
      <c r="G177" s="17">
        <f>MAX(E177,H176)</f>
        <v/>
      </c>
      <c r="H177" s="17">
        <f>G177+F177</f>
        <v/>
      </c>
      <c r="I177" s="17">
        <f>G177-E177</f>
        <v/>
      </c>
    </row>
    <row r="178">
      <c r="A178" s="13" t="n">
        <v>174</v>
      </c>
      <c r="B178" s="14">
        <f>RAND()</f>
        <v/>
      </c>
      <c r="C178" s="14">
        <f>RAND()</f>
        <v/>
      </c>
      <c r="D178" s="17">
        <f>-60/$L$4*LN(1-B178)</f>
        <v/>
      </c>
      <c r="E178" s="17">
        <f>E177+D178</f>
        <v/>
      </c>
      <c r="F178" s="17">
        <f>-60/$L$5*LN(1-C178)</f>
        <v/>
      </c>
      <c r="G178" s="17">
        <f>MAX(E178,H177)</f>
        <v/>
      </c>
      <c r="H178" s="17">
        <f>G178+F178</f>
        <v/>
      </c>
      <c r="I178" s="17">
        <f>G178-E178</f>
        <v/>
      </c>
    </row>
    <row r="179">
      <c r="A179" s="13" t="n">
        <v>175</v>
      </c>
      <c r="B179" s="14">
        <f>RAND()</f>
        <v/>
      </c>
      <c r="C179" s="14">
        <f>RAND()</f>
        <v/>
      </c>
      <c r="D179" s="17">
        <f>-60/$L$4*LN(1-B179)</f>
        <v/>
      </c>
      <c r="E179" s="17">
        <f>E178+D179</f>
        <v/>
      </c>
      <c r="F179" s="17">
        <f>-60/$L$5*LN(1-C179)</f>
        <v/>
      </c>
      <c r="G179" s="17">
        <f>MAX(E179,H178)</f>
        <v/>
      </c>
      <c r="H179" s="17">
        <f>G179+F179</f>
        <v/>
      </c>
      <c r="I179" s="17">
        <f>G179-E179</f>
        <v/>
      </c>
    </row>
    <row r="180">
      <c r="A180" s="13" t="n">
        <v>176</v>
      </c>
      <c r="B180" s="14">
        <f>RAND()</f>
        <v/>
      </c>
      <c r="C180" s="14">
        <f>RAND()</f>
        <v/>
      </c>
      <c r="D180" s="17">
        <f>-60/$L$4*LN(1-B180)</f>
        <v/>
      </c>
      <c r="E180" s="17">
        <f>E179+D180</f>
        <v/>
      </c>
      <c r="F180" s="17">
        <f>-60/$L$5*LN(1-C180)</f>
        <v/>
      </c>
      <c r="G180" s="17">
        <f>MAX(E180,H179)</f>
        <v/>
      </c>
      <c r="H180" s="17">
        <f>G180+F180</f>
        <v/>
      </c>
      <c r="I180" s="17">
        <f>G180-E180</f>
        <v/>
      </c>
    </row>
    <row r="181">
      <c r="A181" s="13" t="n">
        <v>177</v>
      </c>
      <c r="B181" s="14">
        <f>RAND()</f>
        <v/>
      </c>
      <c r="C181" s="14">
        <f>RAND()</f>
        <v/>
      </c>
      <c r="D181" s="17">
        <f>-60/$L$4*LN(1-B181)</f>
        <v/>
      </c>
      <c r="E181" s="17">
        <f>E180+D181</f>
        <v/>
      </c>
      <c r="F181" s="17">
        <f>-60/$L$5*LN(1-C181)</f>
        <v/>
      </c>
      <c r="G181" s="17">
        <f>MAX(E181,H180)</f>
        <v/>
      </c>
      <c r="H181" s="17">
        <f>G181+F181</f>
        <v/>
      </c>
      <c r="I181" s="17">
        <f>G181-E181</f>
        <v/>
      </c>
    </row>
    <row r="182">
      <c r="A182" s="13" t="n">
        <v>178</v>
      </c>
      <c r="B182" s="14">
        <f>RAND()</f>
        <v/>
      </c>
      <c r="C182" s="14">
        <f>RAND()</f>
        <v/>
      </c>
      <c r="D182" s="17">
        <f>-60/$L$4*LN(1-B182)</f>
        <v/>
      </c>
      <c r="E182" s="17">
        <f>E181+D182</f>
        <v/>
      </c>
      <c r="F182" s="17">
        <f>-60/$L$5*LN(1-C182)</f>
        <v/>
      </c>
      <c r="G182" s="17">
        <f>MAX(E182,H181)</f>
        <v/>
      </c>
      <c r="H182" s="17">
        <f>G182+F182</f>
        <v/>
      </c>
      <c r="I182" s="17">
        <f>G182-E182</f>
        <v/>
      </c>
    </row>
    <row r="183">
      <c r="A183" s="13" t="n">
        <v>179</v>
      </c>
      <c r="B183" s="14">
        <f>RAND()</f>
        <v/>
      </c>
      <c r="C183" s="14">
        <f>RAND()</f>
        <v/>
      </c>
      <c r="D183" s="17">
        <f>-60/$L$4*LN(1-B183)</f>
        <v/>
      </c>
      <c r="E183" s="17">
        <f>E182+D183</f>
        <v/>
      </c>
      <c r="F183" s="17">
        <f>-60/$L$5*LN(1-C183)</f>
        <v/>
      </c>
      <c r="G183" s="17">
        <f>MAX(E183,H182)</f>
        <v/>
      </c>
      <c r="H183" s="17">
        <f>G183+F183</f>
        <v/>
      </c>
      <c r="I183" s="17">
        <f>G183-E183</f>
        <v/>
      </c>
    </row>
    <row r="184">
      <c r="A184" s="13" t="n">
        <v>180</v>
      </c>
      <c r="B184" s="14">
        <f>RAND()</f>
        <v/>
      </c>
      <c r="C184" s="14">
        <f>RAND()</f>
        <v/>
      </c>
      <c r="D184" s="17">
        <f>-60/$L$4*LN(1-B184)</f>
        <v/>
      </c>
      <c r="E184" s="17">
        <f>E183+D184</f>
        <v/>
      </c>
      <c r="F184" s="17">
        <f>-60/$L$5*LN(1-C184)</f>
        <v/>
      </c>
      <c r="G184" s="17">
        <f>MAX(E184,H183)</f>
        <v/>
      </c>
      <c r="H184" s="17">
        <f>G184+F184</f>
        <v/>
      </c>
      <c r="I184" s="17">
        <f>G184-E184</f>
        <v/>
      </c>
    </row>
    <row r="185">
      <c r="A185" s="13" t="n">
        <v>181</v>
      </c>
      <c r="B185" s="14">
        <f>RAND()</f>
        <v/>
      </c>
      <c r="C185" s="14">
        <f>RAND()</f>
        <v/>
      </c>
      <c r="D185" s="17">
        <f>-60/$L$4*LN(1-B185)</f>
        <v/>
      </c>
      <c r="E185" s="17">
        <f>E184+D185</f>
        <v/>
      </c>
      <c r="F185" s="17">
        <f>-60/$L$5*LN(1-C185)</f>
        <v/>
      </c>
      <c r="G185" s="17">
        <f>MAX(E185,H184)</f>
        <v/>
      </c>
      <c r="H185" s="17">
        <f>G185+F185</f>
        <v/>
      </c>
      <c r="I185" s="17">
        <f>G185-E185</f>
        <v/>
      </c>
    </row>
    <row r="186">
      <c r="A186" s="13" t="n">
        <v>182</v>
      </c>
      <c r="B186" s="14">
        <f>RAND()</f>
        <v/>
      </c>
      <c r="C186" s="14">
        <f>RAND()</f>
        <v/>
      </c>
      <c r="D186" s="17">
        <f>-60/$L$4*LN(1-B186)</f>
        <v/>
      </c>
      <c r="E186" s="17">
        <f>E185+D186</f>
        <v/>
      </c>
      <c r="F186" s="17">
        <f>-60/$L$5*LN(1-C186)</f>
        <v/>
      </c>
      <c r="G186" s="17">
        <f>MAX(E186,H185)</f>
        <v/>
      </c>
      <c r="H186" s="17">
        <f>G186+F186</f>
        <v/>
      </c>
      <c r="I186" s="17">
        <f>G186-E186</f>
        <v/>
      </c>
    </row>
    <row r="187">
      <c r="A187" s="13" t="n">
        <v>183</v>
      </c>
      <c r="B187" s="14">
        <f>RAND()</f>
        <v/>
      </c>
      <c r="C187" s="14">
        <f>RAND()</f>
        <v/>
      </c>
      <c r="D187" s="17">
        <f>-60/$L$4*LN(1-B187)</f>
        <v/>
      </c>
      <c r="E187" s="17">
        <f>E186+D187</f>
        <v/>
      </c>
      <c r="F187" s="17">
        <f>-60/$L$5*LN(1-C187)</f>
        <v/>
      </c>
      <c r="G187" s="17">
        <f>MAX(E187,H186)</f>
        <v/>
      </c>
      <c r="H187" s="17">
        <f>G187+F187</f>
        <v/>
      </c>
      <c r="I187" s="17">
        <f>G187-E187</f>
        <v/>
      </c>
    </row>
    <row r="188">
      <c r="A188" s="13" t="n">
        <v>184</v>
      </c>
      <c r="B188" s="14">
        <f>RAND()</f>
        <v/>
      </c>
      <c r="C188" s="14">
        <f>RAND()</f>
        <v/>
      </c>
      <c r="D188" s="17">
        <f>-60/$L$4*LN(1-B188)</f>
        <v/>
      </c>
      <c r="E188" s="17">
        <f>E187+D188</f>
        <v/>
      </c>
      <c r="F188" s="17">
        <f>-60/$L$5*LN(1-C188)</f>
        <v/>
      </c>
      <c r="G188" s="17">
        <f>MAX(E188,H187)</f>
        <v/>
      </c>
      <c r="H188" s="17">
        <f>G188+F188</f>
        <v/>
      </c>
      <c r="I188" s="17">
        <f>G188-E188</f>
        <v/>
      </c>
    </row>
    <row r="189">
      <c r="A189" s="13" t="n">
        <v>185</v>
      </c>
      <c r="B189" s="14">
        <f>RAND()</f>
        <v/>
      </c>
      <c r="C189" s="14">
        <f>RAND()</f>
        <v/>
      </c>
      <c r="D189" s="17">
        <f>-60/$L$4*LN(1-B189)</f>
        <v/>
      </c>
      <c r="E189" s="17">
        <f>E188+D189</f>
        <v/>
      </c>
      <c r="F189" s="17">
        <f>-60/$L$5*LN(1-C189)</f>
        <v/>
      </c>
      <c r="G189" s="17">
        <f>MAX(E189,H188)</f>
        <v/>
      </c>
      <c r="H189" s="17">
        <f>G189+F189</f>
        <v/>
      </c>
      <c r="I189" s="17">
        <f>G189-E189</f>
        <v/>
      </c>
    </row>
    <row r="190">
      <c r="A190" s="13" t="n">
        <v>186</v>
      </c>
      <c r="B190" s="14">
        <f>RAND()</f>
        <v/>
      </c>
      <c r="C190" s="14">
        <f>RAND()</f>
        <v/>
      </c>
      <c r="D190" s="17">
        <f>-60/$L$4*LN(1-B190)</f>
        <v/>
      </c>
      <c r="E190" s="17">
        <f>E189+D190</f>
        <v/>
      </c>
      <c r="F190" s="17">
        <f>-60/$L$5*LN(1-C190)</f>
        <v/>
      </c>
      <c r="G190" s="17">
        <f>MAX(E190,H189)</f>
        <v/>
      </c>
      <c r="H190" s="17">
        <f>G190+F190</f>
        <v/>
      </c>
      <c r="I190" s="17">
        <f>G190-E190</f>
        <v/>
      </c>
    </row>
    <row r="191">
      <c r="A191" s="13" t="n">
        <v>187</v>
      </c>
      <c r="B191" s="14">
        <f>RAND()</f>
        <v/>
      </c>
      <c r="C191" s="14">
        <f>RAND()</f>
        <v/>
      </c>
      <c r="D191" s="17">
        <f>-60/$L$4*LN(1-B191)</f>
        <v/>
      </c>
      <c r="E191" s="17">
        <f>E190+D191</f>
        <v/>
      </c>
      <c r="F191" s="17">
        <f>-60/$L$5*LN(1-C191)</f>
        <v/>
      </c>
      <c r="G191" s="17">
        <f>MAX(E191,H190)</f>
        <v/>
      </c>
      <c r="H191" s="17">
        <f>G191+F191</f>
        <v/>
      </c>
      <c r="I191" s="17">
        <f>G191-E191</f>
        <v/>
      </c>
    </row>
    <row r="192">
      <c r="A192" s="13" t="n">
        <v>188</v>
      </c>
      <c r="B192" s="14">
        <f>RAND()</f>
        <v/>
      </c>
      <c r="C192" s="14">
        <f>RAND()</f>
        <v/>
      </c>
      <c r="D192" s="17">
        <f>-60/$L$4*LN(1-B192)</f>
        <v/>
      </c>
      <c r="E192" s="17">
        <f>E191+D192</f>
        <v/>
      </c>
      <c r="F192" s="17">
        <f>-60/$L$5*LN(1-C192)</f>
        <v/>
      </c>
      <c r="G192" s="17">
        <f>MAX(E192,H191)</f>
        <v/>
      </c>
      <c r="H192" s="17">
        <f>G192+F192</f>
        <v/>
      </c>
      <c r="I192" s="17">
        <f>G192-E192</f>
        <v/>
      </c>
    </row>
    <row r="193">
      <c r="A193" s="13" t="n">
        <v>189</v>
      </c>
      <c r="B193" s="14">
        <f>RAND()</f>
        <v/>
      </c>
      <c r="C193" s="14">
        <f>RAND()</f>
        <v/>
      </c>
      <c r="D193" s="17">
        <f>-60/$L$4*LN(1-B193)</f>
        <v/>
      </c>
      <c r="E193" s="17">
        <f>E192+D193</f>
        <v/>
      </c>
      <c r="F193" s="17">
        <f>-60/$L$5*LN(1-C193)</f>
        <v/>
      </c>
      <c r="G193" s="17">
        <f>MAX(E193,H192)</f>
        <v/>
      </c>
      <c r="H193" s="17">
        <f>G193+F193</f>
        <v/>
      </c>
      <c r="I193" s="17">
        <f>G193-E193</f>
        <v/>
      </c>
    </row>
    <row r="194">
      <c r="A194" s="13" t="n">
        <v>190</v>
      </c>
      <c r="B194" s="14">
        <f>RAND()</f>
        <v/>
      </c>
      <c r="C194" s="14">
        <f>RAND()</f>
        <v/>
      </c>
      <c r="D194" s="17">
        <f>-60/$L$4*LN(1-B194)</f>
        <v/>
      </c>
      <c r="E194" s="17">
        <f>E193+D194</f>
        <v/>
      </c>
      <c r="F194" s="17">
        <f>-60/$L$5*LN(1-C194)</f>
        <v/>
      </c>
      <c r="G194" s="17">
        <f>MAX(E194,H193)</f>
        <v/>
      </c>
      <c r="H194" s="17">
        <f>G194+F194</f>
        <v/>
      </c>
      <c r="I194" s="17">
        <f>G194-E194</f>
        <v/>
      </c>
    </row>
    <row r="195">
      <c r="A195" s="13" t="n">
        <v>191</v>
      </c>
      <c r="B195" s="14">
        <f>RAND()</f>
        <v/>
      </c>
      <c r="C195" s="14">
        <f>RAND()</f>
        <v/>
      </c>
      <c r="D195" s="17">
        <f>-60/$L$4*LN(1-B195)</f>
        <v/>
      </c>
      <c r="E195" s="17">
        <f>E194+D195</f>
        <v/>
      </c>
      <c r="F195" s="17">
        <f>-60/$L$5*LN(1-C195)</f>
        <v/>
      </c>
      <c r="G195" s="17">
        <f>MAX(E195,H194)</f>
        <v/>
      </c>
      <c r="H195" s="17">
        <f>G195+F195</f>
        <v/>
      </c>
      <c r="I195" s="17">
        <f>G195-E195</f>
        <v/>
      </c>
    </row>
    <row r="196">
      <c r="A196" s="13" t="n">
        <v>192</v>
      </c>
      <c r="B196" s="14">
        <f>RAND()</f>
        <v/>
      </c>
      <c r="C196" s="14">
        <f>RAND()</f>
        <v/>
      </c>
      <c r="D196" s="17">
        <f>-60/$L$4*LN(1-B196)</f>
        <v/>
      </c>
      <c r="E196" s="17">
        <f>E195+D196</f>
        <v/>
      </c>
      <c r="F196" s="17">
        <f>-60/$L$5*LN(1-C196)</f>
        <v/>
      </c>
      <c r="G196" s="17">
        <f>MAX(E196,H195)</f>
        <v/>
      </c>
      <c r="H196" s="17">
        <f>G196+F196</f>
        <v/>
      </c>
      <c r="I196" s="17">
        <f>G196-E196</f>
        <v/>
      </c>
    </row>
    <row r="197">
      <c r="A197" s="13" t="n">
        <v>193</v>
      </c>
      <c r="B197" s="14">
        <f>RAND()</f>
        <v/>
      </c>
      <c r="C197" s="14">
        <f>RAND()</f>
        <v/>
      </c>
      <c r="D197" s="17">
        <f>-60/$L$4*LN(1-B197)</f>
        <v/>
      </c>
      <c r="E197" s="17">
        <f>E196+D197</f>
        <v/>
      </c>
      <c r="F197" s="17">
        <f>-60/$L$5*LN(1-C197)</f>
        <v/>
      </c>
      <c r="G197" s="17">
        <f>MAX(E197,H196)</f>
        <v/>
      </c>
      <c r="H197" s="17">
        <f>G197+F197</f>
        <v/>
      </c>
      <c r="I197" s="17">
        <f>G197-E197</f>
        <v/>
      </c>
    </row>
    <row r="198">
      <c r="A198" s="13" t="n">
        <v>194</v>
      </c>
      <c r="B198" s="14">
        <f>RAND()</f>
        <v/>
      </c>
      <c r="C198" s="14">
        <f>RAND()</f>
        <v/>
      </c>
      <c r="D198" s="17">
        <f>-60/$L$4*LN(1-B198)</f>
        <v/>
      </c>
      <c r="E198" s="17">
        <f>E197+D198</f>
        <v/>
      </c>
      <c r="F198" s="17">
        <f>-60/$L$5*LN(1-C198)</f>
        <v/>
      </c>
      <c r="G198" s="17">
        <f>MAX(E198,H197)</f>
        <v/>
      </c>
      <c r="H198" s="17">
        <f>G198+F198</f>
        <v/>
      </c>
      <c r="I198" s="17">
        <f>G198-E198</f>
        <v/>
      </c>
    </row>
    <row r="199">
      <c r="A199" s="13" t="n">
        <v>195</v>
      </c>
      <c r="B199" s="14">
        <f>RAND()</f>
        <v/>
      </c>
      <c r="C199" s="14">
        <f>RAND()</f>
        <v/>
      </c>
      <c r="D199" s="17">
        <f>-60/$L$4*LN(1-B199)</f>
        <v/>
      </c>
      <c r="E199" s="17">
        <f>E198+D199</f>
        <v/>
      </c>
      <c r="F199" s="17">
        <f>-60/$L$5*LN(1-C199)</f>
        <v/>
      </c>
      <c r="G199" s="17">
        <f>MAX(E199,H198)</f>
        <v/>
      </c>
      <c r="H199" s="17">
        <f>G199+F199</f>
        <v/>
      </c>
      <c r="I199" s="17">
        <f>G199-E199</f>
        <v/>
      </c>
    </row>
    <row r="200">
      <c r="A200" s="13" t="n">
        <v>196</v>
      </c>
      <c r="B200" s="14">
        <f>RAND()</f>
        <v/>
      </c>
      <c r="C200" s="14">
        <f>RAND()</f>
        <v/>
      </c>
      <c r="D200" s="17">
        <f>-60/$L$4*LN(1-B200)</f>
        <v/>
      </c>
      <c r="E200" s="17">
        <f>E199+D200</f>
        <v/>
      </c>
      <c r="F200" s="17">
        <f>-60/$L$5*LN(1-C200)</f>
        <v/>
      </c>
      <c r="G200" s="17">
        <f>MAX(E200,H199)</f>
        <v/>
      </c>
      <c r="H200" s="17">
        <f>G200+F200</f>
        <v/>
      </c>
      <c r="I200" s="17">
        <f>G200-E200</f>
        <v/>
      </c>
    </row>
    <row r="201">
      <c r="A201" s="13" t="n">
        <v>197</v>
      </c>
      <c r="B201" s="14">
        <f>RAND()</f>
        <v/>
      </c>
      <c r="C201" s="14">
        <f>RAND()</f>
        <v/>
      </c>
      <c r="D201" s="17">
        <f>-60/$L$4*LN(1-B201)</f>
        <v/>
      </c>
      <c r="E201" s="17">
        <f>E200+D201</f>
        <v/>
      </c>
      <c r="F201" s="17">
        <f>-60/$L$5*LN(1-C201)</f>
        <v/>
      </c>
      <c r="G201" s="17">
        <f>MAX(E201,H200)</f>
        <v/>
      </c>
      <c r="H201" s="17">
        <f>G201+F201</f>
        <v/>
      </c>
      <c r="I201" s="17">
        <f>G201-E201</f>
        <v/>
      </c>
    </row>
    <row r="202">
      <c r="A202" s="13" t="n">
        <v>198</v>
      </c>
      <c r="B202" s="14">
        <f>RAND()</f>
        <v/>
      </c>
      <c r="C202" s="14">
        <f>RAND()</f>
        <v/>
      </c>
      <c r="D202" s="17">
        <f>-60/$L$4*LN(1-B202)</f>
        <v/>
      </c>
      <c r="E202" s="17">
        <f>E201+D202</f>
        <v/>
      </c>
      <c r="F202" s="17">
        <f>-60/$L$5*LN(1-C202)</f>
        <v/>
      </c>
      <c r="G202" s="17">
        <f>MAX(E202,H201)</f>
        <v/>
      </c>
      <c r="H202" s="17">
        <f>G202+F202</f>
        <v/>
      </c>
      <c r="I202" s="17">
        <f>G202-E202</f>
        <v/>
      </c>
    </row>
    <row r="203">
      <c r="A203" s="13" t="n">
        <v>199</v>
      </c>
      <c r="B203" s="14">
        <f>RAND()</f>
        <v/>
      </c>
      <c r="C203" s="14">
        <f>RAND()</f>
        <v/>
      </c>
      <c r="D203" s="17">
        <f>-60/$L$4*LN(1-B203)</f>
        <v/>
      </c>
      <c r="E203" s="17">
        <f>E202+D203</f>
        <v/>
      </c>
      <c r="F203" s="17">
        <f>-60/$L$5*LN(1-C203)</f>
        <v/>
      </c>
      <c r="G203" s="17">
        <f>MAX(E203,H202)</f>
        <v/>
      </c>
      <c r="H203" s="17">
        <f>G203+F203</f>
        <v/>
      </c>
      <c r="I203" s="17">
        <f>G203-E203</f>
        <v/>
      </c>
    </row>
    <row r="204">
      <c r="A204" s="13" t="n">
        <v>200</v>
      </c>
      <c r="B204" s="14">
        <f>RAND()</f>
        <v/>
      </c>
      <c r="C204" s="14">
        <f>RAND()</f>
        <v/>
      </c>
      <c r="D204" s="17">
        <f>-60/$L$4*LN(1-B204)</f>
        <v/>
      </c>
      <c r="E204" s="17">
        <f>E203+D204</f>
        <v/>
      </c>
      <c r="F204" s="17">
        <f>-60/$L$5*LN(1-C204)</f>
        <v/>
      </c>
      <c r="G204" s="17">
        <f>MAX(E204,H203)</f>
        <v/>
      </c>
      <c r="H204" s="17">
        <f>G204+F204</f>
        <v/>
      </c>
      <c r="I204" s="17">
        <f>G204-E204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9" customWidth="1" min="4" max="4"/>
    <col width="10" customWidth="1" min="5" max="5"/>
    <col width="9" customWidth="1" min="6" max="6"/>
    <col width="10" customWidth="1" min="7" max="7"/>
    <col width="11" customWidth="1" min="8" max="8"/>
    <col width="8" customWidth="1" min="9" max="9"/>
    <col width="9" customWidth="1" min="10" max="10"/>
    <col width="7" customWidth="1" min="11" max="11"/>
    <col width="11" customWidth="1" min="12" max="12"/>
    <col width="4" customWidth="1" min="13" max="13"/>
    <col width="26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Inventario con política (Q, R)</t>
        </is>
      </c>
    </row>
    <row r="2">
      <c r="A2" s="2" t="inlineStr">
        <is>
          <t>Cuando el inventario final ≤ R y no hay pedido en camino, se piden Q unidades. Llegan al inicio del día (hoy + tiempo de entrega + 1).</t>
        </is>
      </c>
    </row>
    <row r="4">
      <c r="A4" s="10" t="inlineStr">
        <is>
          <t>Día</t>
        </is>
      </c>
      <c r="B4" s="10" t="inlineStr">
        <is>
          <t>Recibe</t>
        </is>
      </c>
      <c r="C4" s="10" t="inlineStr">
        <is>
          <t>Inv. inicial</t>
        </is>
      </c>
      <c r="D4" s="10" t="inlineStr">
        <is>
          <t>r demanda</t>
        </is>
      </c>
      <c r="E4" s="10" t="inlineStr">
        <is>
          <t>Demanda</t>
        </is>
      </c>
      <c r="F4" s="10" t="inlineStr">
        <is>
          <t>Vende</t>
        </is>
      </c>
      <c r="G4" s="10" t="inlineStr">
        <is>
          <t>Faltante</t>
        </is>
      </c>
      <c r="H4" s="10" t="inlineStr">
        <is>
          <t>Inv. final</t>
        </is>
      </c>
      <c r="I4" s="10" t="inlineStr">
        <is>
          <t>¿Pide?</t>
        </is>
      </c>
      <c r="J4" s="10" t="inlineStr">
        <is>
          <t>r entrega</t>
        </is>
      </c>
      <c r="K4" s="10" t="inlineStr">
        <is>
          <t>Días</t>
        </is>
      </c>
      <c r="L4" s="10" t="inlineStr">
        <is>
          <t>Llega el día</t>
        </is>
      </c>
      <c r="M4" s="26" t="inlineStr">
        <is>
          <t>R</t>
        </is>
      </c>
      <c r="N4" s="11" t="inlineStr">
        <is>
          <t>Q (cantidad a pedir)</t>
        </is>
      </c>
      <c r="O4" s="12" t="n">
        <v>60</v>
      </c>
    </row>
    <row r="5">
      <c r="A5" s="13" t="n">
        <v>1</v>
      </c>
      <c r="B5" s="13">
        <f>IF(0=A5,$O$4,0)</f>
        <v/>
      </c>
      <c r="C5" s="13">
        <f>$O$6+B5</f>
        <v/>
      </c>
      <c r="D5" s="16">
        <f>RAND()</f>
        <v/>
      </c>
      <c r="E5" s="13">
        <f>INDEX($N$12:$N$16,MATCH(D5,$P$12:$P$16,1))</f>
        <v/>
      </c>
      <c r="F5" s="13">
        <f>MIN(C5,E5)</f>
        <v/>
      </c>
      <c r="G5" s="13">
        <f>E5-F5</f>
        <v/>
      </c>
      <c r="H5" s="13">
        <f>C5-F5</f>
        <v/>
      </c>
      <c r="I5" s="13">
        <f>IF(AND(H5&lt;=$O$5,0&lt;=A5),1,0)</f>
        <v/>
      </c>
      <c r="J5" s="16">
        <f>RAND()</f>
        <v/>
      </c>
      <c r="K5" s="13">
        <f>INDEX($N$19:$N$21,MATCH(J5,$P$19:$P$21,1))</f>
        <v/>
      </c>
      <c r="L5" s="13">
        <f>IF(I5=1,A5+K5+1,0)</f>
        <v/>
      </c>
      <c r="M5" s="27">
        <f>$O$5</f>
        <v/>
      </c>
      <c r="N5" s="11" t="inlineStr">
        <is>
          <t>R (punto de reorden)</t>
        </is>
      </c>
      <c r="O5" s="12" t="n">
        <v>25</v>
      </c>
    </row>
    <row r="6">
      <c r="A6" s="13" t="n">
        <v>2</v>
      </c>
      <c r="B6" s="13">
        <f>IF(L5=A6,$O$4,0)</f>
        <v/>
      </c>
      <c r="C6" s="13">
        <f>H5+B6</f>
        <v/>
      </c>
      <c r="D6" s="16">
        <f>RAND()</f>
        <v/>
      </c>
      <c r="E6" s="13">
        <f>INDEX($N$12:$N$16,MATCH(D6,$P$12:$P$16,1))</f>
        <v/>
      </c>
      <c r="F6" s="13">
        <f>MIN(C6,E6)</f>
        <v/>
      </c>
      <c r="G6" s="13">
        <f>E6-F6</f>
        <v/>
      </c>
      <c r="H6" s="13">
        <f>C6-F6</f>
        <v/>
      </c>
      <c r="I6" s="13">
        <f>IF(AND(H6&lt;=$O$5,L5&lt;=A6),1,0)</f>
        <v/>
      </c>
      <c r="J6" s="16">
        <f>RAND()</f>
        <v/>
      </c>
      <c r="K6" s="13">
        <f>INDEX($N$19:$N$21,MATCH(J6,$P$19:$P$21,1))</f>
        <v/>
      </c>
      <c r="L6" s="13">
        <f>IF(I6=1,A6+K6+1,L5)</f>
        <v/>
      </c>
      <c r="M6" s="27">
        <f>$O$5</f>
        <v/>
      </c>
      <c r="N6" s="11" t="inlineStr">
        <is>
          <t>Inventario inicial</t>
        </is>
      </c>
      <c r="O6" s="12" t="n">
        <v>50</v>
      </c>
    </row>
    <row r="7">
      <c r="A7" s="13" t="n">
        <v>3</v>
      </c>
      <c r="B7" s="13">
        <f>IF(L6=A7,$O$4,0)</f>
        <v/>
      </c>
      <c r="C7" s="13">
        <f>H6+B7</f>
        <v/>
      </c>
      <c r="D7" s="16">
        <f>RAND()</f>
        <v/>
      </c>
      <c r="E7" s="13">
        <f>INDEX($N$12:$N$16,MATCH(D7,$P$12:$P$16,1))</f>
        <v/>
      </c>
      <c r="F7" s="13">
        <f>MIN(C7,E7)</f>
        <v/>
      </c>
      <c r="G7" s="13">
        <f>E7-F7</f>
        <v/>
      </c>
      <c r="H7" s="13">
        <f>C7-F7</f>
        <v/>
      </c>
      <c r="I7" s="13">
        <f>IF(AND(H7&lt;=$O$5,L6&lt;=A7),1,0)</f>
        <v/>
      </c>
      <c r="J7" s="16">
        <f>RAND()</f>
        <v/>
      </c>
      <c r="K7" s="13">
        <f>INDEX($N$19:$N$21,MATCH(J7,$P$19:$P$21,1))</f>
        <v/>
      </c>
      <c r="L7" s="13">
        <f>IF(I7=1,A7+K7+1,L6)</f>
        <v/>
      </c>
      <c r="M7" s="27">
        <f>$O$5</f>
        <v/>
      </c>
      <c r="N7" s="11" t="inlineStr">
        <is>
          <t>K: costo por pedido ($)</t>
        </is>
      </c>
      <c r="O7" s="12" t="n">
        <v>100</v>
      </c>
    </row>
    <row r="8">
      <c r="A8" s="13" t="n">
        <v>4</v>
      </c>
      <c r="B8" s="13">
        <f>IF(L7=A8,$O$4,0)</f>
        <v/>
      </c>
      <c r="C8" s="13">
        <f>H7+B8</f>
        <v/>
      </c>
      <c r="D8" s="16">
        <f>RAND()</f>
        <v/>
      </c>
      <c r="E8" s="13">
        <f>INDEX($N$12:$N$16,MATCH(D8,$P$12:$P$16,1))</f>
        <v/>
      </c>
      <c r="F8" s="13">
        <f>MIN(C8,E8)</f>
        <v/>
      </c>
      <c r="G8" s="13">
        <f>E8-F8</f>
        <v/>
      </c>
      <c r="H8" s="13">
        <f>C8-F8</f>
        <v/>
      </c>
      <c r="I8" s="13">
        <f>IF(AND(H8&lt;=$O$5,L7&lt;=A8),1,0)</f>
        <v/>
      </c>
      <c r="J8" s="16">
        <f>RAND()</f>
        <v/>
      </c>
      <c r="K8" s="13">
        <f>INDEX($N$19:$N$21,MATCH(J8,$P$19:$P$21,1))</f>
        <v/>
      </c>
      <c r="L8" s="13">
        <f>IF(I8=1,A8+K8+1,L7)</f>
        <v/>
      </c>
      <c r="M8" s="27">
        <f>$O$5</f>
        <v/>
      </c>
      <c r="N8" s="11" t="inlineStr">
        <is>
          <t>h: costo de mantener por unidad-día ($)</t>
        </is>
      </c>
      <c r="O8" s="12" t="n">
        <v>1</v>
      </c>
    </row>
    <row r="9">
      <c r="A9" s="13" t="n">
        <v>5</v>
      </c>
      <c r="B9" s="13">
        <f>IF(L8=A9,$O$4,0)</f>
        <v/>
      </c>
      <c r="C9" s="13">
        <f>H8+B9</f>
        <v/>
      </c>
      <c r="D9" s="16">
        <f>RAND()</f>
        <v/>
      </c>
      <c r="E9" s="13">
        <f>INDEX($N$12:$N$16,MATCH(D9,$P$12:$P$16,1))</f>
        <v/>
      </c>
      <c r="F9" s="13">
        <f>MIN(C9,E9)</f>
        <v/>
      </c>
      <c r="G9" s="13">
        <f>E9-F9</f>
        <v/>
      </c>
      <c r="H9" s="13">
        <f>C9-F9</f>
        <v/>
      </c>
      <c r="I9" s="13">
        <f>IF(AND(H9&lt;=$O$5,L8&lt;=A9),1,0)</f>
        <v/>
      </c>
      <c r="J9" s="16">
        <f>RAND()</f>
        <v/>
      </c>
      <c r="K9" s="13">
        <f>INDEX($N$19:$N$21,MATCH(J9,$P$19:$P$21,1))</f>
        <v/>
      </c>
      <c r="L9" s="13">
        <f>IF(I9=1,A9+K9+1,L8)</f>
        <v/>
      </c>
      <c r="M9" s="27">
        <f>$O$5</f>
        <v/>
      </c>
      <c r="N9" s="11" t="inlineStr">
        <is>
          <t>Costo por unidad faltante ($)</t>
        </is>
      </c>
      <c r="O9" s="12" t="n">
        <v>5</v>
      </c>
    </row>
    <row r="10">
      <c r="A10" s="13" t="n">
        <v>6</v>
      </c>
      <c r="B10" s="13">
        <f>IF(L9=A10,$O$4,0)</f>
        <v/>
      </c>
      <c r="C10" s="13">
        <f>H9+B10</f>
        <v/>
      </c>
      <c r="D10" s="16">
        <f>RAND()</f>
        <v/>
      </c>
      <c r="E10" s="13">
        <f>INDEX($N$12:$N$16,MATCH(D10,$P$12:$P$16,1))</f>
        <v/>
      </c>
      <c r="F10" s="13">
        <f>MIN(C10,E10)</f>
        <v/>
      </c>
      <c r="G10" s="13">
        <f>E10-F10</f>
        <v/>
      </c>
      <c r="H10" s="13">
        <f>C10-F10</f>
        <v/>
      </c>
      <c r="I10" s="13">
        <f>IF(AND(H10&lt;=$O$5,L9&lt;=A10),1,0)</f>
        <v/>
      </c>
      <c r="J10" s="16">
        <f>RAND()</f>
        <v/>
      </c>
      <c r="K10" s="13">
        <f>INDEX($N$19:$N$21,MATCH(J10,$P$19:$P$21,1))</f>
        <v/>
      </c>
      <c r="L10" s="13">
        <f>IF(I10=1,A10+K10+1,L9)</f>
        <v/>
      </c>
      <c r="M10" s="27">
        <f>$O$5</f>
        <v/>
      </c>
    </row>
    <row r="11">
      <c r="A11" s="13" t="n">
        <v>7</v>
      </c>
      <c r="B11" s="13">
        <f>IF(L10=A11,$O$4,0)</f>
        <v/>
      </c>
      <c r="C11" s="13">
        <f>H10+B11</f>
        <v/>
      </c>
      <c r="D11" s="16">
        <f>RAND()</f>
        <v/>
      </c>
      <c r="E11" s="13">
        <f>INDEX($N$12:$N$16,MATCH(D11,$P$12:$P$16,1))</f>
        <v/>
      </c>
      <c r="F11" s="13">
        <f>MIN(C11,E11)</f>
        <v/>
      </c>
      <c r="G11" s="13">
        <f>E11-F11</f>
        <v/>
      </c>
      <c r="H11" s="13">
        <f>C11-F11</f>
        <v/>
      </c>
      <c r="I11" s="13">
        <f>IF(AND(H11&lt;=$O$5,L10&lt;=A11),1,0)</f>
        <v/>
      </c>
      <c r="J11" s="16">
        <f>RAND()</f>
        <v/>
      </c>
      <c r="K11" s="13">
        <f>INDEX($N$19:$N$21,MATCH(J11,$P$19:$P$21,1))</f>
        <v/>
      </c>
      <c r="L11" s="13">
        <f>IF(I11=1,A11+K11+1,L10)</f>
        <v/>
      </c>
      <c r="M11" s="27">
        <f>$O$5</f>
        <v/>
      </c>
      <c r="N11" s="10" t="inlineStr">
        <is>
          <t>Demanda</t>
        </is>
      </c>
      <c r="O11" s="10" t="inlineStr">
        <is>
          <t>p</t>
        </is>
      </c>
      <c r="P11" s="10" t="inlineStr">
        <is>
          <t>Límite inferior de r</t>
        </is>
      </c>
    </row>
    <row r="12">
      <c r="A12" s="13" t="n">
        <v>8</v>
      </c>
      <c r="B12" s="13">
        <f>IF(L11=A12,$O$4,0)</f>
        <v/>
      </c>
      <c r="C12" s="13">
        <f>H11+B12</f>
        <v/>
      </c>
      <c r="D12" s="16">
        <f>RAND()</f>
        <v/>
      </c>
      <c r="E12" s="13">
        <f>INDEX($N$12:$N$16,MATCH(D12,$P$12:$P$16,1))</f>
        <v/>
      </c>
      <c r="F12" s="13">
        <f>MIN(C12,E12)</f>
        <v/>
      </c>
      <c r="G12" s="13">
        <f>E12-F12</f>
        <v/>
      </c>
      <c r="H12" s="13">
        <f>C12-F12</f>
        <v/>
      </c>
      <c r="I12" s="13">
        <f>IF(AND(H12&lt;=$O$5,L11&lt;=A12),1,0)</f>
        <v/>
      </c>
      <c r="J12" s="16">
        <f>RAND()</f>
        <v/>
      </c>
      <c r="K12" s="13">
        <f>INDEX($N$19:$N$21,MATCH(J12,$P$19:$P$21,1))</f>
        <v/>
      </c>
      <c r="L12" s="13">
        <f>IF(I12=1,A12+K12+1,L11)</f>
        <v/>
      </c>
      <c r="M12" s="27">
        <f>$O$5</f>
        <v/>
      </c>
      <c r="N12" s="12" t="n">
        <v>6</v>
      </c>
      <c r="O12" s="18" t="n">
        <v>0.1</v>
      </c>
      <c r="P12" s="17" t="n">
        <v>0</v>
      </c>
    </row>
    <row r="13">
      <c r="A13" s="13" t="n">
        <v>9</v>
      </c>
      <c r="B13" s="13">
        <f>IF(L12=A13,$O$4,0)</f>
        <v/>
      </c>
      <c r="C13" s="13">
        <f>H12+B13</f>
        <v/>
      </c>
      <c r="D13" s="16">
        <f>RAND()</f>
        <v/>
      </c>
      <c r="E13" s="13">
        <f>INDEX($N$12:$N$16,MATCH(D13,$P$12:$P$16,1))</f>
        <v/>
      </c>
      <c r="F13" s="13">
        <f>MIN(C13,E13)</f>
        <v/>
      </c>
      <c r="G13" s="13">
        <f>E13-F13</f>
        <v/>
      </c>
      <c r="H13" s="13">
        <f>C13-F13</f>
        <v/>
      </c>
      <c r="I13" s="13">
        <f>IF(AND(H13&lt;=$O$5,L12&lt;=A13),1,0)</f>
        <v/>
      </c>
      <c r="J13" s="16">
        <f>RAND()</f>
        <v/>
      </c>
      <c r="K13" s="13">
        <f>INDEX($N$19:$N$21,MATCH(J13,$P$19:$P$21,1))</f>
        <v/>
      </c>
      <c r="L13" s="13">
        <f>IF(I13=1,A13+K13+1,L12)</f>
        <v/>
      </c>
      <c r="M13" s="27">
        <f>$O$5</f>
        <v/>
      </c>
      <c r="N13" s="12" t="n">
        <v>8</v>
      </c>
      <c r="O13" s="18" t="n">
        <v>0.25</v>
      </c>
      <c r="P13" s="17">
        <f>P12+O12</f>
        <v/>
      </c>
    </row>
    <row r="14">
      <c r="A14" s="13" t="n">
        <v>10</v>
      </c>
      <c r="B14" s="13">
        <f>IF(L13=A14,$O$4,0)</f>
        <v/>
      </c>
      <c r="C14" s="13">
        <f>H13+B14</f>
        <v/>
      </c>
      <c r="D14" s="16">
        <f>RAND()</f>
        <v/>
      </c>
      <c r="E14" s="13">
        <f>INDEX($N$12:$N$16,MATCH(D14,$P$12:$P$16,1))</f>
        <v/>
      </c>
      <c r="F14" s="13">
        <f>MIN(C14,E14)</f>
        <v/>
      </c>
      <c r="G14" s="13">
        <f>E14-F14</f>
        <v/>
      </c>
      <c r="H14" s="13">
        <f>C14-F14</f>
        <v/>
      </c>
      <c r="I14" s="13">
        <f>IF(AND(H14&lt;=$O$5,L13&lt;=A14),1,0)</f>
        <v/>
      </c>
      <c r="J14" s="16">
        <f>RAND()</f>
        <v/>
      </c>
      <c r="K14" s="13">
        <f>INDEX($N$19:$N$21,MATCH(J14,$P$19:$P$21,1))</f>
        <v/>
      </c>
      <c r="L14" s="13">
        <f>IF(I14=1,A14+K14+1,L13)</f>
        <v/>
      </c>
      <c r="M14" s="27">
        <f>$O$5</f>
        <v/>
      </c>
      <c r="N14" s="12" t="n">
        <v>10</v>
      </c>
      <c r="O14" s="18" t="n">
        <v>0.35</v>
      </c>
      <c r="P14" s="17">
        <f>P13+O13</f>
        <v/>
      </c>
    </row>
    <row r="15">
      <c r="A15" s="13" t="n">
        <v>11</v>
      </c>
      <c r="B15" s="13">
        <f>IF(L14=A15,$O$4,0)</f>
        <v/>
      </c>
      <c r="C15" s="13">
        <f>H14+B15</f>
        <v/>
      </c>
      <c r="D15" s="16">
        <f>RAND()</f>
        <v/>
      </c>
      <c r="E15" s="13">
        <f>INDEX($N$12:$N$16,MATCH(D15,$P$12:$P$16,1))</f>
        <v/>
      </c>
      <c r="F15" s="13">
        <f>MIN(C15,E15)</f>
        <v/>
      </c>
      <c r="G15" s="13">
        <f>E15-F15</f>
        <v/>
      </c>
      <c r="H15" s="13">
        <f>C15-F15</f>
        <v/>
      </c>
      <c r="I15" s="13">
        <f>IF(AND(H15&lt;=$O$5,L14&lt;=A15),1,0)</f>
        <v/>
      </c>
      <c r="J15" s="16">
        <f>RAND()</f>
        <v/>
      </c>
      <c r="K15" s="13">
        <f>INDEX($N$19:$N$21,MATCH(J15,$P$19:$P$21,1))</f>
        <v/>
      </c>
      <c r="L15" s="13">
        <f>IF(I15=1,A15+K15+1,L14)</f>
        <v/>
      </c>
      <c r="M15" s="27">
        <f>$O$5</f>
        <v/>
      </c>
      <c r="N15" s="12" t="n">
        <v>12</v>
      </c>
      <c r="O15" s="18" t="n">
        <v>0.2</v>
      </c>
      <c r="P15" s="17">
        <f>P14+O14</f>
        <v/>
      </c>
    </row>
    <row r="16">
      <c r="A16" s="13" t="n">
        <v>12</v>
      </c>
      <c r="B16" s="13">
        <f>IF(L15=A16,$O$4,0)</f>
        <v/>
      </c>
      <c r="C16" s="13">
        <f>H15+B16</f>
        <v/>
      </c>
      <c r="D16" s="16">
        <f>RAND()</f>
        <v/>
      </c>
      <c r="E16" s="13">
        <f>INDEX($N$12:$N$16,MATCH(D16,$P$12:$P$16,1))</f>
        <v/>
      </c>
      <c r="F16" s="13">
        <f>MIN(C16,E16)</f>
        <v/>
      </c>
      <c r="G16" s="13">
        <f>E16-F16</f>
        <v/>
      </c>
      <c r="H16" s="13">
        <f>C16-F16</f>
        <v/>
      </c>
      <c r="I16" s="13">
        <f>IF(AND(H16&lt;=$O$5,L15&lt;=A16),1,0)</f>
        <v/>
      </c>
      <c r="J16" s="16">
        <f>RAND()</f>
        <v/>
      </c>
      <c r="K16" s="13">
        <f>INDEX($N$19:$N$21,MATCH(J16,$P$19:$P$21,1))</f>
        <v/>
      </c>
      <c r="L16" s="13">
        <f>IF(I16=1,A16+K16+1,L15)</f>
        <v/>
      </c>
      <c r="M16" s="27">
        <f>$O$5</f>
        <v/>
      </c>
      <c r="N16" s="12" t="n">
        <v>14</v>
      </c>
      <c r="O16" s="18" t="n">
        <v>0.1</v>
      </c>
      <c r="P16" s="17">
        <f>P15+O15</f>
        <v/>
      </c>
    </row>
    <row r="17">
      <c r="A17" s="13" t="n">
        <v>13</v>
      </c>
      <c r="B17" s="13">
        <f>IF(L16=A17,$O$4,0)</f>
        <v/>
      </c>
      <c r="C17" s="13">
        <f>H16+B17</f>
        <v/>
      </c>
      <c r="D17" s="16">
        <f>RAND()</f>
        <v/>
      </c>
      <c r="E17" s="13">
        <f>INDEX($N$12:$N$16,MATCH(D17,$P$12:$P$16,1))</f>
        <v/>
      </c>
      <c r="F17" s="13">
        <f>MIN(C17,E17)</f>
        <v/>
      </c>
      <c r="G17" s="13">
        <f>E17-F17</f>
        <v/>
      </c>
      <c r="H17" s="13">
        <f>C17-F17</f>
        <v/>
      </c>
      <c r="I17" s="13">
        <f>IF(AND(H17&lt;=$O$5,L16&lt;=A17),1,0)</f>
        <v/>
      </c>
      <c r="J17" s="16">
        <f>RAND()</f>
        <v/>
      </c>
      <c r="K17" s="13">
        <f>INDEX($N$19:$N$21,MATCH(J17,$P$19:$P$21,1))</f>
        <v/>
      </c>
      <c r="L17" s="13">
        <f>IF(I17=1,A17+K17+1,L16)</f>
        <v/>
      </c>
      <c r="M17" s="27">
        <f>$O$5</f>
        <v/>
      </c>
    </row>
    <row r="18">
      <c r="A18" s="13" t="n">
        <v>14</v>
      </c>
      <c r="B18" s="13">
        <f>IF(L17=A18,$O$4,0)</f>
        <v/>
      </c>
      <c r="C18" s="13">
        <f>H17+B18</f>
        <v/>
      </c>
      <c r="D18" s="16">
        <f>RAND()</f>
        <v/>
      </c>
      <c r="E18" s="13">
        <f>INDEX($N$12:$N$16,MATCH(D18,$P$12:$P$16,1))</f>
        <v/>
      </c>
      <c r="F18" s="13">
        <f>MIN(C18,E18)</f>
        <v/>
      </c>
      <c r="G18" s="13">
        <f>E18-F18</f>
        <v/>
      </c>
      <c r="H18" s="13">
        <f>C18-F18</f>
        <v/>
      </c>
      <c r="I18" s="13">
        <f>IF(AND(H18&lt;=$O$5,L17&lt;=A18),1,0)</f>
        <v/>
      </c>
      <c r="J18" s="16">
        <f>RAND()</f>
        <v/>
      </c>
      <c r="K18" s="13">
        <f>INDEX($N$19:$N$21,MATCH(J18,$P$19:$P$21,1))</f>
        <v/>
      </c>
      <c r="L18" s="13">
        <f>IF(I18=1,A18+K18+1,L17)</f>
        <v/>
      </c>
      <c r="M18" s="27">
        <f>$O$5</f>
        <v/>
      </c>
      <c r="N18" s="10" t="inlineStr">
        <is>
          <t>Entrega (días)</t>
        </is>
      </c>
      <c r="O18" s="10" t="inlineStr">
        <is>
          <t>p</t>
        </is>
      </c>
      <c r="P18" s="10" t="inlineStr">
        <is>
          <t>Límite inferior de r</t>
        </is>
      </c>
    </row>
    <row r="19">
      <c r="A19" s="13" t="n">
        <v>15</v>
      </c>
      <c r="B19" s="13">
        <f>IF(L18=A19,$O$4,0)</f>
        <v/>
      </c>
      <c r="C19" s="13">
        <f>H18+B19</f>
        <v/>
      </c>
      <c r="D19" s="16">
        <f>RAND()</f>
        <v/>
      </c>
      <c r="E19" s="13">
        <f>INDEX($N$12:$N$16,MATCH(D19,$P$12:$P$16,1))</f>
        <v/>
      </c>
      <c r="F19" s="13">
        <f>MIN(C19,E19)</f>
        <v/>
      </c>
      <c r="G19" s="13">
        <f>E19-F19</f>
        <v/>
      </c>
      <c r="H19" s="13">
        <f>C19-F19</f>
        <v/>
      </c>
      <c r="I19" s="13">
        <f>IF(AND(H19&lt;=$O$5,L18&lt;=A19),1,0)</f>
        <v/>
      </c>
      <c r="J19" s="16">
        <f>RAND()</f>
        <v/>
      </c>
      <c r="K19" s="13">
        <f>INDEX($N$19:$N$21,MATCH(J19,$P$19:$P$21,1))</f>
        <v/>
      </c>
      <c r="L19" s="13">
        <f>IF(I19=1,A19+K19+1,L18)</f>
        <v/>
      </c>
      <c r="M19" s="27">
        <f>$O$5</f>
        <v/>
      </c>
      <c r="N19" s="12" t="n">
        <v>1</v>
      </c>
      <c r="O19" s="18" t="n">
        <v>0.3</v>
      </c>
      <c r="P19" s="17" t="n">
        <v>0</v>
      </c>
    </row>
    <row r="20">
      <c r="A20" s="13" t="n">
        <v>16</v>
      </c>
      <c r="B20" s="13">
        <f>IF(L19=A20,$O$4,0)</f>
        <v/>
      </c>
      <c r="C20" s="13">
        <f>H19+B20</f>
        <v/>
      </c>
      <c r="D20" s="16">
        <f>RAND()</f>
        <v/>
      </c>
      <c r="E20" s="13">
        <f>INDEX($N$12:$N$16,MATCH(D20,$P$12:$P$16,1))</f>
        <v/>
      </c>
      <c r="F20" s="13">
        <f>MIN(C20,E20)</f>
        <v/>
      </c>
      <c r="G20" s="13">
        <f>E20-F20</f>
        <v/>
      </c>
      <c r="H20" s="13">
        <f>C20-F20</f>
        <v/>
      </c>
      <c r="I20" s="13">
        <f>IF(AND(H20&lt;=$O$5,L19&lt;=A20),1,0)</f>
        <v/>
      </c>
      <c r="J20" s="16">
        <f>RAND()</f>
        <v/>
      </c>
      <c r="K20" s="13">
        <f>INDEX($N$19:$N$21,MATCH(J20,$P$19:$P$21,1))</f>
        <v/>
      </c>
      <c r="L20" s="13">
        <f>IF(I20=1,A20+K20+1,L19)</f>
        <v/>
      </c>
      <c r="M20" s="27">
        <f>$O$5</f>
        <v/>
      </c>
      <c r="N20" s="12" t="n">
        <v>2</v>
      </c>
      <c r="O20" s="18" t="n">
        <v>0.5</v>
      </c>
      <c r="P20" s="17">
        <f>P19+O19</f>
        <v/>
      </c>
    </row>
    <row r="21">
      <c r="A21" s="13" t="n">
        <v>17</v>
      </c>
      <c r="B21" s="13">
        <f>IF(L20=A21,$O$4,0)</f>
        <v/>
      </c>
      <c r="C21" s="13">
        <f>H20+B21</f>
        <v/>
      </c>
      <c r="D21" s="16">
        <f>RAND()</f>
        <v/>
      </c>
      <c r="E21" s="13">
        <f>INDEX($N$12:$N$16,MATCH(D21,$P$12:$P$16,1))</f>
        <v/>
      </c>
      <c r="F21" s="13">
        <f>MIN(C21,E21)</f>
        <v/>
      </c>
      <c r="G21" s="13">
        <f>E21-F21</f>
        <v/>
      </c>
      <c r="H21" s="13">
        <f>C21-F21</f>
        <v/>
      </c>
      <c r="I21" s="13">
        <f>IF(AND(H21&lt;=$O$5,L20&lt;=A21),1,0)</f>
        <v/>
      </c>
      <c r="J21" s="16">
        <f>RAND()</f>
        <v/>
      </c>
      <c r="K21" s="13">
        <f>INDEX($N$19:$N$21,MATCH(J21,$P$19:$P$21,1))</f>
        <v/>
      </c>
      <c r="L21" s="13">
        <f>IF(I21=1,A21+K21+1,L20)</f>
        <v/>
      </c>
      <c r="M21" s="27">
        <f>$O$5</f>
        <v/>
      </c>
      <c r="N21" s="12" t="n">
        <v>3</v>
      </c>
      <c r="O21" s="18" t="n">
        <v>0.2</v>
      </c>
      <c r="P21" s="17">
        <f>P20+O20</f>
        <v/>
      </c>
    </row>
    <row r="22">
      <c r="A22" s="13" t="n">
        <v>18</v>
      </c>
      <c r="B22" s="13">
        <f>IF(L21=A22,$O$4,0)</f>
        <v/>
      </c>
      <c r="C22" s="13">
        <f>H21+B22</f>
        <v/>
      </c>
      <c r="D22" s="16">
        <f>RAND()</f>
        <v/>
      </c>
      <c r="E22" s="13">
        <f>INDEX($N$12:$N$16,MATCH(D22,$P$12:$P$16,1))</f>
        <v/>
      </c>
      <c r="F22" s="13">
        <f>MIN(C22,E22)</f>
        <v/>
      </c>
      <c r="G22" s="13">
        <f>E22-F22</f>
        <v/>
      </c>
      <c r="H22" s="13">
        <f>C22-F22</f>
        <v/>
      </c>
      <c r="I22" s="13">
        <f>IF(AND(H22&lt;=$O$5,L21&lt;=A22),1,0)</f>
        <v/>
      </c>
      <c r="J22" s="16">
        <f>RAND()</f>
        <v/>
      </c>
      <c r="K22" s="13">
        <f>INDEX($N$19:$N$21,MATCH(J22,$P$19:$P$21,1))</f>
        <v/>
      </c>
      <c r="L22" s="13">
        <f>IF(I22=1,A22+K22+1,L21)</f>
        <v/>
      </c>
      <c r="M22" s="27">
        <f>$O$5</f>
        <v/>
      </c>
    </row>
    <row r="23">
      <c r="A23" s="13" t="n">
        <v>19</v>
      </c>
      <c r="B23" s="13">
        <f>IF(L22=A23,$O$4,0)</f>
        <v/>
      </c>
      <c r="C23" s="13">
        <f>H22+B23</f>
        <v/>
      </c>
      <c r="D23" s="16">
        <f>RAND()</f>
        <v/>
      </c>
      <c r="E23" s="13">
        <f>INDEX($N$12:$N$16,MATCH(D23,$P$12:$P$16,1))</f>
        <v/>
      </c>
      <c r="F23" s="13">
        <f>MIN(C23,E23)</f>
        <v/>
      </c>
      <c r="G23" s="13">
        <f>E23-F23</f>
        <v/>
      </c>
      <c r="H23" s="13">
        <f>C23-F23</f>
        <v/>
      </c>
      <c r="I23" s="13">
        <f>IF(AND(H23&lt;=$O$5,L22&lt;=A23),1,0)</f>
        <v/>
      </c>
      <c r="J23" s="16">
        <f>RAND()</f>
        <v/>
      </c>
      <c r="K23" s="13">
        <f>INDEX($N$19:$N$21,MATCH(J23,$P$19:$P$21,1))</f>
        <v/>
      </c>
      <c r="L23" s="13">
        <f>IF(I23=1,A23+K23+1,L22)</f>
        <v/>
      </c>
      <c r="M23" s="27">
        <f>$O$5</f>
        <v/>
      </c>
    </row>
    <row r="24">
      <c r="A24" s="13" t="n">
        <v>20</v>
      </c>
      <c r="B24" s="13">
        <f>IF(L23=A24,$O$4,0)</f>
        <v/>
      </c>
      <c r="C24" s="13">
        <f>H23+B24</f>
        <v/>
      </c>
      <c r="D24" s="16">
        <f>RAND()</f>
        <v/>
      </c>
      <c r="E24" s="13">
        <f>INDEX($N$12:$N$16,MATCH(D24,$P$12:$P$16,1))</f>
        <v/>
      </c>
      <c r="F24" s="13">
        <f>MIN(C24,E24)</f>
        <v/>
      </c>
      <c r="G24" s="13">
        <f>E24-F24</f>
        <v/>
      </c>
      <c r="H24" s="13">
        <f>C24-F24</f>
        <v/>
      </c>
      <c r="I24" s="13">
        <f>IF(AND(H24&lt;=$O$5,L23&lt;=A24),1,0)</f>
        <v/>
      </c>
      <c r="J24" s="16">
        <f>RAND()</f>
        <v/>
      </c>
      <c r="K24" s="13">
        <f>INDEX($N$19:$N$21,MATCH(J24,$P$19:$P$21,1))</f>
        <v/>
      </c>
      <c r="L24" s="13">
        <f>IF(I24=1,A24+K24+1,L23)</f>
        <v/>
      </c>
      <c r="M24" s="27">
        <f>$O$5</f>
        <v/>
      </c>
      <c r="N24" s="10" t="inlineStr">
        <is>
          <t>Costo (30 días)</t>
        </is>
      </c>
      <c r="O24" s="10" t="inlineStr">
        <is>
          <t>Valor ($)</t>
        </is>
      </c>
    </row>
    <row r="25">
      <c r="A25" s="13" t="n">
        <v>21</v>
      </c>
      <c r="B25" s="13">
        <f>IF(L24=A25,$O$4,0)</f>
        <v/>
      </c>
      <c r="C25" s="13">
        <f>H24+B25</f>
        <v/>
      </c>
      <c r="D25" s="16">
        <f>RAND()</f>
        <v/>
      </c>
      <c r="E25" s="13">
        <f>INDEX($N$12:$N$16,MATCH(D25,$P$12:$P$16,1))</f>
        <v/>
      </c>
      <c r="F25" s="13">
        <f>MIN(C25,E25)</f>
        <v/>
      </c>
      <c r="G25" s="13">
        <f>E25-F25</f>
        <v/>
      </c>
      <c r="H25" s="13">
        <f>C25-F25</f>
        <v/>
      </c>
      <c r="I25" s="13">
        <f>IF(AND(H25&lt;=$O$5,L24&lt;=A25),1,0)</f>
        <v/>
      </c>
      <c r="J25" s="16">
        <f>RAND()</f>
        <v/>
      </c>
      <c r="K25" s="13">
        <f>INDEX($N$19:$N$21,MATCH(J25,$P$19:$P$21,1))</f>
        <v/>
      </c>
      <c r="L25" s="13">
        <f>IF(I25=1,A25+K25+1,L24)</f>
        <v/>
      </c>
      <c r="M25" s="27">
        <f>$O$5</f>
        <v/>
      </c>
      <c r="N25" s="11" t="inlineStr">
        <is>
          <t>Pedidos</t>
        </is>
      </c>
      <c r="O25" s="28">
        <f>$O$7*SUM(I5:I34)</f>
        <v/>
      </c>
    </row>
    <row r="26">
      <c r="A26" s="13" t="n">
        <v>22</v>
      </c>
      <c r="B26" s="13">
        <f>IF(L25=A26,$O$4,0)</f>
        <v/>
      </c>
      <c r="C26" s="13">
        <f>H25+B26</f>
        <v/>
      </c>
      <c r="D26" s="16">
        <f>RAND()</f>
        <v/>
      </c>
      <c r="E26" s="13">
        <f>INDEX($N$12:$N$16,MATCH(D26,$P$12:$P$16,1))</f>
        <v/>
      </c>
      <c r="F26" s="13">
        <f>MIN(C26,E26)</f>
        <v/>
      </c>
      <c r="G26" s="13">
        <f>E26-F26</f>
        <v/>
      </c>
      <c r="H26" s="13">
        <f>C26-F26</f>
        <v/>
      </c>
      <c r="I26" s="13">
        <f>IF(AND(H26&lt;=$O$5,L25&lt;=A26),1,0)</f>
        <v/>
      </c>
      <c r="J26" s="16">
        <f>RAND()</f>
        <v/>
      </c>
      <c r="K26" s="13">
        <f>INDEX($N$19:$N$21,MATCH(J26,$P$19:$P$21,1))</f>
        <v/>
      </c>
      <c r="L26" s="13">
        <f>IF(I26=1,A26+K26+1,L25)</f>
        <v/>
      </c>
      <c r="M26" s="27">
        <f>$O$5</f>
        <v/>
      </c>
      <c r="N26" s="11" t="inlineStr">
        <is>
          <t>Mantener inventario</t>
        </is>
      </c>
      <c r="O26" s="28">
        <f>$O$8*SUM(H5:H34)</f>
        <v/>
      </c>
    </row>
    <row r="27">
      <c r="A27" s="13" t="n">
        <v>23</v>
      </c>
      <c r="B27" s="13">
        <f>IF(L26=A27,$O$4,0)</f>
        <v/>
      </c>
      <c r="C27" s="13">
        <f>H26+B27</f>
        <v/>
      </c>
      <c r="D27" s="16">
        <f>RAND()</f>
        <v/>
      </c>
      <c r="E27" s="13">
        <f>INDEX($N$12:$N$16,MATCH(D27,$P$12:$P$16,1))</f>
        <v/>
      </c>
      <c r="F27" s="13">
        <f>MIN(C27,E27)</f>
        <v/>
      </c>
      <c r="G27" s="13">
        <f>E27-F27</f>
        <v/>
      </c>
      <c r="H27" s="13">
        <f>C27-F27</f>
        <v/>
      </c>
      <c r="I27" s="13">
        <f>IF(AND(H27&lt;=$O$5,L26&lt;=A27),1,0)</f>
        <v/>
      </c>
      <c r="J27" s="16">
        <f>RAND()</f>
        <v/>
      </c>
      <c r="K27" s="13">
        <f>INDEX($N$19:$N$21,MATCH(J27,$P$19:$P$21,1))</f>
        <v/>
      </c>
      <c r="L27" s="13">
        <f>IF(I27=1,A27+K27+1,L26)</f>
        <v/>
      </c>
      <c r="M27" s="27">
        <f>$O$5</f>
        <v/>
      </c>
      <c r="N27" s="11" t="inlineStr">
        <is>
          <t>Faltantes</t>
        </is>
      </c>
      <c r="O27" s="28">
        <f>$O$9*SUM(G5:G34)</f>
        <v/>
      </c>
    </row>
    <row r="28">
      <c r="A28" s="13" t="n">
        <v>24</v>
      </c>
      <c r="B28" s="13">
        <f>IF(L27=A28,$O$4,0)</f>
        <v/>
      </c>
      <c r="C28" s="13">
        <f>H27+B28</f>
        <v/>
      </c>
      <c r="D28" s="16">
        <f>RAND()</f>
        <v/>
      </c>
      <c r="E28" s="13">
        <f>INDEX($N$12:$N$16,MATCH(D28,$P$12:$P$16,1))</f>
        <v/>
      </c>
      <c r="F28" s="13">
        <f>MIN(C28,E28)</f>
        <v/>
      </c>
      <c r="G28" s="13">
        <f>E28-F28</f>
        <v/>
      </c>
      <c r="H28" s="13">
        <f>C28-F28</f>
        <v/>
      </c>
      <c r="I28" s="13">
        <f>IF(AND(H28&lt;=$O$5,L27&lt;=A28),1,0)</f>
        <v/>
      </c>
      <c r="J28" s="16">
        <f>RAND()</f>
        <v/>
      </c>
      <c r="K28" s="13">
        <f>INDEX($N$19:$N$21,MATCH(J28,$P$19:$P$21,1))</f>
        <v/>
      </c>
      <c r="L28" s="13">
        <f>IF(I28=1,A28+K28+1,L27)</f>
        <v/>
      </c>
      <c r="M28" s="27">
        <f>$O$5</f>
        <v/>
      </c>
      <c r="N28" s="22" t="inlineStr">
        <is>
          <t>Total</t>
        </is>
      </c>
      <c r="O28" s="29">
        <f>SUM(O25:O27)</f>
        <v/>
      </c>
    </row>
    <row r="29">
      <c r="A29" s="13" t="n">
        <v>25</v>
      </c>
      <c r="B29" s="13">
        <f>IF(L28=A29,$O$4,0)</f>
        <v/>
      </c>
      <c r="C29" s="13">
        <f>H28+B29</f>
        <v/>
      </c>
      <c r="D29" s="16">
        <f>RAND()</f>
        <v/>
      </c>
      <c r="E29" s="13">
        <f>INDEX($N$12:$N$16,MATCH(D29,$P$12:$P$16,1))</f>
        <v/>
      </c>
      <c r="F29" s="13">
        <f>MIN(C29,E29)</f>
        <v/>
      </c>
      <c r="G29" s="13">
        <f>E29-F29</f>
        <v/>
      </c>
      <c r="H29" s="13">
        <f>C29-F29</f>
        <v/>
      </c>
      <c r="I29" s="13">
        <f>IF(AND(H29&lt;=$O$5,L28&lt;=A29),1,0)</f>
        <v/>
      </c>
      <c r="J29" s="16">
        <f>RAND()</f>
        <v/>
      </c>
      <c r="K29" s="13">
        <f>INDEX($N$19:$N$21,MATCH(J29,$P$19:$P$21,1))</f>
        <v/>
      </c>
      <c r="L29" s="13">
        <f>IF(I29=1,A29+K29+1,L28)</f>
        <v/>
      </c>
      <c r="M29" s="27">
        <f>$O$5</f>
        <v/>
      </c>
    </row>
    <row r="30">
      <c r="A30" s="13" t="n">
        <v>26</v>
      </c>
      <c r="B30" s="13">
        <f>IF(L29=A30,$O$4,0)</f>
        <v/>
      </c>
      <c r="C30" s="13">
        <f>H29+B30</f>
        <v/>
      </c>
      <c r="D30" s="16">
        <f>RAND()</f>
        <v/>
      </c>
      <c r="E30" s="13">
        <f>INDEX($N$12:$N$16,MATCH(D30,$P$12:$P$16,1))</f>
        <v/>
      </c>
      <c r="F30" s="13">
        <f>MIN(C30,E30)</f>
        <v/>
      </c>
      <c r="G30" s="13">
        <f>E30-F30</f>
        <v/>
      </c>
      <c r="H30" s="13">
        <f>C30-F30</f>
        <v/>
      </c>
      <c r="I30" s="13">
        <f>IF(AND(H30&lt;=$O$5,L29&lt;=A30),1,0)</f>
        <v/>
      </c>
      <c r="J30" s="16">
        <f>RAND()</f>
        <v/>
      </c>
      <c r="K30" s="13">
        <f>INDEX($N$19:$N$21,MATCH(J30,$P$19:$P$21,1))</f>
        <v/>
      </c>
      <c r="L30" s="13">
        <f>IF(I30=1,A30+K30+1,L29)</f>
        <v/>
      </c>
      <c r="M30" s="27">
        <f>$O$5</f>
        <v/>
      </c>
      <c r="N30" s="11" t="inlineStr">
        <is>
          <t>Nivel de servicio (demanda atendida)</t>
        </is>
      </c>
      <c r="O30" s="20">
        <f>SUM(F5:F34)/SUM(E5:E34)</f>
        <v/>
      </c>
    </row>
    <row r="31">
      <c r="A31" s="13" t="n">
        <v>27</v>
      </c>
      <c r="B31" s="13">
        <f>IF(L30=A31,$O$4,0)</f>
        <v/>
      </c>
      <c r="C31" s="13">
        <f>H30+B31</f>
        <v/>
      </c>
      <c r="D31" s="16">
        <f>RAND()</f>
        <v/>
      </c>
      <c r="E31" s="13">
        <f>INDEX($N$12:$N$16,MATCH(D31,$P$12:$P$16,1))</f>
        <v/>
      </c>
      <c r="F31" s="13">
        <f>MIN(C31,E31)</f>
        <v/>
      </c>
      <c r="G31" s="13">
        <f>E31-F31</f>
        <v/>
      </c>
      <c r="H31" s="13">
        <f>C31-F31</f>
        <v/>
      </c>
      <c r="I31" s="13">
        <f>IF(AND(H31&lt;=$O$5,L30&lt;=A31),1,0)</f>
        <v/>
      </c>
      <c r="J31" s="16">
        <f>RAND()</f>
        <v/>
      </c>
      <c r="K31" s="13">
        <f>INDEX($N$19:$N$21,MATCH(J31,$P$19:$P$21,1))</f>
        <v/>
      </c>
      <c r="L31" s="13">
        <f>IF(I31=1,A31+K31+1,L30)</f>
        <v/>
      </c>
      <c r="M31" s="27">
        <f>$O$5</f>
        <v/>
      </c>
    </row>
    <row r="32">
      <c r="A32" s="13" t="n">
        <v>28</v>
      </c>
      <c r="B32" s="13">
        <f>IF(L31=A32,$O$4,0)</f>
        <v/>
      </c>
      <c r="C32" s="13">
        <f>H31+B32</f>
        <v/>
      </c>
      <c r="D32" s="16">
        <f>RAND()</f>
        <v/>
      </c>
      <c r="E32" s="13">
        <f>INDEX($N$12:$N$16,MATCH(D32,$P$12:$P$16,1))</f>
        <v/>
      </c>
      <c r="F32" s="13">
        <f>MIN(C32,E32)</f>
        <v/>
      </c>
      <c r="G32" s="13">
        <f>E32-F32</f>
        <v/>
      </c>
      <c r="H32" s="13">
        <f>C32-F32</f>
        <v/>
      </c>
      <c r="I32" s="13">
        <f>IF(AND(H32&lt;=$O$5,L31&lt;=A32),1,0)</f>
        <v/>
      </c>
      <c r="J32" s="16">
        <f>RAND()</f>
        <v/>
      </c>
      <c r="K32" s="13">
        <f>INDEX($N$19:$N$21,MATCH(J32,$P$19:$P$21,1))</f>
        <v/>
      </c>
      <c r="L32" s="13">
        <f>IF(I32=1,A32+K32+1,L31)</f>
        <v/>
      </c>
      <c r="M32" s="27">
        <f>$O$5</f>
        <v/>
      </c>
    </row>
    <row r="33">
      <c r="A33" s="13" t="n">
        <v>29</v>
      </c>
      <c r="B33" s="13">
        <f>IF(L32=A33,$O$4,0)</f>
        <v/>
      </c>
      <c r="C33" s="13">
        <f>H32+B33</f>
        <v/>
      </c>
      <c r="D33" s="16">
        <f>RAND()</f>
        <v/>
      </c>
      <c r="E33" s="13">
        <f>INDEX($N$12:$N$16,MATCH(D33,$P$12:$P$16,1))</f>
        <v/>
      </c>
      <c r="F33" s="13">
        <f>MIN(C33,E33)</f>
        <v/>
      </c>
      <c r="G33" s="13">
        <f>E33-F33</f>
        <v/>
      </c>
      <c r="H33" s="13">
        <f>C33-F33</f>
        <v/>
      </c>
      <c r="I33" s="13">
        <f>IF(AND(H33&lt;=$O$5,L32&lt;=A33),1,0)</f>
        <v/>
      </c>
      <c r="J33" s="16">
        <f>RAND()</f>
        <v/>
      </c>
      <c r="K33" s="13">
        <f>INDEX($N$19:$N$21,MATCH(J33,$P$19:$P$21,1))</f>
        <v/>
      </c>
      <c r="L33" s="13">
        <f>IF(I33=1,A33+K33+1,L32)</f>
        <v/>
      </c>
      <c r="M33" s="27">
        <f>$O$5</f>
        <v/>
      </c>
    </row>
    <row r="34">
      <c r="A34" s="13" t="n">
        <v>30</v>
      </c>
      <c r="B34" s="13">
        <f>IF(L33=A34,$O$4,0)</f>
        <v/>
      </c>
      <c r="C34" s="13">
        <f>H33+B34</f>
        <v/>
      </c>
      <c r="D34" s="16">
        <f>RAND()</f>
        <v/>
      </c>
      <c r="E34" s="13">
        <f>INDEX($N$12:$N$16,MATCH(D34,$P$12:$P$16,1))</f>
        <v/>
      </c>
      <c r="F34" s="13">
        <f>MIN(C34,E34)</f>
        <v/>
      </c>
      <c r="G34" s="13">
        <f>E34-F34</f>
        <v/>
      </c>
      <c r="H34" s="13">
        <f>C34-F34</f>
        <v/>
      </c>
      <c r="I34" s="13">
        <f>IF(AND(H34&lt;=$O$5,L33&lt;=A34),1,0)</f>
        <v/>
      </c>
      <c r="J34" s="16">
        <f>RAND()</f>
        <v/>
      </c>
      <c r="K34" s="13">
        <f>INDEX($N$19:$N$21,MATCH(J34,$P$19:$P$21,1))</f>
        <v/>
      </c>
      <c r="L34" s="13">
        <f>IF(I34=1,A34+K34+1,L33)</f>
        <v/>
      </c>
      <c r="M34" s="27">
        <f>$O$5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4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4" max="14"/>
    <col width="11" customWidth="1" min="15" max="15"/>
    <col width="11" customWidth="1" min="16" max="16"/>
  </cols>
  <sheetData>
    <row r="1">
      <c r="A1" s="1" t="inlineStr">
        <is>
          <t>Tiempo total de un pedido: 3 etapas triangulares</t>
        </is>
      </c>
    </row>
    <row r="2">
      <c r="A2" s="2" t="inlineStr">
        <is>
          <t>T = corte + ensamble + pintura. Cada etapa se genera con la transformada inversa de la triangular.</t>
        </is>
      </c>
    </row>
    <row r="4">
      <c r="A4" s="10" t="inlineStr">
        <is>
          <t>Pedido</t>
        </is>
      </c>
      <c r="B4" s="10" t="inlineStr">
        <is>
          <t>Corte</t>
        </is>
      </c>
      <c r="C4" s="10" t="inlineStr">
        <is>
          <t>Ensamble</t>
        </is>
      </c>
      <c r="D4" s="10" t="inlineStr">
        <is>
          <t>Pintura</t>
        </is>
      </c>
      <c r="E4" s="10" t="inlineStr">
        <is>
          <t>Total T</t>
        </is>
      </c>
      <c r="G4" s="10" t="inlineStr">
        <is>
          <t>Etapa</t>
        </is>
      </c>
      <c r="H4" s="10" t="inlineStr">
        <is>
          <t>a (mín.)</t>
        </is>
      </c>
      <c r="I4" s="10" t="inlineStr">
        <is>
          <t>c (moda)</t>
        </is>
      </c>
      <c r="J4" s="10" t="inlineStr">
        <is>
          <t>b (máx.)</t>
        </is>
      </c>
      <c r="K4" s="10" t="inlineStr">
        <is>
          <t>F(c)</t>
        </is>
      </c>
      <c r="N4" s="10" t="inlineStr">
        <is>
          <t>r corte</t>
        </is>
      </c>
      <c r="O4" s="10" t="inlineStr">
        <is>
          <t>r ensamble</t>
        </is>
      </c>
      <c r="P4" s="10" t="inlineStr">
        <is>
          <t>r pintura</t>
        </is>
      </c>
    </row>
    <row r="5">
      <c r="A5" s="13" t="n">
        <v>1</v>
      </c>
      <c r="B5" s="17">
        <f>IF(N5&lt;$K$5,$H$5+SQRT(N5*($J$5-$H$5)*($I$5-$H$5)),$J$5-SQRT((1-N5)*($J$5-$H$5)*($J$5-$I$5)))</f>
        <v/>
      </c>
      <c r="C5" s="17">
        <f>IF(O5&lt;$K$6,$H$6+SQRT(O5*($J$6-$H$6)*($I$6-$H$6)),$J$6-SQRT((1-O5)*($J$6-$H$6)*($J$6-$I$6)))</f>
        <v/>
      </c>
      <c r="D5" s="17">
        <f>IF(P5&lt;$K$7,$H$7+SQRT(P5*($J$7-$H$7)*($I$7-$H$7)),$J$7-SQRT((1-P5)*($J$7-$H$7)*($J$7-$I$7)))</f>
        <v/>
      </c>
      <c r="E5" s="17">
        <f>SUM(B5:D5)</f>
        <v/>
      </c>
      <c r="G5" s="11" t="inlineStr">
        <is>
          <t>Corte</t>
        </is>
      </c>
      <c r="H5" s="12" t="n">
        <v>2</v>
      </c>
      <c r="I5" s="12" t="n">
        <v>3</v>
      </c>
      <c r="J5" s="12" t="n">
        <v>5</v>
      </c>
      <c r="K5" s="16">
        <f>(I5-H5)/(J5-H5)</f>
        <v/>
      </c>
      <c r="N5" s="16">
        <f>RAND()</f>
        <v/>
      </c>
      <c r="O5" s="16">
        <f>RAND()</f>
        <v/>
      </c>
      <c r="P5" s="16">
        <f>RAND()</f>
        <v/>
      </c>
    </row>
    <row r="6">
      <c r="A6" s="13" t="n">
        <v>2</v>
      </c>
      <c r="B6" s="17">
        <f>IF(N6&lt;$K$5,$H$5+SQRT(N6*($J$5-$H$5)*($I$5-$H$5)),$J$5-SQRT((1-N6)*($J$5-$H$5)*($J$5-$I$5)))</f>
        <v/>
      </c>
      <c r="C6" s="17">
        <f>IF(O6&lt;$K$6,$H$6+SQRT(O6*($J$6-$H$6)*($I$6-$H$6)),$J$6-SQRT((1-O6)*($J$6-$H$6)*($J$6-$I$6)))</f>
        <v/>
      </c>
      <c r="D6" s="17">
        <f>IF(P6&lt;$K$7,$H$7+SQRT(P6*($J$7-$H$7)*($I$7-$H$7)),$J$7-SQRT((1-P6)*($J$7-$H$7)*($J$7-$I$7)))</f>
        <v/>
      </c>
      <c r="E6" s="17">
        <f>SUM(B6:D6)</f>
        <v/>
      </c>
      <c r="G6" s="11" t="inlineStr">
        <is>
          <t>Ensamble</t>
        </is>
      </c>
      <c r="H6" s="12" t="n">
        <v>4</v>
      </c>
      <c r="I6" s="12" t="n">
        <v>6</v>
      </c>
      <c r="J6" s="12" t="n">
        <v>9</v>
      </c>
      <c r="K6" s="16">
        <f>(I6-H6)/(J6-H6)</f>
        <v/>
      </c>
      <c r="N6" s="16">
        <f>RAND()</f>
        <v/>
      </c>
      <c r="O6" s="16">
        <f>RAND()</f>
        <v/>
      </c>
      <c r="P6" s="16">
        <f>RAND()</f>
        <v/>
      </c>
    </row>
    <row r="7">
      <c r="A7" s="13" t="n">
        <v>3</v>
      </c>
      <c r="B7" s="17">
        <f>IF(N7&lt;$K$5,$H$5+SQRT(N7*($J$5-$H$5)*($I$5-$H$5)),$J$5-SQRT((1-N7)*($J$5-$H$5)*($J$5-$I$5)))</f>
        <v/>
      </c>
      <c r="C7" s="17">
        <f>IF(O7&lt;$K$6,$H$6+SQRT(O7*($J$6-$H$6)*($I$6-$H$6)),$J$6-SQRT((1-O7)*($J$6-$H$6)*($J$6-$I$6)))</f>
        <v/>
      </c>
      <c r="D7" s="17">
        <f>IF(P7&lt;$K$7,$H$7+SQRT(P7*($J$7-$H$7)*($I$7-$H$7)),$J$7-SQRT((1-P7)*($J$7-$H$7)*($J$7-$I$7)))</f>
        <v/>
      </c>
      <c r="E7" s="17">
        <f>SUM(B7:D7)</f>
        <v/>
      </c>
      <c r="G7" s="11" t="inlineStr">
        <is>
          <t>Pintura</t>
        </is>
      </c>
      <c r="H7" s="12" t="n">
        <v>1</v>
      </c>
      <c r="I7" s="12" t="n">
        <v>2</v>
      </c>
      <c r="J7" s="12" t="n">
        <v>4</v>
      </c>
      <c r="K7" s="16">
        <f>(I7-H7)/(J7-H7)</f>
        <v/>
      </c>
      <c r="N7" s="16">
        <f>RAND()</f>
        <v/>
      </c>
      <c r="O7" s="16">
        <f>RAND()</f>
        <v/>
      </c>
      <c r="P7" s="16">
        <f>RAND()</f>
        <v/>
      </c>
    </row>
    <row r="8">
      <c r="A8" s="13" t="n">
        <v>4</v>
      </c>
      <c r="B8" s="17">
        <f>IF(N8&lt;$K$5,$H$5+SQRT(N8*($J$5-$H$5)*($I$5-$H$5)),$J$5-SQRT((1-N8)*($J$5-$H$5)*($J$5-$I$5)))</f>
        <v/>
      </c>
      <c r="C8" s="17">
        <f>IF(O8&lt;$K$6,$H$6+SQRT(O8*($J$6-$H$6)*($I$6-$H$6)),$J$6-SQRT((1-O8)*($J$6-$H$6)*($J$6-$I$6)))</f>
        <v/>
      </c>
      <c r="D8" s="17">
        <f>IF(P8&lt;$K$7,$H$7+SQRT(P8*($J$7-$H$7)*($I$7-$H$7)),$J$7-SQRT((1-P8)*($J$7-$H$7)*($J$7-$I$7)))</f>
        <v/>
      </c>
      <c r="E8" s="17">
        <f>SUM(B8:D8)</f>
        <v/>
      </c>
      <c r="N8" s="16">
        <f>RAND()</f>
        <v/>
      </c>
      <c r="O8" s="16">
        <f>RAND()</f>
        <v/>
      </c>
      <c r="P8" s="16">
        <f>RAND()</f>
        <v/>
      </c>
    </row>
    <row r="9">
      <c r="A9" s="13" t="n">
        <v>5</v>
      </c>
      <c r="B9" s="17">
        <f>IF(N9&lt;$K$5,$H$5+SQRT(N9*($J$5-$H$5)*($I$5-$H$5)),$J$5-SQRT((1-N9)*($J$5-$H$5)*($J$5-$I$5)))</f>
        <v/>
      </c>
      <c r="C9" s="17">
        <f>IF(O9&lt;$K$6,$H$6+SQRT(O9*($J$6-$H$6)*($I$6-$H$6)),$J$6-SQRT((1-O9)*($J$6-$H$6)*($J$6-$I$6)))</f>
        <v/>
      </c>
      <c r="D9" s="17">
        <f>IF(P9&lt;$K$7,$H$7+SQRT(P9*($J$7-$H$7)*($I$7-$H$7)),$J$7-SQRT((1-P9)*($J$7-$H$7)*($J$7-$I$7)))</f>
        <v/>
      </c>
      <c r="E9" s="17">
        <f>SUM(B9:D9)</f>
        <v/>
      </c>
      <c r="G9" s="11" t="inlineStr">
        <is>
          <t>Plazo prometido (h)</t>
        </is>
      </c>
      <c r="H9" s="12" t="n">
        <v>12</v>
      </c>
      <c r="N9" s="16">
        <f>RAND()</f>
        <v/>
      </c>
      <c r="O9" s="16">
        <f>RAND()</f>
        <v/>
      </c>
      <c r="P9" s="16">
        <f>RAND()</f>
        <v/>
      </c>
    </row>
    <row r="10">
      <c r="A10" s="13" t="n">
        <v>6</v>
      </c>
      <c r="B10" s="17">
        <f>IF(N10&lt;$K$5,$H$5+SQRT(N10*($J$5-$H$5)*($I$5-$H$5)),$J$5-SQRT((1-N10)*($J$5-$H$5)*($J$5-$I$5)))</f>
        <v/>
      </c>
      <c r="C10" s="17">
        <f>IF(O10&lt;$K$6,$H$6+SQRT(O10*($J$6-$H$6)*($I$6-$H$6)),$J$6-SQRT((1-O10)*($J$6-$H$6)*($J$6-$I$6)))</f>
        <v/>
      </c>
      <c r="D10" s="17">
        <f>IF(P10&lt;$K$7,$H$7+SQRT(P10*($J$7-$H$7)*($I$7-$H$7)),$J$7-SQRT((1-P10)*($J$7-$H$7)*($J$7-$I$7)))</f>
        <v/>
      </c>
      <c r="E10" s="17">
        <f>SUM(B10:D10)</f>
        <v/>
      </c>
      <c r="N10" s="16">
        <f>RAND()</f>
        <v/>
      </c>
      <c r="O10" s="16">
        <f>RAND()</f>
        <v/>
      </c>
      <c r="P10" s="16">
        <f>RAND()</f>
        <v/>
      </c>
    </row>
    <row r="11">
      <c r="A11" s="13" t="n">
        <v>7</v>
      </c>
      <c r="B11" s="17">
        <f>IF(N11&lt;$K$5,$H$5+SQRT(N11*($J$5-$H$5)*($I$5-$H$5)),$J$5-SQRT((1-N11)*($J$5-$H$5)*($J$5-$I$5)))</f>
        <v/>
      </c>
      <c r="C11" s="17">
        <f>IF(O11&lt;$K$6,$H$6+SQRT(O11*($J$6-$H$6)*($I$6-$H$6)),$J$6-SQRT((1-O11)*($J$6-$H$6)*($J$6-$I$6)))</f>
        <v/>
      </c>
      <c r="D11" s="17">
        <f>IF(P11&lt;$K$7,$H$7+SQRT(P11*($J$7-$H$7)*($I$7-$H$7)),$J$7-SQRT((1-P11)*($J$7-$H$7)*($J$7-$I$7)))</f>
        <v/>
      </c>
      <c r="E11" s="17">
        <f>SUM(B11:D11)</f>
        <v/>
      </c>
      <c r="G11" s="10" t="inlineStr">
        <is>
          <t>Resultado</t>
        </is>
      </c>
      <c r="H11" s="10" t="inlineStr">
        <is>
          <t>Valor</t>
        </is>
      </c>
      <c r="N11" s="16">
        <f>RAND()</f>
        <v/>
      </c>
      <c r="O11" s="16">
        <f>RAND()</f>
        <v/>
      </c>
      <c r="P11" s="16">
        <f>RAND()</f>
        <v/>
      </c>
    </row>
    <row r="12">
      <c r="A12" s="13" t="n">
        <v>8</v>
      </c>
      <c r="B12" s="17">
        <f>IF(N12&lt;$K$5,$H$5+SQRT(N12*($J$5-$H$5)*($I$5-$H$5)),$J$5-SQRT((1-N12)*($J$5-$H$5)*($J$5-$I$5)))</f>
        <v/>
      </c>
      <c r="C12" s="17">
        <f>IF(O12&lt;$K$6,$H$6+SQRT(O12*($J$6-$H$6)*($I$6-$H$6)),$J$6-SQRT((1-O12)*($J$6-$H$6)*($J$6-$I$6)))</f>
        <v/>
      </c>
      <c r="D12" s="17">
        <f>IF(P12&lt;$K$7,$H$7+SQRT(P12*($J$7-$H$7)*($I$7-$H$7)),$J$7-SQRT((1-P12)*($J$7-$H$7)*($J$7-$I$7)))</f>
        <v/>
      </c>
      <c r="E12" s="17">
        <f>SUM(B12:D12)</f>
        <v/>
      </c>
      <c r="G12" s="11" t="inlineStr">
        <is>
          <t>Media simulada (h)</t>
        </is>
      </c>
      <c r="H12" s="17">
        <f>AVERAGE(E5:E1004)</f>
        <v/>
      </c>
      <c r="N12" s="16">
        <f>RAND()</f>
        <v/>
      </c>
      <c r="O12" s="16">
        <f>RAND()</f>
        <v/>
      </c>
      <c r="P12" s="16">
        <f>RAND()</f>
        <v/>
      </c>
    </row>
    <row r="13">
      <c r="A13" s="13" t="n">
        <v>9</v>
      </c>
      <c r="B13" s="17">
        <f>IF(N13&lt;$K$5,$H$5+SQRT(N13*($J$5-$H$5)*($I$5-$H$5)),$J$5-SQRT((1-N13)*($J$5-$H$5)*($J$5-$I$5)))</f>
        <v/>
      </c>
      <c r="C13" s="17">
        <f>IF(O13&lt;$K$6,$H$6+SQRT(O13*($J$6-$H$6)*($I$6-$H$6)),$J$6-SQRT((1-O13)*($J$6-$H$6)*($J$6-$I$6)))</f>
        <v/>
      </c>
      <c r="D13" s="17">
        <f>IF(P13&lt;$K$7,$H$7+SQRT(P13*($J$7-$H$7)*($I$7-$H$7)),$J$7-SQRT((1-P13)*($J$7-$H$7)*($J$7-$I$7)))</f>
        <v/>
      </c>
      <c r="E13" s="17">
        <f>SUM(B13:D13)</f>
        <v/>
      </c>
      <c r="G13" s="11" t="inlineStr">
        <is>
          <t>Media teórica (h)</t>
        </is>
      </c>
      <c r="H13" s="17">
        <f>SUM(H5:J7)/3</f>
        <v/>
      </c>
      <c r="N13" s="16">
        <f>RAND()</f>
        <v/>
      </c>
      <c r="O13" s="16">
        <f>RAND()</f>
        <v/>
      </c>
      <c r="P13" s="16">
        <f>RAND()</f>
        <v/>
      </c>
    </row>
    <row r="14">
      <c r="A14" s="13" t="n">
        <v>10</v>
      </c>
      <c r="B14" s="17">
        <f>IF(N14&lt;$K$5,$H$5+SQRT(N14*($J$5-$H$5)*($I$5-$H$5)),$J$5-SQRT((1-N14)*($J$5-$H$5)*($J$5-$I$5)))</f>
        <v/>
      </c>
      <c r="C14" s="17">
        <f>IF(O14&lt;$K$6,$H$6+SQRT(O14*($J$6-$H$6)*($I$6-$H$6)),$J$6-SQRT((1-O14)*($J$6-$H$6)*($J$6-$I$6)))</f>
        <v/>
      </c>
      <c r="D14" s="17">
        <f>IF(P14&lt;$K$7,$H$7+SQRT(P14*($J$7-$H$7)*($I$7-$H$7)),$J$7-SQRT((1-P14)*($J$7-$H$7)*($J$7-$I$7)))</f>
        <v/>
      </c>
      <c r="E14" s="17">
        <f>SUM(B14:D14)</f>
        <v/>
      </c>
      <c r="G14" s="11" t="inlineStr">
        <is>
          <t>Desviación estándar (h)</t>
        </is>
      </c>
      <c r="H14" s="17">
        <f>STDEV(E5:E1004)</f>
        <v/>
      </c>
      <c r="N14" s="16">
        <f>RAND()</f>
        <v/>
      </c>
      <c r="O14" s="16">
        <f>RAND()</f>
        <v/>
      </c>
      <c r="P14" s="16">
        <f>RAND()</f>
        <v/>
      </c>
    </row>
    <row r="15">
      <c r="A15" s="13" t="n">
        <v>11</v>
      </c>
      <c r="B15" s="17">
        <f>IF(N15&lt;$K$5,$H$5+SQRT(N15*($J$5-$H$5)*($I$5-$H$5)),$J$5-SQRT((1-N15)*($J$5-$H$5)*($J$5-$I$5)))</f>
        <v/>
      </c>
      <c r="C15" s="17">
        <f>IF(O15&lt;$K$6,$H$6+SQRT(O15*($J$6-$H$6)*($I$6-$H$6)),$J$6-SQRT((1-O15)*($J$6-$H$6)*($J$6-$I$6)))</f>
        <v/>
      </c>
      <c r="D15" s="17">
        <f>IF(P15&lt;$K$7,$H$7+SQRT(P15*($J$7-$H$7)*($I$7-$H$7)),$J$7-SQRT((1-P15)*($J$7-$H$7)*($J$7-$I$7)))</f>
        <v/>
      </c>
      <c r="E15" s="17">
        <f>SUM(B15:D15)</f>
        <v/>
      </c>
      <c r="G15" s="11" t="inlineStr">
        <is>
          <t>P(T ≤ plazo)</t>
        </is>
      </c>
      <c r="H15" s="30">
        <f>COUNTIF(E5:E1004,"&lt;="&amp;H9)/1000</f>
        <v/>
      </c>
      <c r="N15" s="16">
        <f>RAND()</f>
        <v/>
      </c>
      <c r="O15" s="16">
        <f>RAND()</f>
        <v/>
      </c>
      <c r="P15" s="16">
        <f>RAND()</f>
        <v/>
      </c>
    </row>
    <row r="16">
      <c r="A16" s="13" t="n">
        <v>12</v>
      </c>
      <c r="B16" s="17">
        <f>IF(N16&lt;$K$5,$H$5+SQRT(N16*($J$5-$H$5)*($I$5-$H$5)),$J$5-SQRT((1-N16)*($J$5-$H$5)*($J$5-$I$5)))</f>
        <v/>
      </c>
      <c r="C16" s="17">
        <f>IF(O16&lt;$K$6,$H$6+SQRT(O16*($J$6-$H$6)*($I$6-$H$6)),$J$6-SQRT((1-O16)*($J$6-$H$6)*($J$6-$I$6)))</f>
        <v/>
      </c>
      <c r="D16" s="17">
        <f>IF(P16&lt;$K$7,$H$7+SQRT(P16*($J$7-$H$7)*($I$7-$H$7)),$J$7-SQRT((1-P16)*($J$7-$H$7)*($J$7-$I$7)))</f>
        <v/>
      </c>
      <c r="E16" s="17">
        <f>SUM(B16:D16)</f>
        <v/>
      </c>
      <c r="G16" s="11" t="inlineStr">
        <is>
          <t>Percentil 90 (h)</t>
        </is>
      </c>
      <c r="H16" s="17">
        <f>PERCENTILE(E5:E1004,0.9)</f>
        <v/>
      </c>
      <c r="N16" s="16">
        <f>RAND()</f>
        <v/>
      </c>
      <c r="O16" s="16">
        <f>RAND()</f>
        <v/>
      </c>
      <c r="P16" s="16">
        <f>RAND()</f>
        <v/>
      </c>
    </row>
    <row r="17">
      <c r="A17" s="13" t="n">
        <v>13</v>
      </c>
      <c r="B17" s="17">
        <f>IF(N17&lt;$K$5,$H$5+SQRT(N17*($J$5-$H$5)*($I$5-$H$5)),$J$5-SQRT((1-N17)*($J$5-$H$5)*($J$5-$I$5)))</f>
        <v/>
      </c>
      <c r="C17" s="17">
        <f>IF(O17&lt;$K$6,$H$6+SQRT(O17*($J$6-$H$6)*($I$6-$H$6)),$J$6-SQRT((1-O17)*($J$6-$H$6)*($J$6-$I$6)))</f>
        <v/>
      </c>
      <c r="D17" s="17">
        <f>IF(P17&lt;$K$7,$H$7+SQRT(P17*($J$7-$H$7)*($I$7-$H$7)),$J$7-SQRT((1-P17)*($J$7-$H$7)*($J$7-$I$7)))</f>
        <v/>
      </c>
      <c r="E17" s="17">
        <f>SUM(B17:D17)</f>
        <v/>
      </c>
      <c r="G17" s="11" t="inlineStr">
        <is>
          <t>Mínimo (h)</t>
        </is>
      </c>
      <c r="H17" s="17">
        <f>MIN(E5:E1004)</f>
        <v/>
      </c>
      <c r="N17" s="16">
        <f>RAND()</f>
        <v/>
      </c>
      <c r="O17" s="16">
        <f>RAND()</f>
        <v/>
      </c>
      <c r="P17" s="16">
        <f>RAND()</f>
        <v/>
      </c>
    </row>
    <row r="18">
      <c r="A18" s="13" t="n">
        <v>14</v>
      </c>
      <c r="B18" s="17">
        <f>IF(N18&lt;$K$5,$H$5+SQRT(N18*($J$5-$H$5)*($I$5-$H$5)),$J$5-SQRT((1-N18)*($J$5-$H$5)*($J$5-$I$5)))</f>
        <v/>
      </c>
      <c r="C18" s="17">
        <f>IF(O18&lt;$K$6,$H$6+SQRT(O18*($J$6-$H$6)*($I$6-$H$6)),$J$6-SQRT((1-O18)*($J$6-$H$6)*($J$6-$I$6)))</f>
        <v/>
      </c>
      <c r="D18" s="17">
        <f>IF(P18&lt;$K$7,$H$7+SQRT(P18*($J$7-$H$7)*($I$7-$H$7)),$J$7-SQRT((1-P18)*($J$7-$H$7)*($J$7-$I$7)))</f>
        <v/>
      </c>
      <c r="E18" s="17">
        <f>SUM(B18:D18)</f>
        <v/>
      </c>
      <c r="G18" s="11" t="inlineStr">
        <is>
          <t>Máximo (h)</t>
        </is>
      </c>
      <c r="H18" s="17">
        <f>MAX(E5:E1004)</f>
        <v/>
      </c>
      <c r="N18" s="16">
        <f>RAND()</f>
        <v/>
      </c>
      <c r="O18" s="16">
        <f>RAND()</f>
        <v/>
      </c>
      <c r="P18" s="16">
        <f>RAND()</f>
        <v/>
      </c>
    </row>
    <row r="19">
      <c r="A19" s="13" t="n">
        <v>15</v>
      </c>
      <c r="B19" s="17">
        <f>IF(N19&lt;$K$5,$H$5+SQRT(N19*($J$5-$H$5)*($I$5-$H$5)),$J$5-SQRT((1-N19)*($J$5-$H$5)*($J$5-$I$5)))</f>
        <v/>
      </c>
      <c r="C19" s="17">
        <f>IF(O19&lt;$K$6,$H$6+SQRT(O19*($J$6-$H$6)*($I$6-$H$6)),$J$6-SQRT((1-O19)*($J$6-$H$6)*($J$6-$I$6)))</f>
        <v/>
      </c>
      <c r="D19" s="17">
        <f>IF(P19&lt;$K$7,$H$7+SQRT(P19*($J$7-$H$7)*($I$7-$H$7)),$J$7-SQRT((1-P19)*($J$7-$H$7)*($J$7-$I$7)))</f>
        <v/>
      </c>
      <c r="E19" s="17">
        <f>SUM(B19:D19)</f>
        <v/>
      </c>
      <c r="N19" s="16">
        <f>RAND()</f>
        <v/>
      </c>
      <c r="O19" s="16">
        <f>RAND()</f>
        <v/>
      </c>
      <c r="P19" s="16">
        <f>RAND()</f>
        <v/>
      </c>
    </row>
    <row r="20">
      <c r="A20" s="13" t="n">
        <v>16</v>
      </c>
      <c r="B20" s="17">
        <f>IF(N20&lt;$K$5,$H$5+SQRT(N20*($J$5-$H$5)*($I$5-$H$5)),$J$5-SQRT((1-N20)*($J$5-$H$5)*($J$5-$I$5)))</f>
        <v/>
      </c>
      <c r="C20" s="17">
        <f>IF(O20&lt;$K$6,$H$6+SQRT(O20*($J$6-$H$6)*($I$6-$H$6)),$J$6-SQRT((1-O20)*($J$6-$H$6)*($J$6-$I$6)))</f>
        <v/>
      </c>
      <c r="D20" s="17">
        <f>IF(P20&lt;$K$7,$H$7+SQRT(P20*($J$7-$H$7)*($I$7-$H$7)),$J$7-SQRT((1-P20)*($J$7-$H$7)*($J$7-$I$7)))</f>
        <v/>
      </c>
      <c r="E20" s="17">
        <f>SUM(B20:D20)</f>
        <v/>
      </c>
      <c r="N20" s="16">
        <f>RAND()</f>
        <v/>
      </c>
      <c r="O20" s="16">
        <f>RAND()</f>
        <v/>
      </c>
      <c r="P20" s="16">
        <f>RAND()</f>
        <v/>
      </c>
    </row>
    <row r="21">
      <c r="A21" s="13" t="n">
        <v>17</v>
      </c>
      <c r="B21" s="17">
        <f>IF(N21&lt;$K$5,$H$5+SQRT(N21*($J$5-$H$5)*($I$5-$H$5)),$J$5-SQRT((1-N21)*($J$5-$H$5)*($J$5-$I$5)))</f>
        <v/>
      </c>
      <c r="C21" s="17">
        <f>IF(O21&lt;$K$6,$H$6+SQRT(O21*($J$6-$H$6)*($I$6-$H$6)),$J$6-SQRT((1-O21)*($J$6-$H$6)*($J$6-$I$6)))</f>
        <v/>
      </c>
      <c r="D21" s="17">
        <f>IF(P21&lt;$K$7,$H$7+SQRT(P21*($J$7-$H$7)*($I$7-$H$7)),$J$7-SQRT((1-P21)*($J$7-$H$7)*($J$7-$I$7)))</f>
        <v/>
      </c>
      <c r="E21" s="17">
        <f>SUM(B21:D21)</f>
        <v/>
      </c>
      <c r="G21" s="10" t="inlineStr">
        <is>
          <t>Desde (h)</t>
        </is>
      </c>
      <c r="H21" s="10" t="inlineStr">
        <is>
          <t>Pedidos</t>
        </is>
      </c>
      <c r="N21" s="16">
        <f>RAND()</f>
        <v/>
      </c>
      <c r="O21" s="16">
        <f>RAND()</f>
        <v/>
      </c>
      <c r="P21" s="16">
        <f>RAND()</f>
        <v/>
      </c>
    </row>
    <row r="22">
      <c r="A22" s="13" t="n">
        <v>18</v>
      </c>
      <c r="B22" s="17">
        <f>IF(N22&lt;$K$5,$H$5+SQRT(N22*($J$5-$H$5)*($I$5-$H$5)),$J$5-SQRT((1-N22)*($J$5-$H$5)*($J$5-$I$5)))</f>
        <v/>
      </c>
      <c r="C22" s="17">
        <f>IF(O22&lt;$K$6,$H$6+SQRT(O22*($J$6-$H$6)*($I$6-$H$6)),$J$6-SQRT((1-O22)*($J$6-$H$6)*($J$6-$I$6)))</f>
        <v/>
      </c>
      <c r="D22" s="17">
        <f>IF(P22&lt;$K$7,$H$7+SQRT(P22*($J$7-$H$7)*($I$7-$H$7)),$J$7-SQRT((1-P22)*($J$7-$H$7)*($J$7-$I$7)))</f>
        <v/>
      </c>
      <c r="E22" s="17">
        <f>SUM(B22:D22)</f>
        <v/>
      </c>
      <c r="G22" s="19" t="n">
        <v>7</v>
      </c>
      <c r="H22" s="13">
        <f>COUNTIFS($E$5:$E$1004,"&gt;="&amp;G22,$E$5:$E$1004,"&lt;"&amp;(G22+0.5))</f>
        <v/>
      </c>
      <c r="N22" s="16">
        <f>RAND()</f>
        <v/>
      </c>
      <c r="O22" s="16">
        <f>RAND()</f>
        <v/>
      </c>
      <c r="P22" s="16">
        <f>RAND()</f>
        <v/>
      </c>
    </row>
    <row r="23">
      <c r="A23" s="13" t="n">
        <v>19</v>
      </c>
      <c r="B23" s="17">
        <f>IF(N23&lt;$K$5,$H$5+SQRT(N23*($J$5-$H$5)*($I$5-$H$5)),$J$5-SQRT((1-N23)*($J$5-$H$5)*($J$5-$I$5)))</f>
        <v/>
      </c>
      <c r="C23" s="17">
        <f>IF(O23&lt;$K$6,$H$6+SQRT(O23*($J$6-$H$6)*($I$6-$H$6)),$J$6-SQRT((1-O23)*($J$6-$H$6)*($J$6-$I$6)))</f>
        <v/>
      </c>
      <c r="D23" s="17">
        <f>IF(P23&lt;$K$7,$H$7+SQRT(P23*($J$7-$H$7)*($I$7-$H$7)),$J$7-SQRT((1-P23)*($J$7-$H$7)*($J$7-$I$7)))</f>
        <v/>
      </c>
      <c r="E23" s="17">
        <f>SUM(B23:D23)</f>
        <v/>
      </c>
      <c r="G23" s="19" t="n">
        <v>7.5</v>
      </c>
      <c r="H23" s="13">
        <f>COUNTIFS($E$5:$E$1004,"&gt;="&amp;G23,$E$5:$E$1004,"&lt;"&amp;(G23+0.5))</f>
        <v/>
      </c>
      <c r="N23" s="16">
        <f>RAND()</f>
        <v/>
      </c>
      <c r="O23" s="16">
        <f>RAND()</f>
        <v/>
      </c>
      <c r="P23" s="16">
        <f>RAND()</f>
        <v/>
      </c>
    </row>
    <row r="24">
      <c r="A24" s="13" t="n">
        <v>20</v>
      </c>
      <c r="B24" s="17">
        <f>IF(N24&lt;$K$5,$H$5+SQRT(N24*($J$5-$H$5)*($I$5-$H$5)),$J$5-SQRT((1-N24)*($J$5-$H$5)*($J$5-$I$5)))</f>
        <v/>
      </c>
      <c r="C24" s="17">
        <f>IF(O24&lt;$K$6,$H$6+SQRT(O24*($J$6-$H$6)*($I$6-$H$6)),$J$6-SQRT((1-O24)*($J$6-$H$6)*($J$6-$I$6)))</f>
        <v/>
      </c>
      <c r="D24" s="17">
        <f>IF(P24&lt;$K$7,$H$7+SQRT(P24*($J$7-$H$7)*($I$7-$H$7)),$J$7-SQRT((1-P24)*($J$7-$H$7)*($J$7-$I$7)))</f>
        <v/>
      </c>
      <c r="E24" s="17">
        <f>SUM(B24:D24)</f>
        <v/>
      </c>
      <c r="G24" s="19" t="n">
        <v>8</v>
      </c>
      <c r="H24" s="13">
        <f>COUNTIFS($E$5:$E$1004,"&gt;="&amp;G24,$E$5:$E$1004,"&lt;"&amp;(G24+0.5))</f>
        <v/>
      </c>
      <c r="N24" s="16">
        <f>RAND()</f>
        <v/>
      </c>
      <c r="O24" s="16">
        <f>RAND()</f>
        <v/>
      </c>
      <c r="P24" s="16">
        <f>RAND()</f>
        <v/>
      </c>
    </row>
    <row r="25">
      <c r="A25" s="13" t="n">
        <v>21</v>
      </c>
      <c r="B25" s="17">
        <f>IF(N25&lt;$K$5,$H$5+SQRT(N25*($J$5-$H$5)*($I$5-$H$5)),$J$5-SQRT((1-N25)*($J$5-$H$5)*($J$5-$I$5)))</f>
        <v/>
      </c>
      <c r="C25" s="17">
        <f>IF(O25&lt;$K$6,$H$6+SQRT(O25*($J$6-$H$6)*($I$6-$H$6)),$J$6-SQRT((1-O25)*($J$6-$H$6)*($J$6-$I$6)))</f>
        <v/>
      </c>
      <c r="D25" s="17">
        <f>IF(P25&lt;$K$7,$H$7+SQRT(P25*($J$7-$H$7)*($I$7-$H$7)),$J$7-SQRT((1-P25)*($J$7-$H$7)*($J$7-$I$7)))</f>
        <v/>
      </c>
      <c r="E25" s="17">
        <f>SUM(B25:D25)</f>
        <v/>
      </c>
      <c r="G25" s="19" t="n">
        <v>8.5</v>
      </c>
      <c r="H25" s="13">
        <f>COUNTIFS($E$5:$E$1004,"&gt;="&amp;G25,$E$5:$E$1004,"&lt;"&amp;(G25+0.5))</f>
        <v/>
      </c>
      <c r="N25" s="16">
        <f>RAND()</f>
        <v/>
      </c>
      <c r="O25" s="16">
        <f>RAND()</f>
        <v/>
      </c>
      <c r="P25" s="16">
        <f>RAND()</f>
        <v/>
      </c>
    </row>
    <row r="26">
      <c r="A26" s="13" t="n">
        <v>22</v>
      </c>
      <c r="B26" s="17">
        <f>IF(N26&lt;$K$5,$H$5+SQRT(N26*($J$5-$H$5)*($I$5-$H$5)),$J$5-SQRT((1-N26)*($J$5-$H$5)*($J$5-$I$5)))</f>
        <v/>
      </c>
      <c r="C26" s="17">
        <f>IF(O26&lt;$K$6,$H$6+SQRT(O26*($J$6-$H$6)*($I$6-$H$6)),$J$6-SQRT((1-O26)*($J$6-$H$6)*($J$6-$I$6)))</f>
        <v/>
      </c>
      <c r="D26" s="17">
        <f>IF(P26&lt;$K$7,$H$7+SQRT(P26*($J$7-$H$7)*($I$7-$H$7)),$J$7-SQRT((1-P26)*($J$7-$H$7)*($J$7-$I$7)))</f>
        <v/>
      </c>
      <c r="E26" s="17">
        <f>SUM(B26:D26)</f>
        <v/>
      </c>
      <c r="G26" s="19" t="n">
        <v>9</v>
      </c>
      <c r="H26" s="13">
        <f>COUNTIFS($E$5:$E$1004,"&gt;="&amp;G26,$E$5:$E$1004,"&lt;"&amp;(G26+0.5))</f>
        <v/>
      </c>
      <c r="N26" s="16">
        <f>RAND()</f>
        <v/>
      </c>
      <c r="O26" s="16">
        <f>RAND()</f>
        <v/>
      </c>
      <c r="P26" s="16">
        <f>RAND()</f>
        <v/>
      </c>
    </row>
    <row r="27">
      <c r="A27" s="13" t="n">
        <v>23</v>
      </c>
      <c r="B27" s="17">
        <f>IF(N27&lt;$K$5,$H$5+SQRT(N27*($J$5-$H$5)*($I$5-$H$5)),$J$5-SQRT((1-N27)*($J$5-$H$5)*($J$5-$I$5)))</f>
        <v/>
      </c>
      <c r="C27" s="17">
        <f>IF(O27&lt;$K$6,$H$6+SQRT(O27*($J$6-$H$6)*($I$6-$H$6)),$J$6-SQRT((1-O27)*($J$6-$H$6)*($J$6-$I$6)))</f>
        <v/>
      </c>
      <c r="D27" s="17">
        <f>IF(P27&lt;$K$7,$H$7+SQRT(P27*($J$7-$H$7)*($I$7-$H$7)),$J$7-SQRT((1-P27)*($J$7-$H$7)*($J$7-$I$7)))</f>
        <v/>
      </c>
      <c r="E27" s="17">
        <f>SUM(B27:D27)</f>
        <v/>
      </c>
      <c r="G27" s="19" t="n">
        <v>9.5</v>
      </c>
      <c r="H27" s="13">
        <f>COUNTIFS($E$5:$E$1004,"&gt;="&amp;G27,$E$5:$E$1004,"&lt;"&amp;(G27+0.5))</f>
        <v/>
      </c>
      <c r="N27" s="16">
        <f>RAND()</f>
        <v/>
      </c>
      <c r="O27" s="16">
        <f>RAND()</f>
        <v/>
      </c>
      <c r="P27" s="16">
        <f>RAND()</f>
        <v/>
      </c>
    </row>
    <row r="28">
      <c r="A28" s="13" t="n">
        <v>24</v>
      </c>
      <c r="B28" s="17">
        <f>IF(N28&lt;$K$5,$H$5+SQRT(N28*($J$5-$H$5)*($I$5-$H$5)),$J$5-SQRT((1-N28)*($J$5-$H$5)*($J$5-$I$5)))</f>
        <v/>
      </c>
      <c r="C28" s="17">
        <f>IF(O28&lt;$K$6,$H$6+SQRT(O28*($J$6-$H$6)*($I$6-$H$6)),$J$6-SQRT((1-O28)*($J$6-$H$6)*($J$6-$I$6)))</f>
        <v/>
      </c>
      <c r="D28" s="17">
        <f>IF(P28&lt;$K$7,$H$7+SQRT(P28*($J$7-$H$7)*($I$7-$H$7)),$J$7-SQRT((1-P28)*($J$7-$H$7)*($J$7-$I$7)))</f>
        <v/>
      </c>
      <c r="E28" s="17">
        <f>SUM(B28:D28)</f>
        <v/>
      </c>
      <c r="G28" s="19" t="n">
        <v>10</v>
      </c>
      <c r="H28" s="13">
        <f>COUNTIFS($E$5:$E$1004,"&gt;="&amp;G28,$E$5:$E$1004,"&lt;"&amp;(G28+0.5))</f>
        <v/>
      </c>
      <c r="N28" s="16">
        <f>RAND()</f>
        <v/>
      </c>
      <c r="O28" s="16">
        <f>RAND()</f>
        <v/>
      </c>
      <c r="P28" s="16">
        <f>RAND()</f>
        <v/>
      </c>
    </row>
    <row r="29">
      <c r="A29" s="13" t="n">
        <v>25</v>
      </c>
      <c r="B29" s="17">
        <f>IF(N29&lt;$K$5,$H$5+SQRT(N29*($J$5-$H$5)*($I$5-$H$5)),$J$5-SQRT((1-N29)*($J$5-$H$5)*($J$5-$I$5)))</f>
        <v/>
      </c>
      <c r="C29" s="17">
        <f>IF(O29&lt;$K$6,$H$6+SQRT(O29*($J$6-$H$6)*($I$6-$H$6)),$J$6-SQRT((1-O29)*($J$6-$H$6)*($J$6-$I$6)))</f>
        <v/>
      </c>
      <c r="D29" s="17">
        <f>IF(P29&lt;$K$7,$H$7+SQRT(P29*($J$7-$H$7)*($I$7-$H$7)),$J$7-SQRT((1-P29)*($J$7-$H$7)*($J$7-$I$7)))</f>
        <v/>
      </c>
      <c r="E29" s="17">
        <f>SUM(B29:D29)</f>
        <v/>
      </c>
      <c r="G29" s="19" t="n">
        <v>10.5</v>
      </c>
      <c r="H29" s="13">
        <f>COUNTIFS($E$5:$E$1004,"&gt;="&amp;G29,$E$5:$E$1004,"&lt;"&amp;(G29+0.5))</f>
        <v/>
      </c>
      <c r="N29" s="16">
        <f>RAND()</f>
        <v/>
      </c>
      <c r="O29" s="16">
        <f>RAND()</f>
        <v/>
      </c>
      <c r="P29" s="16">
        <f>RAND()</f>
        <v/>
      </c>
    </row>
    <row r="30">
      <c r="A30" s="13" t="n">
        <v>26</v>
      </c>
      <c r="B30" s="17">
        <f>IF(N30&lt;$K$5,$H$5+SQRT(N30*($J$5-$H$5)*($I$5-$H$5)),$J$5-SQRT((1-N30)*($J$5-$H$5)*($J$5-$I$5)))</f>
        <v/>
      </c>
      <c r="C30" s="17">
        <f>IF(O30&lt;$K$6,$H$6+SQRT(O30*($J$6-$H$6)*($I$6-$H$6)),$J$6-SQRT((1-O30)*($J$6-$H$6)*($J$6-$I$6)))</f>
        <v/>
      </c>
      <c r="D30" s="17">
        <f>IF(P30&lt;$K$7,$H$7+SQRT(P30*($J$7-$H$7)*($I$7-$H$7)),$J$7-SQRT((1-P30)*($J$7-$H$7)*($J$7-$I$7)))</f>
        <v/>
      </c>
      <c r="E30" s="17">
        <f>SUM(B30:D30)</f>
        <v/>
      </c>
      <c r="G30" s="19" t="n">
        <v>11</v>
      </c>
      <c r="H30" s="13">
        <f>COUNTIFS($E$5:$E$1004,"&gt;="&amp;G30,$E$5:$E$1004,"&lt;"&amp;(G30+0.5))</f>
        <v/>
      </c>
      <c r="N30" s="16">
        <f>RAND()</f>
        <v/>
      </c>
      <c r="O30" s="16">
        <f>RAND()</f>
        <v/>
      </c>
      <c r="P30" s="16">
        <f>RAND()</f>
        <v/>
      </c>
    </row>
    <row r="31">
      <c r="A31" s="13" t="n">
        <v>27</v>
      </c>
      <c r="B31" s="17">
        <f>IF(N31&lt;$K$5,$H$5+SQRT(N31*($J$5-$H$5)*($I$5-$H$5)),$J$5-SQRT((1-N31)*($J$5-$H$5)*($J$5-$I$5)))</f>
        <v/>
      </c>
      <c r="C31" s="17">
        <f>IF(O31&lt;$K$6,$H$6+SQRT(O31*($J$6-$H$6)*($I$6-$H$6)),$J$6-SQRT((1-O31)*($J$6-$H$6)*($J$6-$I$6)))</f>
        <v/>
      </c>
      <c r="D31" s="17">
        <f>IF(P31&lt;$K$7,$H$7+SQRT(P31*($J$7-$H$7)*($I$7-$H$7)),$J$7-SQRT((1-P31)*($J$7-$H$7)*($J$7-$I$7)))</f>
        <v/>
      </c>
      <c r="E31" s="17">
        <f>SUM(B31:D31)</f>
        <v/>
      </c>
      <c r="G31" s="19" t="n">
        <v>11.5</v>
      </c>
      <c r="H31" s="13">
        <f>COUNTIFS($E$5:$E$1004,"&gt;="&amp;G31,$E$5:$E$1004,"&lt;"&amp;(G31+0.5))</f>
        <v/>
      </c>
      <c r="N31" s="16">
        <f>RAND()</f>
        <v/>
      </c>
      <c r="O31" s="16">
        <f>RAND()</f>
        <v/>
      </c>
      <c r="P31" s="16">
        <f>RAND()</f>
        <v/>
      </c>
    </row>
    <row r="32">
      <c r="A32" s="13" t="n">
        <v>28</v>
      </c>
      <c r="B32" s="17">
        <f>IF(N32&lt;$K$5,$H$5+SQRT(N32*($J$5-$H$5)*($I$5-$H$5)),$J$5-SQRT((1-N32)*($J$5-$H$5)*($J$5-$I$5)))</f>
        <v/>
      </c>
      <c r="C32" s="17">
        <f>IF(O32&lt;$K$6,$H$6+SQRT(O32*($J$6-$H$6)*($I$6-$H$6)),$J$6-SQRT((1-O32)*($J$6-$H$6)*($J$6-$I$6)))</f>
        <v/>
      </c>
      <c r="D32" s="17">
        <f>IF(P32&lt;$K$7,$H$7+SQRT(P32*($J$7-$H$7)*($I$7-$H$7)),$J$7-SQRT((1-P32)*($J$7-$H$7)*($J$7-$I$7)))</f>
        <v/>
      </c>
      <c r="E32" s="17">
        <f>SUM(B32:D32)</f>
        <v/>
      </c>
      <c r="G32" s="19" t="n">
        <v>12</v>
      </c>
      <c r="H32" s="13">
        <f>COUNTIFS($E$5:$E$1004,"&gt;="&amp;G32,$E$5:$E$1004,"&lt;"&amp;(G32+0.5))</f>
        <v/>
      </c>
      <c r="N32" s="16">
        <f>RAND()</f>
        <v/>
      </c>
      <c r="O32" s="16">
        <f>RAND()</f>
        <v/>
      </c>
      <c r="P32" s="16">
        <f>RAND()</f>
        <v/>
      </c>
    </row>
    <row r="33">
      <c r="A33" s="13" t="n">
        <v>29</v>
      </c>
      <c r="B33" s="17">
        <f>IF(N33&lt;$K$5,$H$5+SQRT(N33*($J$5-$H$5)*($I$5-$H$5)),$J$5-SQRT((1-N33)*($J$5-$H$5)*($J$5-$I$5)))</f>
        <v/>
      </c>
      <c r="C33" s="17">
        <f>IF(O33&lt;$K$6,$H$6+SQRT(O33*($J$6-$H$6)*($I$6-$H$6)),$J$6-SQRT((1-O33)*($J$6-$H$6)*($J$6-$I$6)))</f>
        <v/>
      </c>
      <c r="D33" s="17">
        <f>IF(P33&lt;$K$7,$H$7+SQRT(P33*($J$7-$H$7)*($I$7-$H$7)),$J$7-SQRT((1-P33)*($J$7-$H$7)*($J$7-$I$7)))</f>
        <v/>
      </c>
      <c r="E33" s="17">
        <f>SUM(B33:D33)</f>
        <v/>
      </c>
      <c r="G33" s="19" t="n">
        <v>12.5</v>
      </c>
      <c r="H33" s="13">
        <f>COUNTIFS($E$5:$E$1004,"&gt;="&amp;G33,$E$5:$E$1004,"&lt;"&amp;(G33+0.5))</f>
        <v/>
      </c>
      <c r="N33" s="16">
        <f>RAND()</f>
        <v/>
      </c>
      <c r="O33" s="16">
        <f>RAND()</f>
        <v/>
      </c>
      <c r="P33" s="16">
        <f>RAND()</f>
        <v/>
      </c>
    </row>
    <row r="34">
      <c r="A34" s="13" t="n">
        <v>30</v>
      </c>
      <c r="B34" s="17">
        <f>IF(N34&lt;$K$5,$H$5+SQRT(N34*($J$5-$H$5)*($I$5-$H$5)),$J$5-SQRT((1-N34)*($J$5-$H$5)*($J$5-$I$5)))</f>
        <v/>
      </c>
      <c r="C34" s="17">
        <f>IF(O34&lt;$K$6,$H$6+SQRT(O34*($J$6-$H$6)*($I$6-$H$6)),$J$6-SQRT((1-O34)*($J$6-$H$6)*($J$6-$I$6)))</f>
        <v/>
      </c>
      <c r="D34" s="17">
        <f>IF(P34&lt;$K$7,$H$7+SQRT(P34*($J$7-$H$7)*($I$7-$H$7)),$J$7-SQRT((1-P34)*($J$7-$H$7)*($J$7-$I$7)))</f>
        <v/>
      </c>
      <c r="E34" s="17">
        <f>SUM(B34:D34)</f>
        <v/>
      </c>
      <c r="G34" s="19" t="n">
        <v>13</v>
      </c>
      <c r="H34" s="13">
        <f>COUNTIFS($E$5:$E$1004,"&gt;="&amp;G34,$E$5:$E$1004,"&lt;"&amp;(G34+0.5))</f>
        <v/>
      </c>
      <c r="N34" s="16">
        <f>RAND()</f>
        <v/>
      </c>
      <c r="O34" s="16">
        <f>RAND()</f>
        <v/>
      </c>
      <c r="P34" s="16">
        <f>RAND()</f>
        <v/>
      </c>
    </row>
    <row r="35">
      <c r="A35" s="13" t="n">
        <v>31</v>
      </c>
      <c r="B35" s="17">
        <f>IF(N35&lt;$K$5,$H$5+SQRT(N35*($J$5-$H$5)*($I$5-$H$5)),$J$5-SQRT((1-N35)*($J$5-$H$5)*($J$5-$I$5)))</f>
        <v/>
      </c>
      <c r="C35" s="17">
        <f>IF(O35&lt;$K$6,$H$6+SQRT(O35*($J$6-$H$6)*($I$6-$H$6)),$J$6-SQRT((1-O35)*($J$6-$H$6)*($J$6-$I$6)))</f>
        <v/>
      </c>
      <c r="D35" s="17">
        <f>IF(P35&lt;$K$7,$H$7+SQRT(P35*($J$7-$H$7)*($I$7-$H$7)),$J$7-SQRT((1-P35)*($J$7-$H$7)*($J$7-$I$7)))</f>
        <v/>
      </c>
      <c r="E35" s="17">
        <f>SUM(B35:D35)</f>
        <v/>
      </c>
      <c r="G35" s="19" t="n">
        <v>13.5</v>
      </c>
      <c r="H35" s="13">
        <f>COUNTIFS($E$5:$E$1004,"&gt;="&amp;G35,$E$5:$E$1004,"&lt;"&amp;(G35+0.5))</f>
        <v/>
      </c>
      <c r="N35" s="16">
        <f>RAND()</f>
        <v/>
      </c>
      <c r="O35" s="16">
        <f>RAND()</f>
        <v/>
      </c>
      <c r="P35" s="16">
        <f>RAND()</f>
        <v/>
      </c>
    </row>
    <row r="36">
      <c r="A36" s="13" t="n">
        <v>32</v>
      </c>
      <c r="B36" s="17">
        <f>IF(N36&lt;$K$5,$H$5+SQRT(N36*($J$5-$H$5)*($I$5-$H$5)),$J$5-SQRT((1-N36)*($J$5-$H$5)*($J$5-$I$5)))</f>
        <v/>
      </c>
      <c r="C36" s="17">
        <f>IF(O36&lt;$K$6,$H$6+SQRT(O36*($J$6-$H$6)*($I$6-$H$6)),$J$6-SQRT((1-O36)*($J$6-$H$6)*($J$6-$I$6)))</f>
        <v/>
      </c>
      <c r="D36" s="17">
        <f>IF(P36&lt;$K$7,$H$7+SQRT(P36*($J$7-$H$7)*($I$7-$H$7)),$J$7-SQRT((1-P36)*($J$7-$H$7)*($J$7-$I$7)))</f>
        <v/>
      </c>
      <c r="E36" s="17">
        <f>SUM(B36:D36)</f>
        <v/>
      </c>
      <c r="G36" s="19" t="n">
        <v>14</v>
      </c>
      <c r="H36" s="13">
        <f>COUNTIFS($E$5:$E$1004,"&gt;="&amp;G36,$E$5:$E$1004,"&lt;"&amp;(G36+0.5))</f>
        <v/>
      </c>
      <c r="N36" s="16">
        <f>RAND()</f>
        <v/>
      </c>
      <c r="O36" s="16">
        <f>RAND()</f>
        <v/>
      </c>
      <c r="P36" s="16">
        <f>RAND()</f>
        <v/>
      </c>
    </row>
    <row r="37">
      <c r="A37" s="13" t="n">
        <v>33</v>
      </c>
      <c r="B37" s="17">
        <f>IF(N37&lt;$K$5,$H$5+SQRT(N37*($J$5-$H$5)*($I$5-$H$5)),$J$5-SQRT((1-N37)*($J$5-$H$5)*($J$5-$I$5)))</f>
        <v/>
      </c>
      <c r="C37" s="17">
        <f>IF(O37&lt;$K$6,$H$6+SQRT(O37*($J$6-$H$6)*($I$6-$H$6)),$J$6-SQRT((1-O37)*($J$6-$H$6)*($J$6-$I$6)))</f>
        <v/>
      </c>
      <c r="D37" s="17">
        <f>IF(P37&lt;$K$7,$H$7+SQRT(P37*($J$7-$H$7)*($I$7-$H$7)),$J$7-SQRT((1-P37)*($J$7-$H$7)*($J$7-$I$7)))</f>
        <v/>
      </c>
      <c r="E37" s="17">
        <f>SUM(B37:D37)</f>
        <v/>
      </c>
      <c r="G37" s="19" t="n">
        <v>14.5</v>
      </c>
      <c r="H37" s="13">
        <f>COUNTIFS($E$5:$E$1004,"&gt;="&amp;G37,$E$5:$E$1004,"&lt;"&amp;(G37+0.5))</f>
        <v/>
      </c>
      <c r="N37" s="16">
        <f>RAND()</f>
        <v/>
      </c>
      <c r="O37" s="16">
        <f>RAND()</f>
        <v/>
      </c>
      <c r="P37" s="16">
        <f>RAND()</f>
        <v/>
      </c>
    </row>
    <row r="38">
      <c r="A38" s="13" t="n">
        <v>34</v>
      </c>
      <c r="B38" s="17">
        <f>IF(N38&lt;$K$5,$H$5+SQRT(N38*($J$5-$H$5)*($I$5-$H$5)),$J$5-SQRT((1-N38)*($J$5-$H$5)*($J$5-$I$5)))</f>
        <v/>
      </c>
      <c r="C38" s="17">
        <f>IF(O38&lt;$K$6,$H$6+SQRT(O38*($J$6-$H$6)*($I$6-$H$6)),$J$6-SQRT((1-O38)*($J$6-$H$6)*($J$6-$I$6)))</f>
        <v/>
      </c>
      <c r="D38" s="17">
        <f>IF(P38&lt;$K$7,$H$7+SQRT(P38*($J$7-$H$7)*($I$7-$H$7)),$J$7-SQRT((1-P38)*($J$7-$H$7)*($J$7-$I$7)))</f>
        <v/>
      </c>
      <c r="E38" s="17">
        <f>SUM(B38:D38)</f>
        <v/>
      </c>
      <c r="G38" s="19" t="n">
        <v>15</v>
      </c>
      <c r="H38" s="13">
        <f>COUNTIFS($E$5:$E$1004,"&gt;="&amp;G38,$E$5:$E$1004,"&lt;"&amp;(G38+0.5))</f>
        <v/>
      </c>
      <c r="N38" s="16">
        <f>RAND()</f>
        <v/>
      </c>
      <c r="O38" s="16">
        <f>RAND()</f>
        <v/>
      </c>
      <c r="P38" s="16">
        <f>RAND()</f>
        <v/>
      </c>
    </row>
    <row r="39">
      <c r="A39" s="13" t="n">
        <v>35</v>
      </c>
      <c r="B39" s="17">
        <f>IF(N39&lt;$K$5,$H$5+SQRT(N39*($J$5-$H$5)*($I$5-$H$5)),$J$5-SQRT((1-N39)*($J$5-$H$5)*($J$5-$I$5)))</f>
        <v/>
      </c>
      <c r="C39" s="17">
        <f>IF(O39&lt;$K$6,$H$6+SQRT(O39*($J$6-$H$6)*($I$6-$H$6)),$J$6-SQRT((1-O39)*($J$6-$H$6)*($J$6-$I$6)))</f>
        <v/>
      </c>
      <c r="D39" s="17">
        <f>IF(P39&lt;$K$7,$H$7+SQRT(P39*($J$7-$H$7)*($I$7-$H$7)),$J$7-SQRT((1-P39)*($J$7-$H$7)*($J$7-$I$7)))</f>
        <v/>
      </c>
      <c r="E39" s="17">
        <f>SUM(B39:D39)</f>
        <v/>
      </c>
      <c r="G39" s="19" t="n">
        <v>15.5</v>
      </c>
      <c r="H39" s="13">
        <f>COUNTIFS($E$5:$E$1004,"&gt;="&amp;G39,$E$5:$E$1004,"&lt;"&amp;(G39+0.5))</f>
        <v/>
      </c>
      <c r="N39" s="16">
        <f>RAND()</f>
        <v/>
      </c>
      <c r="O39" s="16">
        <f>RAND()</f>
        <v/>
      </c>
      <c r="P39" s="16">
        <f>RAND()</f>
        <v/>
      </c>
    </row>
    <row r="40">
      <c r="A40" s="13" t="n">
        <v>36</v>
      </c>
      <c r="B40" s="17">
        <f>IF(N40&lt;$K$5,$H$5+SQRT(N40*($J$5-$H$5)*($I$5-$H$5)),$J$5-SQRT((1-N40)*($J$5-$H$5)*($J$5-$I$5)))</f>
        <v/>
      </c>
      <c r="C40" s="17">
        <f>IF(O40&lt;$K$6,$H$6+SQRT(O40*($J$6-$H$6)*($I$6-$H$6)),$J$6-SQRT((1-O40)*($J$6-$H$6)*($J$6-$I$6)))</f>
        <v/>
      </c>
      <c r="D40" s="17">
        <f>IF(P40&lt;$K$7,$H$7+SQRT(P40*($J$7-$H$7)*($I$7-$H$7)),$J$7-SQRT((1-P40)*($J$7-$H$7)*($J$7-$I$7)))</f>
        <v/>
      </c>
      <c r="E40" s="17">
        <f>SUM(B40:D40)</f>
        <v/>
      </c>
      <c r="G40" s="19" t="n">
        <v>16</v>
      </c>
      <c r="H40" s="13">
        <f>COUNTIFS($E$5:$E$1004,"&gt;="&amp;G40,$E$5:$E$1004,"&lt;"&amp;(G40+0.5))</f>
        <v/>
      </c>
      <c r="N40" s="16">
        <f>RAND()</f>
        <v/>
      </c>
      <c r="O40" s="16">
        <f>RAND()</f>
        <v/>
      </c>
      <c r="P40" s="16">
        <f>RAND()</f>
        <v/>
      </c>
    </row>
    <row r="41">
      <c r="A41" s="13" t="n">
        <v>37</v>
      </c>
      <c r="B41" s="17">
        <f>IF(N41&lt;$K$5,$H$5+SQRT(N41*($J$5-$H$5)*($I$5-$H$5)),$J$5-SQRT((1-N41)*($J$5-$H$5)*($J$5-$I$5)))</f>
        <v/>
      </c>
      <c r="C41" s="17">
        <f>IF(O41&lt;$K$6,$H$6+SQRT(O41*($J$6-$H$6)*($I$6-$H$6)),$J$6-SQRT((1-O41)*($J$6-$H$6)*($J$6-$I$6)))</f>
        <v/>
      </c>
      <c r="D41" s="17">
        <f>IF(P41&lt;$K$7,$H$7+SQRT(P41*($J$7-$H$7)*($I$7-$H$7)),$J$7-SQRT((1-P41)*($J$7-$H$7)*($J$7-$I$7)))</f>
        <v/>
      </c>
      <c r="E41" s="17">
        <f>SUM(B41:D41)</f>
        <v/>
      </c>
      <c r="G41" s="19" t="n">
        <v>16.5</v>
      </c>
      <c r="H41" s="13">
        <f>COUNTIFS($E$5:$E$1004,"&gt;="&amp;G41,$E$5:$E$1004,"&lt;"&amp;(G41+0.5))</f>
        <v/>
      </c>
      <c r="N41" s="16">
        <f>RAND()</f>
        <v/>
      </c>
      <c r="O41" s="16">
        <f>RAND()</f>
        <v/>
      </c>
      <c r="P41" s="16">
        <f>RAND()</f>
        <v/>
      </c>
    </row>
    <row r="42">
      <c r="A42" s="13" t="n">
        <v>38</v>
      </c>
      <c r="B42" s="17">
        <f>IF(N42&lt;$K$5,$H$5+SQRT(N42*($J$5-$H$5)*($I$5-$H$5)),$J$5-SQRT((1-N42)*($J$5-$H$5)*($J$5-$I$5)))</f>
        <v/>
      </c>
      <c r="C42" s="17">
        <f>IF(O42&lt;$K$6,$H$6+SQRT(O42*($J$6-$H$6)*($I$6-$H$6)),$J$6-SQRT((1-O42)*($J$6-$H$6)*($J$6-$I$6)))</f>
        <v/>
      </c>
      <c r="D42" s="17">
        <f>IF(P42&lt;$K$7,$H$7+SQRT(P42*($J$7-$H$7)*($I$7-$H$7)),$J$7-SQRT((1-P42)*($J$7-$H$7)*($J$7-$I$7)))</f>
        <v/>
      </c>
      <c r="E42" s="17">
        <f>SUM(B42:D42)</f>
        <v/>
      </c>
      <c r="G42" s="19" t="n">
        <v>17</v>
      </c>
      <c r="H42" s="13">
        <f>COUNTIFS($E$5:$E$1004,"&gt;="&amp;G42,$E$5:$E$1004,"&lt;"&amp;(G42+0.5))</f>
        <v/>
      </c>
      <c r="N42" s="16">
        <f>RAND()</f>
        <v/>
      </c>
      <c r="O42" s="16">
        <f>RAND()</f>
        <v/>
      </c>
      <c r="P42" s="16">
        <f>RAND()</f>
        <v/>
      </c>
    </row>
    <row r="43">
      <c r="A43" s="13" t="n">
        <v>39</v>
      </c>
      <c r="B43" s="17">
        <f>IF(N43&lt;$K$5,$H$5+SQRT(N43*($J$5-$H$5)*($I$5-$H$5)),$J$5-SQRT((1-N43)*($J$5-$H$5)*($J$5-$I$5)))</f>
        <v/>
      </c>
      <c r="C43" s="17">
        <f>IF(O43&lt;$K$6,$H$6+SQRT(O43*($J$6-$H$6)*($I$6-$H$6)),$J$6-SQRT((1-O43)*($J$6-$H$6)*($J$6-$I$6)))</f>
        <v/>
      </c>
      <c r="D43" s="17">
        <f>IF(P43&lt;$K$7,$H$7+SQRT(P43*($J$7-$H$7)*($I$7-$H$7)),$J$7-SQRT((1-P43)*($J$7-$H$7)*($J$7-$I$7)))</f>
        <v/>
      </c>
      <c r="E43" s="17">
        <f>SUM(B43:D43)</f>
        <v/>
      </c>
      <c r="G43" s="19" t="n">
        <v>17.5</v>
      </c>
      <c r="H43" s="13">
        <f>COUNTIFS($E$5:$E$1004,"&gt;="&amp;G43,$E$5:$E$1004,"&lt;"&amp;(G43+0.5))</f>
        <v/>
      </c>
      <c r="N43" s="16">
        <f>RAND()</f>
        <v/>
      </c>
      <c r="O43" s="16">
        <f>RAND()</f>
        <v/>
      </c>
      <c r="P43" s="16">
        <f>RAND()</f>
        <v/>
      </c>
    </row>
    <row r="44">
      <c r="A44" s="13" t="n">
        <v>40</v>
      </c>
      <c r="B44" s="17">
        <f>IF(N44&lt;$K$5,$H$5+SQRT(N44*($J$5-$H$5)*($I$5-$H$5)),$J$5-SQRT((1-N44)*($J$5-$H$5)*($J$5-$I$5)))</f>
        <v/>
      </c>
      <c r="C44" s="17">
        <f>IF(O44&lt;$K$6,$H$6+SQRT(O44*($J$6-$H$6)*($I$6-$H$6)),$J$6-SQRT((1-O44)*($J$6-$H$6)*($J$6-$I$6)))</f>
        <v/>
      </c>
      <c r="D44" s="17">
        <f>IF(P44&lt;$K$7,$H$7+SQRT(P44*($J$7-$H$7)*($I$7-$H$7)),$J$7-SQRT((1-P44)*($J$7-$H$7)*($J$7-$I$7)))</f>
        <v/>
      </c>
      <c r="E44" s="17">
        <f>SUM(B44:D44)</f>
        <v/>
      </c>
      <c r="N44" s="16">
        <f>RAND()</f>
        <v/>
      </c>
      <c r="O44" s="16">
        <f>RAND()</f>
        <v/>
      </c>
      <c r="P44" s="16">
        <f>RAND()</f>
        <v/>
      </c>
    </row>
    <row r="45">
      <c r="A45" s="13" t="n">
        <v>41</v>
      </c>
      <c r="B45" s="17">
        <f>IF(N45&lt;$K$5,$H$5+SQRT(N45*($J$5-$H$5)*($I$5-$H$5)),$J$5-SQRT((1-N45)*($J$5-$H$5)*($J$5-$I$5)))</f>
        <v/>
      </c>
      <c r="C45" s="17">
        <f>IF(O45&lt;$K$6,$H$6+SQRT(O45*($J$6-$H$6)*($I$6-$H$6)),$J$6-SQRT((1-O45)*($J$6-$H$6)*($J$6-$I$6)))</f>
        <v/>
      </c>
      <c r="D45" s="17">
        <f>IF(P45&lt;$K$7,$H$7+SQRT(P45*($J$7-$H$7)*($I$7-$H$7)),$J$7-SQRT((1-P45)*($J$7-$H$7)*($J$7-$I$7)))</f>
        <v/>
      </c>
      <c r="E45" s="17">
        <f>SUM(B45:D45)</f>
        <v/>
      </c>
      <c r="N45" s="16">
        <f>RAND()</f>
        <v/>
      </c>
      <c r="O45" s="16">
        <f>RAND()</f>
        <v/>
      </c>
      <c r="P45" s="16">
        <f>RAND()</f>
        <v/>
      </c>
    </row>
    <row r="46">
      <c r="A46" s="13" t="n">
        <v>42</v>
      </c>
      <c r="B46" s="17">
        <f>IF(N46&lt;$K$5,$H$5+SQRT(N46*($J$5-$H$5)*($I$5-$H$5)),$J$5-SQRT((1-N46)*($J$5-$H$5)*($J$5-$I$5)))</f>
        <v/>
      </c>
      <c r="C46" s="17">
        <f>IF(O46&lt;$K$6,$H$6+SQRT(O46*($J$6-$H$6)*($I$6-$H$6)),$J$6-SQRT((1-O46)*($J$6-$H$6)*($J$6-$I$6)))</f>
        <v/>
      </c>
      <c r="D46" s="17">
        <f>IF(P46&lt;$K$7,$H$7+SQRT(P46*($J$7-$H$7)*($I$7-$H$7)),$J$7-SQRT((1-P46)*($J$7-$H$7)*($J$7-$I$7)))</f>
        <v/>
      </c>
      <c r="E46" s="17">
        <f>SUM(B46:D46)</f>
        <v/>
      </c>
      <c r="N46" s="16">
        <f>RAND()</f>
        <v/>
      </c>
      <c r="O46" s="16">
        <f>RAND()</f>
        <v/>
      </c>
      <c r="P46" s="16">
        <f>RAND()</f>
        <v/>
      </c>
    </row>
    <row r="47">
      <c r="A47" s="13" t="n">
        <v>43</v>
      </c>
      <c r="B47" s="17">
        <f>IF(N47&lt;$K$5,$H$5+SQRT(N47*($J$5-$H$5)*($I$5-$H$5)),$J$5-SQRT((1-N47)*($J$5-$H$5)*($J$5-$I$5)))</f>
        <v/>
      </c>
      <c r="C47" s="17">
        <f>IF(O47&lt;$K$6,$H$6+SQRT(O47*($J$6-$H$6)*($I$6-$H$6)),$J$6-SQRT((1-O47)*($J$6-$H$6)*($J$6-$I$6)))</f>
        <v/>
      </c>
      <c r="D47" s="17">
        <f>IF(P47&lt;$K$7,$H$7+SQRT(P47*($J$7-$H$7)*($I$7-$H$7)),$J$7-SQRT((1-P47)*($J$7-$H$7)*($J$7-$I$7)))</f>
        <v/>
      </c>
      <c r="E47" s="17">
        <f>SUM(B47:D47)</f>
        <v/>
      </c>
      <c r="N47" s="16">
        <f>RAND()</f>
        <v/>
      </c>
      <c r="O47" s="16">
        <f>RAND()</f>
        <v/>
      </c>
      <c r="P47" s="16">
        <f>RAND()</f>
        <v/>
      </c>
    </row>
    <row r="48">
      <c r="A48" s="13" t="n">
        <v>44</v>
      </c>
      <c r="B48" s="17">
        <f>IF(N48&lt;$K$5,$H$5+SQRT(N48*($J$5-$H$5)*($I$5-$H$5)),$J$5-SQRT((1-N48)*($J$5-$H$5)*($J$5-$I$5)))</f>
        <v/>
      </c>
      <c r="C48" s="17">
        <f>IF(O48&lt;$K$6,$H$6+SQRT(O48*($J$6-$H$6)*($I$6-$H$6)),$J$6-SQRT((1-O48)*($J$6-$H$6)*($J$6-$I$6)))</f>
        <v/>
      </c>
      <c r="D48" s="17">
        <f>IF(P48&lt;$K$7,$H$7+SQRT(P48*($J$7-$H$7)*($I$7-$H$7)),$J$7-SQRT((1-P48)*($J$7-$H$7)*($J$7-$I$7)))</f>
        <v/>
      </c>
      <c r="E48" s="17">
        <f>SUM(B48:D48)</f>
        <v/>
      </c>
      <c r="N48" s="16">
        <f>RAND()</f>
        <v/>
      </c>
      <c r="O48" s="16">
        <f>RAND()</f>
        <v/>
      </c>
      <c r="P48" s="16">
        <f>RAND()</f>
        <v/>
      </c>
    </row>
    <row r="49">
      <c r="A49" s="13" t="n">
        <v>45</v>
      </c>
      <c r="B49" s="17">
        <f>IF(N49&lt;$K$5,$H$5+SQRT(N49*($J$5-$H$5)*($I$5-$H$5)),$J$5-SQRT((1-N49)*($J$5-$H$5)*($J$5-$I$5)))</f>
        <v/>
      </c>
      <c r="C49" s="17">
        <f>IF(O49&lt;$K$6,$H$6+SQRT(O49*($J$6-$H$6)*($I$6-$H$6)),$J$6-SQRT((1-O49)*($J$6-$H$6)*($J$6-$I$6)))</f>
        <v/>
      </c>
      <c r="D49" s="17">
        <f>IF(P49&lt;$K$7,$H$7+SQRT(P49*($J$7-$H$7)*($I$7-$H$7)),$J$7-SQRT((1-P49)*($J$7-$H$7)*($J$7-$I$7)))</f>
        <v/>
      </c>
      <c r="E49" s="17">
        <f>SUM(B49:D49)</f>
        <v/>
      </c>
      <c r="N49" s="16">
        <f>RAND()</f>
        <v/>
      </c>
      <c r="O49" s="16">
        <f>RAND()</f>
        <v/>
      </c>
      <c r="P49" s="16">
        <f>RAND()</f>
        <v/>
      </c>
    </row>
    <row r="50">
      <c r="A50" s="13" t="n">
        <v>46</v>
      </c>
      <c r="B50" s="17">
        <f>IF(N50&lt;$K$5,$H$5+SQRT(N50*($J$5-$H$5)*($I$5-$H$5)),$J$5-SQRT((1-N50)*($J$5-$H$5)*($J$5-$I$5)))</f>
        <v/>
      </c>
      <c r="C50" s="17">
        <f>IF(O50&lt;$K$6,$H$6+SQRT(O50*($J$6-$H$6)*($I$6-$H$6)),$J$6-SQRT((1-O50)*($J$6-$H$6)*($J$6-$I$6)))</f>
        <v/>
      </c>
      <c r="D50" s="17">
        <f>IF(P50&lt;$K$7,$H$7+SQRT(P50*($J$7-$H$7)*($I$7-$H$7)),$J$7-SQRT((1-P50)*($J$7-$H$7)*($J$7-$I$7)))</f>
        <v/>
      </c>
      <c r="E50" s="17">
        <f>SUM(B50:D50)</f>
        <v/>
      </c>
      <c r="N50" s="16">
        <f>RAND()</f>
        <v/>
      </c>
      <c r="O50" s="16">
        <f>RAND()</f>
        <v/>
      </c>
      <c r="P50" s="16">
        <f>RAND()</f>
        <v/>
      </c>
    </row>
    <row r="51">
      <c r="A51" s="13" t="n">
        <v>47</v>
      </c>
      <c r="B51" s="17">
        <f>IF(N51&lt;$K$5,$H$5+SQRT(N51*($J$5-$H$5)*($I$5-$H$5)),$J$5-SQRT((1-N51)*($J$5-$H$5)*($J$5-$I$5)))</f>
        <v/>
      </c>
      <c r="C51" s="17">
        <f>IF(O51&lt;$K$6,$H$6+SQRT(O51*($J$6-$H$6)*($I$6-$H$6)),$J$6-SQRT((1-O51)*($J$6-$H$6)*($J$6-$I$6)))</f>
        <v/>
      </c>
      <c r="D51" s="17">
        <f>IF(P51&lt;$K$7,$H$7+SQRT(P51*($J$7-$H$7)*($I$7-$H$7)),$J$7-SQRT((1-P51)*($J$7-$H$7)*($J$7-$I$7)))</f>
        <v/>
      </c>
      <c r="E51" s="17">
        <f>SUM(B51:D51)</f>
        <v/>
      </c>
      <c r="N51" s="16">
        <f>RAND()</f>
        <v/>
      </c>
      <c r="O51" s="16">
        <f>RAND()</f>
        <v/>
      </c>
      <c r="P51" s="16">
        <f>RAND()</f>
        <v/>
      </c>
    </row>
    <row r="52">
      <c r="A52" s="13" t="n">
        <v>48</v>
      </c>
      <c r="B52" s="17">
        <f>IF(N52&lt;$K$5,$H$5+SQRT(N52*($J$5-$H$5)*($I$5-$H$5)),$J$5-SQRT((1-N52)*($J$5-$H$5)*($J$5-$I$5)))</f>
        <v/>
      </c>
      <c r="C52" s="17">
        <f>IF(O52&lt;$K$6,$H$6+SQRT(O52*($J$6-$H$6)*($I$6-$H$6)),$J$6-SQRT((1-O52)*($J$6-$H$6)*($J$6-$I$6)))</f>
        <v/>
      </c>
      <c r="D52" s="17">
        <f>IF(P52&lt;$K$7,$H$7+SQRT(P52*($J$7-$H$7)*($I$7-$H$7)),$J$7-SQRT((1-P52)*($J$7-$H$7)*($J$7-$I$7)))</f>
        <v/>
      </c>
      <c r="E52" s="17">
        <f>SUM(B52:D52)</f>
        <v/>
      </c>
      <c r="N52" s="16">
        <f>RAND()</f>
        <v/>
      </c>
      <c r="O52" s="16">
        <f>RAND()</f>
        <v/>
      </c>
      <c r="P52" s="16">
        <f>RAND()</f>
        <v/>
      </c>
    </row>
    <row r="53">
      <c r="A53" s="13" t="n">
        <v>49</v>
      </c>
      <c r="B53" s="17">
        <f>IF(N53&lt;$K$5,$H$5+SQRT(N53*($J$5-$H$5)*($I$5-$H$5)),$J$5-SQRT((1-N53)*($J$5-$H$5)*($J$5-$I$5)))</f>
        <v/>
      </c>
      <c r="C53" s="17">
        <f>IF(O53&lt;$K$6,$H$6+SQRT(O53*($J$6-$H$6)*($I$6-$H$6)),$J$6-SQRT((1-O53)*($J$6-$H$6)*($J$6-$I$6)))</f>
        <v/>
      </c>
      <c r="D53" s="17">
        <f>IF(P53&lt;$K$7,$H$7+SQRT(P53*($J$7-$H$7)*($I$7-$H$7)),$J$7-SQRT((1-P53)*($J$7-$H$7)*($J$7-$I$7)))</f>
        <v/>
      </c>
      <c r="E53" s="17">
        <f>SUM(B53:D53)</f>
        <v/>
      </c>
      <c r="N53" s="16">
        <f>RAND()</f>
        <v/>
      </c>
      <c r="O53" s="16">
        <f>RAND()</f>
        <v/>
      </c>
      <c r="P53" s="16">
        <f>RAND()</f>
        <v/>
      </c>
    </row>
    <row r="54">
      <c r="A54" s="13" t="n">
        <v>50</v>
      </c>
      <c r="B54" s="17">
        <f>IF(N54&lt;$K$5,$H$5+SQRT(N54*($J$5-$H$5)*($I$5-$H$5)),$J$5-SQRT((1-N54)*($J$5-$H$5)*($J$5-$I$5)))</f>
        <v/>
      </c>
      <c r="C54" s="17">
        <f>IF(O54&lt;$K$6,$H$6+SQRT(O54*($J$6-$H$6)*($I$6-$H$6)),$J$6-SQRT((1-O54)*($J$6-$H$6)*($J$6-$I$6)))</f>
        <v/>
      </c>
      <c r="D54" s="17">
        <f>IF(P54&lt;$K$7,$H$7+SQRT(P54*($J$7-$H$7)*($I$7-$H$7)),$J$7-SQRT((1-P54)*($J$7-$H$7)*($J$7-$I$7)))</f>
        <v/>
      </c>
      <c r="E54" s="17">
        <f>SUM(B54:D54)</f>
        <v/>
      </c>
      <c r="N54" s="16">
        <f>RAND()</f>
        <v/>
      </c>
      <c r="O54" s="16">
        <f>RAND()</f>
        <v/>
      </c>
      <c r="P54" s="16">
        <f>RAND()</f>
        <v/>
      </c>
    </row>
    <row r="55">
      <c r="A55" s="13" t="n">
        <v>51</v>
      </c>
      <c r="B55" s="17">
        <f>IF(N55&lt;$K$5,$H$5+SQRT(N55*($J$5-$H$5)*($I$5-$H$5)),$J$5-SQRT((1-N55)*($J$5-$H$5)*($J$5-$I$5)))</f>
        <v/>
      </c>
      <c r="C55" s="17">
        <f>IF(O55&lt;$K$6,$H$6+SQRT(O55*($J$6-$H$6)*($I$6-$H$6)),$J$6-SQRT((1-O55)*($J$6-$H$6)*($J$6-$I$6)))</f>
        <v/>
      </c>
      <c r="D55" s="17">
        <f>IF(P55&lt;$K$7,$H$7+SQRT(P55*($J$7-$H$7)*($I$7-$H$7)),$J$7-SQRT((1-P55)*($J$7-$H$7)*($J$7-$I$7)))</f>
        <v/>
      </c>
      <c r="E55" s="17">
        <f>SUM(B55:D55)</f>
        <v/>
      </c>
      <c r="N55" s="16">
        <f>RAND()</f>
        <v/>
      </c>
      <c r="O55" s="16">
        <f>RAND()</f>
        <v/>
      </c>
      <c r="P55" s="16">
        <f>RAND()</f>
        <v/>
      </c>
    </row>
    <row r="56">
      <c r="A56" s="13" t="n">
        <v>52</v>
      </c>
      <c r="B56" s="17">
        <f>IF(N56&lt;$K$5,$H$5+SQRT(N56*($J$5-$H$5)*($I$5-$H$5)),$J$5-SQRT((1-N56)*($J$5-$H$5)*($J$5-$I$5)))</f>
        <v/>
      </c>
      <c r="C56" s="17">
        <f>IF(O56&lt;$K$6,$H$6+SQRT(O56*($J$6-$H$6)*($I$6-$H$6)),$J$6-SQRT((1-O56)*($J$6-$H$6)*($J$6-$I$6)))</f>
        <v/>
      </c>
      <c r="D56" s="17">
        <f>IF(P56&lt;$K$7,$H$7+SQRT(P56*($J$7-$H$7)*($I$7-$H$7)),$J$7-SQRT((1-P56)*($J$7-$H$7)*($J$7-$I$7)))</f>
        <v/>
      </c>
      <c r="E56" s="17">
        <f>SUM(B56:D56)</f>
        <v/>
      </c>
      <c r="N56" s="16">
        <f>RAND()</f>
        <v/>
      </c>
      <c r="O56" s="16">
        <f>RAND()</f>
        <v/>
      </c>
      <c r="P56" s="16">
        <f>RAND()</f>
        <v/>
      </c>
    </row>
    <row r="57">
      <c r="A57" s="13" t="n">
        <v>53</v>
      </c>
      <c r="B57" s="17">
        <f>IF(N57&lt;$K$5,$H$5+SQRT(N57*($J$5-$H$5)*($I$5-$H$5)),$J$5-SQRT((1-N57)*($J$5-$H$5)*($J$5-$I$5)))</f>
        <v/>
      </c>
      <c r="C57" s="17">
        <f>IF(O57&lt;$K$6,$H$6+SQRT(O57*($J$6-$H$6)*($I$6-$H$6)),$J$6-SQRT((1-O57)*($J$6-$H$6)*($J$6-$I$6)))</f>
        <v/>
      </c>
      <c r="D57" s="17">
        <f>IF(P57&lt;$K$7,$H$7+SQRT(P57*($J$7-$H$7)*($I$7-$H$7)),$J$7-SQRT((1-P57)*($J$7-$H$7)*($J$7-$I$7)))</f>
        <v/>
      </c>
      <c r="E57" s="17">
        <f>SUM(B57:D57)</f>
        <v/>
      </c>
      <c r="N57" s="16">
        <f>RAND()</f>
        <v/>
      </c>
      <c r="O57" s="16">
        <f>RAND()</f>
        <v/>
      </c>
      <c r="P57" s="16">
        <f>RAND()</f>
        <v/>
      </c>
    </row>
    <row r="58">
      <c r="A58" s="13" t="n">
        <v>54</v>
      </c>
      <c r="B58" s="17">
        <f>IF(N58&lt;$K$5,$H$5+SQRT(N58*($J$5-$H$5)*($I$5-$H$5)),$J$5-SQRT((1-N58)*($J$5-$H$5)*($J$5-$I$5)))</f>
        <v/>
      </c>
      <c r="C58" s="17">
        <f>IF(O58&lt;$K$6,$H$6+SQRT(O58*($J$6-$H$6)*($I$6-$H$6)),$J$6-SQRT((1-O58)*($J$6-$H$6)*($J$6-$I$6)))</f>
        <v/>
      </c>
      <c r="D58" s="17">
        <f>IF(P58&lt;$K$7,$H$7+SQRT(P58*($J$7-$H$7)*($I$7-$H$7)),$J$7-SQRT((1-P58)*($J$7-$H$7)*($J$7-$I$7)))</f>
        <v/>
      </c>
      <c r="E58" s="17">
        <f>SUM(B58:D58)</f>
        <v/>
      </c>
      <c r="N58" s="16">
        <f>RAND()</f>
        <v/>
      </c>
      <c r="O58" s="16">
        <f>RAND()</f>
        <v/>
      </c>
      <c r="P58" s="16">
        <f>RAND()</f>
        <v/>
      </c>
    </row>
    <row r="59">
      <c r="A59" s="13" t="n">
        <v>55</v>
      </c>
      <c r="B59" s="17">
        <f>IF(N59&lt;$K$5,$H$5+SQRT(N59*($J$5-$H$5)*($I$5-$H$5)),$J$5-SQRT((1-N59)*($J$5-$H$5)*($J$5-$I$5)))</f>
        <v/>
      </c>
      <c r="C59" s="17">
        <f>IF(O59&lt;$K$6,$H$6+SQRT(O59*($J$6-$H$6)*($I$6-$H$6)),$J$6-SQRT((1-O59)*($J$6-$H$6)*($J$6-$I$6)))</f>
        <v/>
      </c>
      <c r="D59" s="17">
        <f>IF(P59&lt;$K$7,$H$7+SQRT(P59*($J$7-$H$7)*($I$7-$H$7)),$J$7-SQRT((1-P59)*($J$7-$H$7)*($J$7-$I$7)))</f>
        <v/>
      </c>
      <c r="E59" s="17">
        <f>SUM(B59:D59)</f>
        <v/>
      </c>
      <c r="N59" s="16">
        <f>RAND()</f>
        <v/>
      </c>
      <c r="O59" s="16">
        <f>RAND()</f>
        <v/>
      </c>
      <c r="P59" s="16">
        <f>RAND()</f>
        <v/>
      </c>
    </row>
    <row r="60">
      <c r="A60" s="13" t="n">
        <v>56</v>
      </c>
      <c r="B60" s="17">
        <f>IF(N60&lt;$K$5,$H$5+SQRT(N60*($J$5-$H$5)*($I$5-$H$5)),$J$5-SQRT((1-N60)*($J$5-$H$5)*($J$5-$I$5)))</f>
        <v/>
      </c>
      <c r="C60" s="17">
        <f>IF(O60&lt;$K$6,$H$6+SQRT(O60*($J$6-$H$6)*($I$6-$H$6)),$J$6-SQRT((1-O60)*($J$6-$H$6)*($J$6-$I$6)))</f>
        <v/>
      </c>
      <c r="D60" s="17">
        <f>IF(P60&lt;$K$7,$H$7+SQRT(P60*($J$7-$H$7)*($I$7-$H$7)),$J$7-SQRT((1-P60)*($J$7-$H$7)*($J$7-$I$7)))</f>
        <v/>
      </c>
      <c r="E60" s="17">
        <f>SUM(B60:D60)</f>
        <v/>
      </c>
      <c r="N60" s="16">
        <f>RAND()</f>
        <v/>
      </c>
      <c r="O60" s="16">
        <f>RAND()</f>
        <v/>
      </c>
      <c r="P60" s="16">
        <f>RAND()</f>
        <v/>
      </c>
    </row>
    <row r="61">
      <c r="A61" s="13" t="n">
        <v>57</v>
      </c>
      <c r="B61" s="17">
        <f>IF(N61&lt;$K$5,$H$5+SQRT(N61*($J$5-$H$5)*($I$5-$H$5)),$J$5-SQRT((1-N61)*($J$5-$H$5)*($J$5-$I$5)))</f>
        <v/>
      </c>
      <c r="C61" s="17">
        <f>IF(O61&lt;$K$6,$H$6+SQRT(O61*($J$6-$H$6)*($I$6-$H$6)),$J$6-SQRT((1-O61)*($J$6-$H$6)*($J$6-$I$6)))</f>
        <v/>
      </c>
      <c r="D61" s="17">
        <f>IF(P61&lt;$K$7,$H$7+SQRT(P61*($J$7-$H$7)*($I$7-$H$7)),$J$7-SQRT((1-P61)*($J$7-$H$7)*($J$7-$I$7)))</f>
        <v/>
      </c>
      <c r="E61" s="17">
        <f>SUM(B61:D61)</f>
        <v/>
      </c>
      <c r="N61" s="16">
        <f>RAND()</f>
        <v/>
      </c>
      <c r="O61" s="16">
        <f>RAND()</f>
        <v/>
      </c>
      <c r="P61" s="16">
        <f>RAND()</f>
        <v/>
      </c>
    </row>
    <row r="62">
      <c r="A62" s="13" t="n">
        <v>58</v>
      </c>
      <c r="B62" s="17">
        <f>IF(N62&lt;$K$5,$H$5+SQRT(N62*($J$5-$H$5)*($I$5-$H$5)),$J$5-SQRT((1-N62)*($J$5-$H$5)*($J$5-$I$5)))</f>
        <v/>
      </c>
      <c r="C62" s="17">
        <f>IF(O62&lt;$K$6,$H$6+SQRT(O62*($J$6-$H$6)*($I$6-$H$6)),$J$6-SQRT((1-O62)*($J$6-$H$6)*($J$6-$I$6)))</f>
        <v/>
      </c>
      <c r="D62" s="17">
        <f>IF(P62&lt;$K$7,$H$7+SQRT(P62*($J$7-$H$7)*($I$7-$H$7)),$J$7-SQRT((1-P62)*($J$7-$H$7)*($J$7-$I$7)))</f>
        <v/>
      </c>
      <c r="E62" s="17">
        <f>SUM(B62:D62)</f>
        <v/>
      </c>
      <c r="N62" s="16">
        <f>RAND()</f>
        <v/>
      </c>
      <c r="O62" s="16">
        <f>RAND()</f>
        <v/>
      </c>
      <c r="P62" s="16">
        <f>RAND()</f>
        <v/>
      </c>
    </row>
    <row r="63">
      <c r="A63" s="13" t="n">
        <v>59</v>
      </c>
      <c r="B63" s="17">
        <f>IF(N63&lt;$K$5,$H$5+SQRT(N63*($J$5-$H$5)*($I$5-$H$5)),$J$5-SQRT((1-N63)*($J$5-$H$5)*($J$5-$I$5)))</f>
        <v/>
      </c>
      <c r="C63" s="17">
        <f>IF(O63&lt;$K$6,$H$6+SQRT(O63*($J$6-$H$6)*($I$6-$H$6)),$J$6-SQRT((1-O63)*($J$6-$H$6)*($J$6-$I$6)))</f>
        <v/>
      </c>
      <c r="D63" s="17">
        <f>IF(P63&lt;$K$7,$H$7+SQRT(P63*($J$7-$H$7)*($I$7-$H$7)),$J$7-SQRT((1-P63)*($J$7-$H$7)*($J$7-$I$7)))</f>
        <v/>
      </c>
      <c r="E63" s="17">
        <f>SUM(B63:D63)</f>
        <v/>
      </c>
      <c r="N63" s="16">
        <f>RAND()</f>
        <v/>
      </c>
      <c r="O63" s="16">
        <f>RAND()</f>
        <v/>
      </c>
      <c r="P63" s="16">
        <f>RAND()</f>
        <v/>
      </c>
    </row>
    <row r="64">
      <c r="A64" s="13" t="n">
        <v>60</v>
      </c>
      <c r="B64" s="17">
        <f>IF(N64&lt;$K$5,$H$5+SQRT(N64*($J$5-$H$5)*($I$5-$H$5)),$J$5-SQRT((1-N64)*($J$5-$H$5)*($J$5-$I$5)))</f>
        <v/>
      </c>
      <c r="C64" s="17">
        <f>IF(O64&lt;$K$6,$H$6+SQRT(O64*($J$6-$H$6)*($I$6-$H$6)),$J$6-SQRT((1-O64)*($J$6-$H$6)*($J$6-$I$6)))</f>
        <v/>
      </c>
      <c r="D64" s="17">
        <f>IF(P64&lt;$K$7,$H$7+SQRT(P64*($J$7-$H$7)*($I$7-$H$7)),$J$7-SQRT((1-P64)*($J$7-$H$7)*($J$7-$I$7)))</f>
        <v/>
      </c>
      <c r="E64" s="17">
        <f>SUM(B64:D64)</f>
        <v/>
      </c>
      <c r="N64" s="16">
        <f>RAND()</f>
        <v/>
      </c>
      <c r="O64" s="16">
        <f>RAND()</f>
        <v/>
      </c>
      <c r="P64" s="16">
        <f>RAND()</f>
        <v/>
      </c>
    </row>
    <row r="65">
      <c r="A65" s="13" t="n">
        <v>61</v>
      </c>
      <c r="B65" s="17">
        <f>IF(N65&lt;$K$5,$H$5+SQRT(N65*($J$5-$H$5)*($I$5-$H$5)),$J$5-SQRT((1-N65)*($J$5-$H$5)*($J$5-$I$5)))</f>
        <v/>
      </c>
      <c r="C65" s="17">
        <f>IF(O65&lt;$K$6,$H$6+SQRT(O65*($J$6-$H$6)*($I$6-$H$6)),$J$6-SQRT((1-O65)*($J$6-$H$6)*($J$6-$I$6)))</f>
        <v/>
      </c>
      <c r="D65" s="17">
        <f>IF(P65&lt;$K$7,$H$7+SQRT(P65*($J$7-$H$7)*($I$7-$H$7)),$J$7-SQRT((1-P65)*($J$7-$H$7)*($J$7-$I$7)))</f>
        <v/>
      </c>
      <c r="E65" s="17">
        <f>SUM(B65:D65)</f>
        <v/>
      </c>
      <c r="N65" s="16">
        <f>RAND()</f>
        <v/>
      </c>
      <c r="O65" s="16">
        <f>RAND()</f>
        <v/>
      </c>
      <c r="P65" s="16">
        <f>RAND()</f>
        <v/>
      </c>
    </row>
    <row r="66">
      <c r="A66" s="13" t="n">
        <v>62</v>
      </c>
      <c r="B66" s="17">
        <f>IF(N66&lt;$K$5,$H$5+SQRT(N66*($J$5-$H$5)*($I$5-$H$5)),$J$5-SQRT((1-N66)*($J$5-$H$5)*($J$5-$I$5)))</f>
        <v/>
      </c>
      <c r="C66" s="17">
        <f>IF(O66&lt;$K$6,$H$6+SQRT(O66*($J$6-$H$6)*($I$6-$H$6)),$J$6-SQRT((1-O66)*($J$6-$H$6)*($J$6-$I$6)))</f>
        <v/>
      </c>
      <c r="D66" s="17">
        <f>IF(P66&lt;$K$7,$H$7+SQRT(P66*($J$7-$H$7)*($I$7-$H$7)),$J$7-SQRT((1-P66)*($J$7-$H$7)*($J$7-$I$7)))</f>
        <v/>
      </c>
      <c r="E66" s="17">
        <f>SUM(B66:D66)</f>
        <v/>
      </c>
      <c r="N66" s="16">
        <f>RAND()</f>
        <v/>
      </c>
      <c r="O66" s="16">
        <f>RAND()</f>
        <v/>
      </c>
      <c r="P66" s="16">
        <f>RAND()</f>
        <v/>
      </c>
    </row>
    <row r="67">
      <c r="A67" s="13" t="n">
        <v>63</v>
      </c>
      <c r="B67" s="17">
        <f>IF(N67&lt;$K$5,$H$5+SQRT(N67*($J$5-$H$5)*($I$5-$H$5)),$J$5-SQRT((1-N67)*($J$5-$H$5)*($J$5-$I$5)))</f>
        <v/>
      </c>
      <c r="C67" s="17">
        <f>IF(O67&lt;$K$6,$H$6+SQRT(O67*($J$6-$H$6)*($I$6-$H$6)),$J$6-SQRT((1-O67)*($J$6-$H$6)*($J$6-$I$6)))</f>
        <v/>
      </c>
      <c r="D67" s="17">
        <f>IF(P67&lt;$K$7,$H$7+SQRT(P67*($J$7-$H$7)*($I$7-$H$7)),$J$7-SQRT((1-P67)*($J$7-$H$7)*($J$7-$I$7)))</f>
        <v/>
      </c>
      <c r="E67" s="17">
        <f>SUM(B67:D67)</f>
        <v/>
      </c>
      <c r="N67" s="16">
        <f>RAND()</f>
        <v/>
      </c>
      <c r="O67" s="16">
        <f>RAND()</f>
        <v/>
      </c>
      <c r="P67" s="16">
        <f>RAND()</f>
        <v/>
      </c>
    </row>
    <row r="68">
      <c r="A68" s="13" t="n">
        <v>64</v>
      </c>
      <c r="B68" s="17">
        <f>IF(N68&lt;$K$5,$H$5+SQRT(N68*($J$5-$H$5)*($I$5-$H$5)),$J$5-SQRT((1-N68)*($J$5-$H$5)*($J$5-$I$5)))</f>
        <v/>
      </c>
      <c r="C68" s="17">
        <f>IF(O68&lt;$K$6,$H$6+SQRT(O68*($J$6-$H$6)*($I$6-$H$6)),$J$6-SQRT((1-O68)*($J$6-$H$6)*($J$6-$I$6)))</f>
        <v/>
      </c>
      <c r="D68" s="17">
        <f>IF(P68&lt;$K$7,$H$7+SQRT(P68*($J$7-$H$7)*($I$7-$H$7)),$J$7-SQRT((1-P68)*($J$7-$H$7)*($J$7-$I$7)))</f>
        <v/>
      </c>
      <c r="E68" s="17">
        <f>SUM(B68:D68)</f>
        <v/>
      </c>
      <c r="N68" s="16">
        <f>RAND()</f>
        <v/>
      </c>
      <c r="O68" s="16">
        <f>RAND()</f>
        <v/>
      </c>
      <c r="P68" s="16">
        <f>RAND()</f>
        <v/>
      </c>
    </row>
    <row r="69">
      <c r="A69" s="13" t="n">
        <v>65</v>
      </c>
      <c r="B69" s="17">
        <f>IF(N69&lt;$K$5,$H$5+SQRT(N69*($J$5-$H$5)*($I$5-$H$5)),$J$5-SQRT((1-N69)*($J$5-$H$5)*($J$5-$I$5)))</f>
        <v/>
      </c>
      <c r="C69" s="17">
        <f>IF(O69&lt;$K$6,$H$6+SQRT(O69*($J$6-$H$6)*($I$6-$H$6)),$J$6-SQRT((1-O69)*($J$6-$H$6)*($J$6-$I$6)))</f>
        <v/>
      </c>
      <c r="D69" s="17">
        <f>IF(P69&lt;$K$7,$H$7+SQRT(P69*($J$7-$H$7)*($I$7-$H$7)),$J$7-SQRT((1-P69)*($J$7-$H$7)*($J$7-$I$7)))</f>
        <v/>
      </c>
      <c r="E69" s="17">
        <f>SUM(B69:D69)</f>
        <v/>
      </c>
      <c r="N69" s="16">
        <f>RAND()</f>
        <v/>
      </c>
      <c r="O69" s="16">
        <f>RAND()</f>
        <v/>
      </c>
      <c r="P69" s="16">
        <f>RAND()</f>
        <v/>
      </c>
    </row>
    <row r="70">
      <c r="A70" s="13" t="n">
        <v>66</v>
      </c>
      <c r="B70" s="17">
        <f>IF(N70&lt;$K$5,$H$5+SQRT(N70*($J$5-$H$5)*($I$5-$H$5)),$J$5-SQRT((1-N70)*($J$5-$H$5)*($J$5-$I$5)))</f>
        <v/>
      </c>
      <c r="C70" s="17">
        <f>IF(O70&lt;$K$6,$H$6+SQRT(O70*($J$6-$H$6)*($I$6-$H$6)),$J$6-SQRT((1-O70)*($J$6-$H$6)*($J$6-$I$6)))</f>
        <v/>
      </c>
      <c r="D70" s="17">
        <f>IF(P70&lt;$K$7,$H$7+SQRT(P70*($J$7-$H$7)*($I$7-$H$7)),$J$7-SQRT((1-P70)*($J$7-$H$7)*($J$7-$I$7)))</f>
        <v/>
      </c>
      <c r="E70" s="17">
        <f>SUM(B70:D70)</f>
        <v/>
      </c>
      <c r="N70" s="16">
        <f>RAND()</f>
        <v/>
      </c>
      <c r="O70" s="16">
        <f>RAND()</f>
        <v/>
      </c>
      <c r="P70" s="16">
        <f>RAND()</f>
        <v/>
      </c>
    </row>
    <row r="71">
      <c r="A71" s="13" t="n">
        <v>67</v>
      </c>
      <c r="B71" s="17">
        <f>IF(N71&lt;$K$5,$H$5+SQRT(N71*($J$5-$H$5)*($I$5-$H$5)),$J$5-SQRT((1-N71)*($J$5-$H$5)*($J$5-$I$5)))</f>
        <v/>
      </c>
      <c r="C71" s="17">
        <f>IF(O71&lt;$K$6,$H$6+SQRT(O71*($J$6-$H$6)*($I$6-$H$6)),$J$6-SQRT((1-O71)*($J$6-$H$6)*($J$6-$I$6)))</f>
        <v/>
      </c>
      <c r="D71" s="17">
        <f>IF(P71&lt;$K$7,$H$7+SQRT(P71*($J$7-$H$7)*($I$7-$H$7)),$J$7-SQRT((1-P71)*($J$7-$H$7)*($J$7-$I$7)))</f>
        <v/>
      </c>
      <c r="E71" s="17">
        <f>SUM(B71:D71)</f>
        <v/>
      </c>
      <c r="N71" s="16">
        <f>RAND()</f>
        <v/>
      </c>
      <c r="O71" s="16">
        <f>RAND()</f>
        <v/>
      </c>
      <c r="P71" s="16">
        <f>RAND()</f>
        <v/>
      </c>
    </row>
    <row r="72">
      <c r="A72" s="13" t="n">
        <v>68</v>
      </c>
      <c r="B72" s="17">
        <f>IF(N72&lt;$K$5,$H$5+SQRT(N72*($J$5-$H$5)*($I$5-$H$5)),$J$5-SQRT((1-N72)*($J$5-$H$5)*($J$5-$I$5)))</f>
        <v/>
      </c>
      <c r="C72" s="17">
        <f>IF(O72&lt;$K$6,$H$6+SQRT(O72*($J$6-$H$6)*($I$6-$H$6)),$J$6-SQRT((1-O72)*($J$6-$H$6)*($J$6-$I$6)))</f>
        <v/>
      </c>
      <c r="D72" s="17">
        <f>IF(P72&lt;$K$7,$H$7+SQRT(P72*($J$7-$H$7)*($I$7-$H$7)),$J$7-SQRT((1-P72)*($J$7-$H$7)*($J$7-$I$7)))</f>
        <v/>
      </c>
      <c r="E72" s="17">
        <f>SUM(B72:D72)</f>
        <v/>
      </c>
      <c r="N72" s="16">
        <f>RAND()</f>
        <v/>
      </c>
      <c r="O72" s="16">
        <f>RAND()</f>
        <v/>
      </c>
      <c r="P72" s="16">
        <f>RAND()</f>
        <v/>
      </c>
    </row>
    <row r="73">
      <c r="A73" s="13" t="n">
        <v>69</v>
      </c>
      <c r="B73" s="17">
        <f>IF(N73&lt;$K$5,$H$5+SQRT(N73*($J$5-$H$5)*($I$5-$H$5)),$J$5-SQRT((1-N73)*($J$5-$H$5)*($J$5-$I$5)))</f>
        <v/>
      </c>
      <c r="C73" s="17">
        <f>IF(O73&lt;$K$6,$H$6+SQRT(O73*($J$6-$H$6)*($I$6-$H$6)),$J$6-SQRT((1-O73)*($J$6-$H$6)*($J$6-$I$6)))</f>
        <v/>
      </c>
      <c r="D73" s="17">
        <f>IF(P73&lt;$K$7,$H$7+SQRT(P73*($J$7-$H$7)*($I$7-$H$7)),$J$7-SQRT((1-P73)*($J$7-$H$7)*($J$7-$I$7)))</f>
        <v/>
      </c>
      <c r="E73" s="17">
        <f>SUM(B73:D73)</f>
        <v/>
      </c>
      <c r="N73" s="16">
        <f>RAND()</f>
        <v/>
      </c>
      <c r="O73" s="16">
        <f>RAND()</f>
        <v/>
      </c>
      <c r="P73" s="16">
        <f>RAND()</f>
        <v/>
      </c>
    </row>
    <row r="74">
      <c r="A74" s="13" t="n">
        <v>70</v>
      </c>
      <c r="B74" s="17">
        <f>IF(N74&lt;$K$5,$H$5+SQRT(N74*($J$5-$H$5)*($I$5-$H$5)),$J$5-SQRT((1-N74)*($J$5-$H$5)*($J$5-$I$5)))</f>
        <v/>
      </c>
      <c r="C74" s="17">
        <f>IF(O74&lt;$K$6,$H$6+SQRT(O74*($J$6-$H$6)*($I$6-$H$6)),$J$6-SQRT((1-O74)*($J$6-$H$6)*($J$6-$I$6)))</f>
        <v/>
      </c>
      <c r="D74" s="17">
        <f>IF(P74&lt;$K$7,$H$7+SQRT(P74*($J$7-$H$7)*($I$7-$H$7)),$J$7-SQRT((1-P74)*($J$7-$H$7)*($J$7-$I$7)))</f>
        <v/>
      </c>
      <c r="E74" s="17">
        <f>SUM(B74:D74)</f>
        <v/>
      </c>
      <c r="N74" s="16">
        <f>RAND()</f>
        <v/>
      </c>
      <c r="O74" s="16">
        <f>RAND()</f>
        <v/>
      </c>
      <c r="P74" s="16">
        <f>RAND()</f>
        <v/>
      </c>
    </row>
    <row r="75">
      <c r="A75" s="13" t="n">
        <v>71</v>
      </c>
      <c r="B75" s="17">
        <f>IF(N75&lt;$K$5,$H$5+SQRT(N75*($J$5-$H$5)*($I$5-$H$5)),$J$5-SQRT((1-N75)*($J$5-$H$5)*($J$5-$I$5)))</f>
        <v/>
      </c>
      <c r="C75" s="17">
        <f>IF(O75&lt;$K$6,$H$6+SQRT(O75*($J$6-$H$6)*($I$6-$H$6)),$J$6-SQRT((1-O75)*($J$6-$H$6)*($J$6-$I$6)))</f>
        <v/>
      </c>
      <c r="D75" s="17">
        <f>IF(P75&lt;$K$7,$H$7+SQRT(P75*($J$7-$H$7)*($I$7-$H$7)),$J$7-SQRT((1-P75)*($J$7-$H$7)*($J$7-$I$7)))</f>
        <v/>
      </c>
      <c r="E75" s="17">
        <f>SUM(B75:D75)</f>
        <v/>
      </c>
      <c r="N75" s="16">
        <f>RAND()</f>
        <v/>
      </c>
      <c r="O75" s="16">
        <f>RAND()</f>
        <v/>
      </c>
      <c r="P75" s="16">
        <f>RAND()</f>
        <v/>
      </c>
    </row>
    <row r="76">
      <c r="A76" s="13" t="n">
        <v>72</v>
      </c>
      <c r="B76" s="17">
        <f>IF(N76&lt;$K$5,$H$5+SQRT(N76*($J$5-$H$5)*($I$5-$H$5)),$J$5-SQRT((1-N76)*($J$5-$H$5)*($J$5-$I$5)))</f>
        <v/>
      </c>
      <c r="C76" s="17">
        <f>IF(O76&lt;$K$6,$H$6+SQRT(O76*($J$6-$H$6)*($I$6-$H$6)),$J$6-SQRT((1-O76)*($J$6-$H$6)*($J$6-$I$6)))</f>
        <v/>
      </c>
      <c r="D76" s="17">
        <f>IF(P76&lt;$K$7,$H$7+SQRT(P76*($J$7-$H$7)*($I$7-$H$7)),$J$7-SQRT((1-P76)*($J$7-$H$7)*($J$7-$I$7)))</f>
        <v/>
      </c>
      <c r="E76" s="17">
        <f>SUM(B76:D76)</f>
        <v/>
      </c>
      <c r="N76" s="16">
        <f>RAND()</f>
        <v/>
      </c>
      <c r="O76" s="16">
        <f>RAND()</f>
        <v/>
      </c>
      <c r="P76" s="16">
        <f>RAND()</f>
        <v/>
      </c>
    </row>
    <row r="77">
      <c r="A77" s="13" t="n">
        <v>73</v>
      </c>
      <c r="B77" s="17">
        <f>IF(N77&lt;$K$5,$H$5+SQRT(N77*($J$5-$H$5)*($I$5-$H$5)),$J$5-SQRT((1-N77)*($J$5-$H$5)*($J$5-$I$5)))</f>
        <v/>
      </c>
      <c r="C77" s="17">
        <f>IF(O77&lt;$K$6,$H$6+SQRT(O77*($J$6-$H$6)*($I$6-$H$6)),$J$6-SQRT((1-O77)*($J$6-$H$6)*($J$6-$I$6)))</f>
        <v/>
      </c>
      <c r="D77" s="17">
        <f>IF(P77&lt;$K$7,$H$7+SQRT(P77*($J$7-$H$7)*($I$7-$H$7)),$J$7-SQRT((1-P77)*($J$7-$H$7)*($J$7-$I$7)))</f>
        <v/>
      </c>
      <c r="E77" s="17">
        <f>SUM(B77:D77)</f>
        <v/>
      </c>
      <c r="N77" s="16">
        <f>RAND()</f>
        <v/>
      </c>
      <c r="O77" s="16">
        <f>RAND()</f>
        <v/>
      </c>
      <c r="P77" s="16">
        <f>RAND()</f>
        <v/>
      </c>
    </row>
    <row r="78">
      <c r="A78" s="13" t="n">
        <v>74</v>
      </c>
      <c r="B78" s="17">
        <f>IF(N78&lt;$K$5,$H$5+SQRT(N78*($J$5-$H$5)*($I$5-$H$5)),$J$5-SQRT((1-N78)*($J$5-$H$5)*($J$5-$I$5)))</f>
        <v/>
      </c>
      <c r="C78" s="17">
        <f>IF(O78&lt;$K$6,$H$6+SQRT(O78*($J$6-$H$6)*($I$6-$H$6)),$J$6-SQRT((1-O78)*($J$6-$H$6)*($J$6-$I$6)))</f>
        <v/>
      </c>
      <c r="D78" s="17">
        <f>IF(P78&lt;$K$7,$H$7+SQRT(P78*($J$7-$H$7)*($I$7-$H$7)),$J$7-SQRT((1-P78)*($J$7-$H$7)*($J$7-$I$7)))</f>
        <v/>
      </c>
      <c r="E78" s="17">
        <f>SUM(B78:D78)</f>
        <v/>
      </c>
      <c r="N78" s="16">
        <f>RAND()</f>
        <v/>
      </c>
      <c r="O78" s="16">
        <f>RAND()</f>
        <v/>
      </c>
      <c r="P78" s="16">
        <f>RAND()</f>
        <v/>
      </c>
    </row>
    <row r="79">
      <c r="A79" s="13" t="n">
        <v>75</v>
      </c>
      <c r="B79" s="17">
        <f>IF(N79&lt;$K$5,$H$5+SQRT(N79*($J$5-$H$5)*($I$5-$H$5)),$J$5-SQRT((1-N79)*($J$5-$H$5)*($J$5-$I$5)))</f>
        <v/>
      </c>
      <c r="C79" s="17">
        <f>IF(O79&lt;$K$6,$H$6+SQRT(O79*($J$6-$H$6)*($I$6-$H$6)),$J$6-SQRT((1-O79)*($J$6-$H$6)*($J$6-$I$6)))</f>
        <v/>
      </c>
      <c r="D79" s="17">
        <f>IF(P79&lt;$K$7,$H$7+SQRT(P79*($J$7-$H$7)*($I$7-$H$7)),$J$7-SQRT((1-P79)*($J$7-$H$7)*($J$7-$I$7)))</f>
        <v/>
      </c>
      <c r="E79" s="17">
        <f>SUM(B79:D79)</f>
        <v/>
      </c>
      <c r="N79" s="16">
        <f>RAND()</f>
        <v/>
      </c>
      <c r="O79" s="16">
        <f>RAND()</f>
        <v/>
      </c>
      <c r="P79" s="16">
        <f>RAND()</f>
        <v/>
      </c>
    </row>
    <row r="80">
      <c r="A80" s="13" t="n">
        <v>76</v>
      </c>
      <c r="B80" s="17">
        <f>IF(N80&lt;$K$5,$H$5+SQRT(N80*($J$5-$H$5)*($I$5-$H$5)),$J$5-SQRT((1-N80)*($J$5-$H$5)*($J$5-$I$5)))</f>
        <v/>
      </c>
      <c r="C80" s="17">
        <f>IF(O80&lt;$K$6,$H$6+SQRT(O80*($J$6-$H$6)*($I$6-$H$6)),$J$6-SQRT((1-O80)*($J$6-$H$6)*($J$6-$I$6)))</f>
        <v/>
      </c>
      <c r="D80" s="17">
        <f>IF(P80&lt;$K$7,$H$7+SQRT(P80*($J$7-$H$7)*($I$7-$H$7)),$J$7-SQRT((1-P80)*($J$7-$H$7)*($J$7-$I$7)))</f>
        <v/>
      </c>
      <c r="E80" s="17">
        <f>SUM(B80:D80)</f>
        <v/>
      </c>
      <c r="N80" s="16">
        <f>RAND()</f>
        <v/>
      </c>
      <c r="O80" s="16">
        <f>RAND()</f>
        <v/>
      </c>
      <c r="P80" s="16">
        <f>RAND()</f>
        <v/>
      </c>
    </row>
    <row r="81">
      <c r="A81" s="13" t="n">
        <v>77</v>
      </c>
      <c r="B81" s="17">
        <f>IF(N81&lt;$K$5,$H$5+SQRT(N81*($J$5-$H$5)*($I$5-$H$5)),$J$5-SQRT((1-N81)*($J$5-$H$5)*($J$5-$I$5)))</f>
        <v/>
      </c>
      <c r="C81" s="17">
        <f>IF(O81&lt;$K$6,$H$6+SQRT(O81*($J$6-$H$6)*($I$6-$H$6)),$J$6-SQRT((1-O81)*($J$6-$H$6)*($J$6-$I$6)))</f>
        <v/>
      </c>
      <c r="D81" s="17">
        <f>IF(P81&lt;$K$7,$H$7+SQRT(P81*($J$7-$H$7)*($I$7-$H$7)),$J$7-SQRT((1-P81)*($J$7-$H$7)*($J$7-$I$7)))</f>
        <v/>
      </c>
      <c r="E81" s="17">
        <f>SUM(B81:D81)</f>
        <v/>
      </c>
      <c r="N81" s="16">
        <f>RAND()</f>
        <v/>
      </c>
      <c r="O81" s="16">
        <f>RAND()</f>
        <v/>
      </c>
      <c r="P81" s="16">
        <f>RAND()</f>
        <v/>
      </c>
    </row>
    <row r="82">
      <c r="A82" s="13" t="n">
        <v>78</v>
      </c>
      <c r="B82" s="17">
        <f>IF(N82&lt;$K$5,$H$5+SQRT(N82*($J$5-$H$5)*($I$5-$H$5)),$J$5-SQRT((1-N82)*($J$5-$H$5)*($J$5-$I$5)))</f>
        <v/>
      </c>
      <c r="C82" s="17">
        <f>IF(O82&lt;$K$6,$H$6+SQRT(O82*($J$6-$H$6)*($I$6-$H$6)),$J$6-SQRT((1-O82)*($J$6-$H$6)*($J$6-$I$6)))</f>
        <v/>
      </c>
      <c r="D82" s="17">
        <f>IF(P82&lt;$K$7,$H$7+SQRT(P82*($J$7-$H$7)*($I$7-$H$7)),$J$7-SQRT((1-P82)*($J$7-$H$7)*($J$7-$I$7)))</f>
        <v/>
      </c>
      <c r="E82" s="17">
        <f>SUM(B82:D82)</f>
        <v/>
      </c>
      <c r="N82" s="16">
        <f>RAND()</f>
        <v/>
      </c>
      <c r="O82" s="16">
        <f>RAND()</f>
        <v/>
      </c>
      <c r="P82" s="16">
        <f>RAND()</f>
        <v/>
      </c>
    </row>
    <row r="83">
      <c r="A83" s="13" t="n">
        <v>79</v>
      </c>
      <c r="B83" s="17">
        <f>IF(N83&lt;$K$5,$H$5+SQRT(N83*($J$5-$H$5)*($I$5-$H$5)),$J$5-SQRT((1-N83)*($J$5-$H$5)*($J$5-$I$5)))</f>
        <v/>
      </c>
      <c r="C83" s="17">
        <f>IF(O83&lt;$K$6,$H$6+SQRT(O83*($J$6-$H$6)*($I$6-$H$6)),$J$6-SQRT((1-O83)*($J$6-$H$6)*($J$6-$I$6)))</f>
        <v/>
      </c>
      <c r="D83" s="17">
        <f>IF(P83&lt;$K$7,$H$7+SQRT(P83*($J$7-$H$7)*($I$7-$H$7)),$J$7-SQRT((1-P83)*($J$7-$H$7)*($J$7-$I$7)))</f>
        <v/>
      </c>
      <c r="E83" s="17">
        <f>SUM(B83:D83)</f>
        <v/>
      </c>
      <c r="N83" s="16">
        <f>RAND()</f>
        <v/>
      </c>
      <c r="O83" s="16">
        <f>RAND()</f>
        <v/>
      </c>
      <c r="P83" s="16">
        <f>RAND()</f>
        <v/>
      </c>
    </row>
    <row r="84">
      <c r="A84" s="13" t="n">
        <v>80</v>
      </c>
      <c r="B84" s="17">
        <f>IF(N84&lt;$K$5,$H$5+SQRT(N84*($J$5-$H$5)*($I$5-$H$5)),$J$5-SQRT((1-N84)*($J$5-$H$5)*($J$5-$I$5)))</f>
        <v/>
      </c>
      <c r="C84" s="17">
        <f>IF(O84&lt;$K$6,$H$6+SQRT(O84*($J$6-$H$6)*($I$6-$H$6)),$J$6-SQRT((1-O84)*($J$6-$H$6)*($J$6-$I$6)))</f>
        <v/>
      </c>
      <c r="D84" s="17">
        <f>IF(P84&lt;$K$7,$H$7+SQRT(P84*($J$7-$H$7)*($I$7-$H$7)),$J$7-SQRT((1-P84)*($J$7-$H$7)*($J$7-$I$7)))</f>
        <v/>
      </c>
      <c r="E84" s="17">
        <f>SUM(B84:D84)</f>
        <v/>
      </c>
      <c r="N84" s="16">
        <f>RAND()</f>
        <v/>
      </c>
      <c r="O84" s="16">
        <f>RAND()</f>
        <v/>
      </c>
      <c r="P84" s="16">
        <f>RAND()</f>
        <v/>
      </c>
    </row>
    <row r="85">
      <c r="A85" s="13" t="n">
        <v>81</v>
      </c>
      <c r="B85" s="17">
        <f>IF(N85&lt;$K$5,$H$5+SQRT(N85*($J$5-$H$5)*($I$5-$H$5)),$J$5-SQRT((1-N85)*($J$5-$H$5)*($J$5-$I$5)))</f>
        <v/>
      </c>
      <c r="C85" s="17">
        <f>IF(O85&lt;$K$6,$H$6+SQRT(O85*($J$6-$H$6)*($I$6-$H$6)),$J$6-SQRT((1-O85)*($J$6-$H$6)*($J$6-$I$6)))</f>
        <v/>
      </c>
      <c r="D85" s="17">
        <f>IF(P85&lt;$K$7,$H$7+SQRT(P85*($J$7-$H$7)*($I$7-$H$7)),$J$7-SQRT((1-P85)*($J$7-$H$7)*($J$7-$I$7)))</f>
        <v/>
      </c>
      <c r="E85" s="17">
        <f>SUM(B85:D85)</f>
        <v/>
      </c>
      <c r="N85" s="16">
        <f>RAND()</f>
        <v/>
      </c>
      <c r="O85" s="16">
        <f>RAND()</f>
        <v/>
      </c>
      <c r="P85" s="16">
        <f>RAND()</f>
        <v/>
      </c>
    </row>
    <row r="86">
      <c r="A86" s="13" t="n">
        <v>82</v>
      </c>
      <c r="B86" s="17">
        <f>IF(N86&lt;$K$5,$H$5+SQRT(N86*($J$5-$H$5)*($I$5-$H$5)),$J$5-SQRT((1-N86)*($J$5-$H$5)*($J$5-$I$5)))</f>
        <v/>
      </c>
      <c r="C86" s="17">
        <f>IF(O86&lt;$K$6,$H$6+SQRT(O86*($J$6-$H$6)*($I$6-$H$6)),$J$6-SQRT((1-O86)*($J$6-$H$6)*($J$6-$I$6)))</f>
        <v/>
      </c>
      <c r="D86" s="17">
        <f>IF(P86&lt;$K$7,$H$7+SQRT(P86*($J$7-$H$7)*($I$7-$H$7)),$J$7-SQRT((1-P86)*($J$7-$H$7)*($J$7-$I$7)))</f>
        <v/>
      </c>
      <c r="E86" s="17">
        <f>SUM(B86:D86)</f>
        <v/>
      </c>
      <c r="N86" s="16">
        <f>RAND()</f>
        <v/>
      </c>
      <c r="O86" s="16">
        <f>RAND()</f>
        <v/>
      </c>
      <c r="P86" s="16">
        <f>RAND()</f>
        <v/>
      </c>
    </row>
    <row r="87">
      <c r="A87" s="13" t="n">
        <v>83</v>
      </c>
      <c r="B87" s="17">
        <f>IF(N87&lt;$K$5,$H$5+SQRT(N87*($J$5-$H$5)*($I$5-$H$5)),$J$5-SQRT((1-N87)*($J$5-$H$5)*($J$5-$I$5)))</f>
        <v/>
      </c>
      <c r="C87" s="17">
        <f>IF(O87&lt;$K$6,$H$6+SQRT(O87*($J$6-$H$6)*($I$6-$H$6)),$J$6-SQRT((1-O87)*($J$6-$H$6)*($J$6-$I$6)))</f>
        <v/>
      </c>
      <c r="D87" s="17">
        <f>IF(P87&lt;$K$7,$H$7+SQRT(P87*($J$7-$H$7)*($I$7-$H$7)),$J$7-SQRT((1-P87)*($J$7-$H$7)*($J$7-$I$7)))</f>
        <v/>
      </c>
      <c r="E87" s="17">
        <f>SUM(B87:D87)</f>
        <v/>
      </c>
      <c r="N87" s="16">
        <f>RAND()</f>
        <v/>
      </c>
      <c r="O87" s="16">
        <f>RAND()</f>
        <v/>
      </c>
      <c r="P87" s="16">
        <f>RAND()</f>
        <v/>
      </c>
    </row>
    <row r="88">
      <c r="A88" s="13" t="n">
        <v>84</v>
      </c>
      <c r="B88" s="17">
        <f>IF(N88&lt;$K$5,$H$5+SQRT(N88*($J$5-$H$5)*($I$5-$H$5)),$J$5-SQRT((1-N88)*($J$5-$H$5)*($J$5-$I$5)))</f>
        <v/>
      </c>
      <c r="C88" s="17">
        <f>IF(O88&lt;$K$6,$H$6+SQRT(O88*($J$6-$H$6)*($I$6-$H$6)),$J$6-SQRT((1-O88)*($J$6-$H$6)*($J$6-$I$6)))</f>
        <v/>
      </c>
      <c r="D88" s="17">
        <f>IF(P88&lt;$K$7,$H$7+SQRT(P88*($J$7-$H$7)*($I$7-$H$7)),$J$7-SQRT((1-P88)*($J$7-$H$7)*($J$7-$I$7)))</f>
        <v/>
      </c>
      <c r="E88" s="17">
        <f>SUM(B88:D88)</f>
        <v/>
      </c>
      <c r="N88" s="16">
        <f>RAND()</f>
        <v/>
      </c>
      <c r="O88" s="16">
        <f>RAND()</f>
        <v/>
      </c>
      <c r="P88" s="16">
        <f>RAND()</f>
        <v/>
      </c>
    </row>
    <row r="89">
      <c r="A89" s="13" t="n">
        <v>85</v>
      </c>
      <c r="B89" s="17">
        <f>IF(N89&lt;$K$5,$H$5+SQRT(N89*($J$5-$H$5)*($I$5-$H$5)),$J$5-SQRT((1-N89)*($J$5-$H$5)*($J$5-$I$5)))</f>
        <v/>
      </c>
      <c r="C89" s="17">
        <f>IF(O89&lt;$K$6,$H$6+SQRT(O89*($J$6-$H$6)*($I$6-$H$6)),$J$6-SQRT((1-O89)*($J$6-$H$6)*($J$6-$I$6)))</f>
        <v/>
      </c>
      <c r="D89" s="17">
        <f>IF(P89&lt;$K$7,$H$7+SQRT(P89*($J$7-$H$7)*($I$7-$H$7)),$J$7-SQRT((1-P89)*($J$7-$H$7)*($J$7-$I$7)))</f>
        <v/>
      </c>
      <c r="E89" s="17">
        <f>SUM(B89:D89)</f>
        <v/>
      </c>
      <c r="N89" s="16">
        <f>RAND()</f>
        <v/>
      </c>
      <c r="O89" s="16">
        <f>RAND()</f>
        <v/>
      </c>
      <c r="P89" s="16">
        <f>RAND()</f>
        <v/>
      </c>
    </row>
    <row r="90">
      <c r="A90" s="13" t="n">
        <v>86</v>
      </c>
      <c r="B90" s="17">
        <f>IF(N90&lt;$K$5,$H$5+SQRT(N90*($J$5-$H$5)*($I$5-$H$5)),$J$5-SQRT((1-N90)*($J$5-$H$5)*($J$5-$I$5)))</f>
        <v/>
      </c>
      <c r="C90" s="17">
        <f>IF(O90&lt;$K$6,$H$6+SQRT(O90*($J$6-$H$6)*($I$6-$H$6)),$J$6-SQRT((1-O90)*($J$6-$H$6)*($J$6-$I$6)))</f>
        <v/>
      </c>
      <c r="D90" s="17">
        <f>IF(P90&lt;$K$7,$H$7+SQRT(P90*($J$7-$H$7)*($I$7-$H$7)),$J$7-SQRT((1-P90)*($J$7-$H$7)*($J$7-$I$7)))</f>
        <v/>
      </c>
      <c r="E90" s="17">
        <f>SUM(B90:D90)</f>
        <v/>
      </c>
      <c r="N90" s="16">
        <f>RAND()</f>
        <v/>
      </c>
      <c r="O90" s="16">
        <f>RAND()</f>
        <v/>
      </c>
      <c r="P90" s="16">
        <f>RAND()</f>
        <v/>
      </c>
    </row>
    <row r="91">
      <c r="A91" s="13" t="n">
        <v>87</v>
      </c>
      <c r="B91" s="17">
        <f>IF(N91&lt;$K$5,$H$5+SQRT(N91*($J$5-$H$5)*($I$5-$H$5)),$J$5-SQRT((1-N91)*($J$5-$H$5)*($J$5-$I$5)))</f>
        <v/>
      </c>
      <c r="C91" s="17">
        <f>IF(O91&lt;$K$6,$H$6+SQRT(O91*($J$6-$H$6)*($I$6-$H$6)),$J$6-SQRT((1-O91)*($J$6-$H$6)*($J$6-$I$6)))</f>
        <v/>
      </c>
      <c r="D91" s="17">
        <f>IF(P91&lt;$K$7,$H$7+SQRT(P91*($J$7-$H$7)*($I$7-$H$7)),$J$7-SQRT((1-P91)*($J$7-$H$7)*($J$7-$I$7)))</f>
        <v/>
      </c>
      <c r="E91" s="17">
        <f>SUM(B91:D91)</f>
        <v/>
      </c>
      <c r="N91" s="16">
        <f>RAND()</f>
        <v/>
      </c>
      <c r="O91" s="16">
        <f>RAND()</f>
        <v/>
      </c>
      <c r="P91" s="16">
        <f>RAND()</f>
        <v/>
      </c>
    </row>
    <row r="92">
      <c r="A92" s="13" t="n">
        <v>88</v>
      </c>
      <c r="B92" s="17">
        <f>IF(N92&lt;$K$5,$H$5+SQRT(N92*($J$5-$H$5)*($I$5-$H$5)),$J$5-SQRT((1-N92)*($J$5-$H$5)*($J$5-$I$5)))</f>
        <v/>
      </c>
      <c r="C92" s="17">
        <f>IF(O92&lt;$K$6,$H$6+SQRT(O92*($J$6-$H$6)*($I$6-$H$6)),$J$6-SQRT((1-O92)*($J$6-$H$6)*($J$6-$I$6)))</f>
        <v/>
      </c>
      <c r="D92" s="17">
        <f>IF(P92&lt;$K$7,$H$7+SQRT(P92*($J$7-$H$7)*($I$7-$H$7)),$J$7-SQRT((1-P92)*($J$7-$H$7)*($J$7-$I$7)))</f>
        <v/>
      </c>
      <c r="E92" s="17">
        <f>SUM(B92:D92)</f>
        <v/>
      </c>
      <c r="N92" s="16">
        <f>RAND()</f>
        <v/>
      </c>
      <c r="O92" s="16">
        <f>RAND()</f>
        <v/>
      </c>
      <c r="P92" s="16">
        <f>RAND()</f>
        <v/>
      </c>
    </row>
    <row r="93">
      <c r="A93" s="13" t="n">
        <v>89</v>
      </c>
      <c r="B93" s="17">
        <f>IF(N93&lt;$K$5,$H$5+SQRT(N93*($J$5-$H$5)*($I$5-$H$5)),$J$5-SQRT((1-N93)*($J$5-$H$5)*($J$5-$I$5)))</f>
        <v/>
      </c>
      <c r="C93" s="17">
        <f>IF(O93&lt;$K$6,$H$6+SQRT(O93*($J$6-$H$6)*($I$6-$H$6)),$J$6-SQRT((1-O93)*($J$6-$H$6)*($J$6-$I$6)))</f>
        <v/>
      </c>
      <c r="D93" s="17">
        <f>IF(P93&lt;$K$7,$H$7+SQRT(P93*($J$7-$H$7)*($I$7-$H$7)),$J$7-SQRT((1-P93)*($J$7-$H$7)*($J$7-$I$7)))</f>
        <v/>
      </c>
      <c r="E93" s="17">
        <f>SUM(B93:D93)</f>
        <v/>
      </c>
      <c r="N93" s="16">
        <f>RAND()</f>
        <v/>
      </c>
      <c r="O93" s="16">
        <f>RAND()</f>
        <v/>
      </c>
      <c r="P93" s="16">
        <f>RAND()</f>
        <v/>
      </c>
    </row>
    <row r="94">
      <c r="A94" s="13" t="n">
        <v>90</v>
      </c>
      <c r="B94" s="17">
        <f>IF(N94&lt;$K$5,$H$5+SQRT(N94*($J$5-$H$5)*($I$5-$H$5)),$J$5-SQRT((1-N94)*($J$5-$H$5)*($J$5-$I$5)))</f>
        <v/>
      </c>
      <c r="C94" s="17">
        <f>IF(O94&lt;$K$6,$H$6+SQRT(O94*($J$6-$H$6)*($I$6-$H$6)),$J$6-SQRT((1-O94)*($J$6-$H$6)*($J$6-$I$6)))</f>
        <v/>
      </c>
      <c r="D94" s="17">
        <f>IF(P94&lt;$K$7,$H$7+SQRT(P94*($J$7-$H$7)*($I$7-$H$7)),$J$7-SQRT((1-P94)*($J$7-$H$7)*($J$7-$I$7)))</f>
        <v/>
      </c>
      <c r="E94" s="17">
        <f>SUM(B94:D94)</f>
        <v/>
      </c>
      <c r="N94" s="16">
        <f>RAND()</f>
        <v/>
      </c>
      <c r="O94" s="16">
        <f>RAND()</f>
        <v/>
      </c>
      <c r="P94" s="16">
        <f>RAND()</f>
        <v/>
      </c>
    </row>
    <row r="95">
      <c r="A95" s="13" t="n">
        <v>91</v>
      </c>
      <c r="B95" s="17">
        <f>IF(N95&lt;$K$5,$H$5+SQRT(N95*($J$5-$H$5)*($I$5-$H$5)),$J$5-SQRT((1-N95)*($J$5-$H$5)*($J$5-$I$5)))</f>
        <v/>
      </c>
      <c r="C95" s="17">
        <f>IF(O95&lt;$K$6,$H$6+SQRT(O95*($J$6-$H$6)*($I$6-$H$6)),$J$6-SQRT((1-O95)*($J$6-$H$6)*($J$6-$I$6)))</f>
        <v/>
      </c>
      <c r="D95" s="17">
        <f>IF(P95&lt;$K$7,$H$7+SQRT(P95*($J$7-$H$7)*($I$7-$H$7)),$J$7-SQRT((1-P95)*($J$7-$H$7)*($J$7-$I$7)))</f>
        <v/>
      </c>
      <c r="E95" s="17">
        <f>SUM(B95:D95)</f>
        <v/>
      </c>
      <c r="N95" s="16">
        <f>RAND()</f>
        <v/>
      </c>
      <c r="O95" s="16">
        <f>RAND()</f>
        <v/>
      </c>
      <c r="P95" s="16">
        <f>RAND()</f>
        <v/>
      </c>
    </row>
    <row r="96">
      <c r="A96" s="13" t="n">
        <v>92</v>
      </c>
      <c r="B96" s="17">
        <f>IF(N96&lt;$K$5,$H$5+SQRT(N96*($J$5-$H$5)*($I$5-$H$5)),$J$5-SQRT((1-N96)*($J$5-$H$5)*($J$5-$I$5)))</f>
        <v/>
      </c>
      <c r="C96" s="17">
        <f>IF(O96&lt;$K$6,$H$6+SQRT(O96*($J$6-$H$6)*($I$6-$H$6)),$J$6-SQRT((1-O96)*($J$6-$H$6)*($J$6-$I$6)))</f>
        <v/>
      </c>
      <c r="D96" s="17">
        <f>IF(P96&lt;$K$7,$H$7+SQRT(P96*($J$7-$H$7)*($I$7-$H$7)),$J$7-SQRT((1-P96)*($J$7-$H$7)*($J$7-$I$7)))</f>
        <v/>
      </c>
      <c r="E96" s="17">
        <f>SUM(B96:D96)</f>
        <v/>
      </c>
      <c r="N96" s="16">
        <f>RAND()</f>
        <v/>
      </c>
      <c r="O96" s="16">
        <f>RAND()</f>
        <v/>
      </c>
      <c r="P96" s="16">
        <f>RAND()</f>
        <v/>
      </c>
    </row>
    <row r="97">
      <c r="A97" s="13" t="n">
        <v>93</v>
      </c>
      <c r="B97" s="17">
        <f>IF(N97&lt;$K$5,$H$5+SQRT(N97*($J$5-$H$5)*($I$5-$H$5)),$J$5-SQRT((1-N97)*($J$5-$H$5)*($J$5-$I$5)))</f>
        <v/>
      </c>
      <c r="C97" s="17">
        <f>IF(O97&lt;$K$6,$H$6+SQRT(O97*($J$6-$H$6)*($I$6-$H$6)),$J$6-SQRT((1-O97)*($J$6-$H$6)*($J$6-$I$6)))</f>
        <v/>
      </c>
      <c r="D97" s="17">
        <f>IF(P97&lt;$K$7,$H$7+SQRT(P97*($J$7-$H$7)*($I$7-$H$7)),$J$7-SQRT((1-P97)*($J$7-$H$7)*($J$7-$I$7)))</f>
        <v/>
      </c>
      <c r="E97" s="17">
        <f>SUM(B97:D97)</f>
        <v/>
      </c>
      <c r="N97" s="16">
        <f>RAND()</f>
        <v/>
      </c>
      <c r="O97" s="16">
        <f>RAND()</f>
        <v/>
      </c>
      <c r="P97" s="16">
        <f>RAND()</f>
        <v/>
      </c>
    </row>
    <row r="98">
      <c r="A98" s="13" t="n">
        <v>94</v>
      </c>
      <c r="B98" s="17">
        <f>IF(N98&lt;$K$5,$H$5+SQRT(N98*($J$5-$H$5)*($I$5-$H$5)),$J$5-SQRT((1-N98)*($J$5-$H$5)*($J$5-$I$5)))</f>
        <v/>
      </c>
      <c r="C98" s="17">
        <f>IF(O98&lt;$K$6,$H$6+SQRT(O98*($J$6-$H$6)*($I$6-$H$6)),$J$6-SQRT((1-O98)*($J$6-$H$6)*($J$6-$I$6)))</f>
        <v/>
      </c>
      <c r="D98" s="17">
        <f>IF(P98&lt;$K$7,$H$7+SQRT(P98*($J$7-$H$7)*($I$7-$H$7)),$J$7-SQRT((1-P98)*($J$7-$H$7)*($J$7-$I$7)))</f>
        <v/>
      </c>
      <c r="E98" s="17">
        <f>SUM(B98:D98)</f>
        <v/>
      </c>
      <c r="N98" s="16">
        <f>RAND()</f>
        <v/>
      </c>
      <c r="O98" s="16">
        <f>RAND()</f>
        <v/>
      </c>
      <c r="P98" s="16">
        <f>RAND()</f>
        <v/>
      </c>
    </row>
    <row r="99">
      <c r="A99" s="13" t="n">
        <v>95</v>
      </c>
      <c r="B99" s="17">
        <f>IF(N99&lt;$K$5,$H$5+SQRT(N99*($J$5-$H$5)*($I$5-$H$5)),$J$5-SQRT((1-N99)*($J$5-$H$5)*($J$5-$I$5)))</f>
        <v/>
      </c>
      <c r="C99" s="17">
        <f>IF(O99&lt;$K$6,$H$6+SQRT(O99*($J$6-$H$6)*($I$6-$H$6)),$J$6-SQRT((1-O99)*($J$6-$H$6)*($J$6-$I$6)))</f>
        <v/>
      </c>
      <c r="D99" s="17">
        <f>IF(P99&lt;$K$7,$H$7+SQRT(P99*($J$7-$H$7)*($I$7-$H$7)),$J$7-SQRT((1-P99)*($J$7-$H$7)*($J$7-$I$7)))</f>
        <v/>
      </c>
      <c r="E99" s="17">
        <f>SUM(B99:D99)</f>
        <v/>
      </c>
      <c r="N99" s="16">
        <f>RAND()</f>
        <v/>
      </c>
      <c r="O99" s="16">
        <f>RAND()</f>
        <v/>
      </c>
      <c r="P99" s="16">
        <f>RAND()</f>
        <v/>
      </c>
    </row>
    <row r="100">
      <c r="A100" s="13" t="n">
        <v>96</v>
      </c>
      <c r="B100" s="17">
        <f>IF(N100&lt;$K$5,$H$5+SQRT(N100*($J$5-$H$5)*($I$5-$H$5)),$J$5-SQRT((1-N100)*($J$5-$H$5)*($J$5-$I$5)))</f>
        <v/>
      </c>
      <c r="C100" s="17">
        <f>IF(O100&lt;$K$6,$H$6+SQRT(O100*($J$6-$H$6)*($I$6-$H$6)),$J$6-SQRT((1-O100)*($J$6-$H$6)*($J$6-$I$6)))</f>
        <v/>
      </c>
      <c r="D100" s="17">
        <f>IF(P100&lt;$K$7,$H$7+SQRT(P100*($J$7-$H$7)*($I$7-$H$7)),$J$7-SQRT((1-P100)*($J$7-$H$7)*($J$7-$I$7)))</f>
        <v/>
      </c>
      <c r="E100" s="17">
        <f>SUM(B100:D100)</f>
        <v/>
      </c>
      <c r="N100" s="16">
        <f>RAND()</f>
        <v/>
      </c>
      <c r="O100" s="16">
        <f>RAND()</f>
        <v/>
      </c>
      <c r="P100" s="16">
        <f>RAND()</f>
        <v/>
      </c>
    </row>
    <row r="101">
      <c r="A101" s="13" t="n">
        <v>97</v>
      </c>
      <c r="B101" s="17">
        <f>IF(N101&lt;$K$5,$H$5+SQRT(N101*($J$5-$H$5)*($I$5-$H$5)),$J$5-SQRT((1-N101)*($J$5-$H$5)*($J$5-$I$5)))</f>
        <v/>
      </c>
      <c r="C101" s="17">
        <f>IF(O101&lt;$K$6,$H$6+SQRT(O101*($J$6-$H$6)*($I$6-$H$6)),$J$6-SQRT((1-O101)*($J$6-$H$6)*($J$6-$I$6)))</f>
        <v/>
      </c>
      <c r="D101" s="17">
        <f>IF(P101&lt;$K$7,$H$7+SQRT(P101*($J$7-$H$7)*($I$7-$H$7)),$J$7-SQRT((1-P101)*($J$7-$H$7)*($J$7-$I$7)))</f>
        <v/>
      </c>
      <c r="E101" s="17">
        <f>SUM(B101:D101)</f>
        <v/>
      </c>
      <c r="N101" s="16">
        <f>RAND()</f>
        <v/>
      </c>
      <c r="O101" s="16">
        <f>RAND()</f>
        <v/>
      </c>
      <c r="P101" s="16">
        <f>RAND()</f>
        <v/>
      </c>
    </row>
    <row r="102">
      <c r="A102" s="13" t="n">
        <v>98</v>
      </c>
      <c r="B102" s="17">
        <f>IF(N102&lt;$K$5,$H$5+SQRT(N102*($J$5-$H$5)*($I$5-$H$5)),$J$5-SQRT((1-N102)*($J$5-$H$5)*($J$5-$I$5)))</f>
        <v/>
      </c>
      <c r="C102" s="17">
        <f>IF(O102&lt;$K$6,$H$6+SQRT(O102*($J$6-$H$6)*($I$6-$H$6)),$J$6-SQRT((1-O102)*($J$6-$H$6)*($J$6-$I$6)))</f>
        <v/>
      </c>
      <c r="D102" s="17">
        <f>IF(P102&lt;$K$7,$H$7+SQRT(P102*($J$7-$H$7)*($I$7-$H$7)),$J$7-SQRT((1-P102)*($J$7-$H$7)*($J$7-$I$7)))</f>
        <v/>
      </c>
      <c r="E102" s="17">
        <f>SUM(B102:D102)</f>
        <v/>
      </c>
      <c r="N102" s="16">
        <f>RAND()</f>
        <v/>
      </c>
      <c r="O102" s="16">
        <f>RAND()</f>
        <v/>
      </c>
      <c r="P102" s="16">
        <f>RAND()</f>
        <v/>
      </c>
    </row>
    <row r="103">
      <c r="A103" s="13" t="n">
        <v>99</v>
      </c>
      <c r="B103" s="17">
        <f>IF(N103&lt;$K$5,$H$5+SQRT(N103*($J$5-$H$5)*($I$5-$H$5)),$J$5-SQRT((1-N103)*($J$5-$H$5)*($J$5-$I$5)))</f>
        <v/>
      </c>
      <c r="C103" s="17">
        <f>IF(O103&lt;$K$6,$H$6+SQRT(O103*($J$6-$H$6)*($I$6-$H$6)),$J$6-SQRT((1-O103)*($J$6-$H$6)*($J$6-$I$6)))</f>
        <v/>
      </c>
      <c r="D103" s="17">
        <f>IF(P103&lt;$K$7,$H$7+SQRT(P103*($J$7-$H$7)*($I$7-$H$7)),$J$7-SQRT((1-P103)*($J$7-$H$7)*($J$7-$I$7)))</f>
        <v/>
      </c>
      <c r="E103" s="17">
        <f>SUM(B103:D103)</f>
        <v/>
      </c>
      <c r="N103" s="16">
        <f>RAND()</f>
        <v/>
      </c>
      <c r="O103" s="16">
        <f>RAND()</f>
        <v/>
      </c>
      <c r="P103" s="16">
        <f>RAND()</f>
        <v/>
      </c>
    </row>
    <row r="104">
      <c r="A104" s="13" t="n">
        <v>100</v>
      </c>
      <c r="B104" s="17">
        <f>IF(N104&lt;$K$5,$H$5+SQRT(N104*($J$5-$H$5)*($I$5-$H$5)),$J$5-SQRT((1-N104)*($J$5-$H$5)*($J$5-$I$5)))</f>
        <v/>
      </c>
      <c r="C104" s="17">
        <f>IF(O104&lt;$K$6,$H$6+SQRT(O104*($J$6-$H$6)*($I$6-$H$6)),$J$6-SQRT((1-O104)*($J$6-$H$6)*($J$6-$I$6)))</f>
        <v/>
      </c>
      <c r="D104" s="17">
        <f>IF(P104&lt;$K$7,$H$7+SQRT(P104*($J$7-$H$7)*($I$7-$H$7)),$J$7-SQRT((1-P104)*($J$7-$H$7)*($J$7-$I$7)))</f>
        <v/>
      </c>
      <c r="E104" s="17">
        <f>SUM(B104:D104)</f>
        <v/>
      </c>
      <c r="N104" s="16">
        <f>RAND()</f>
        <v/>
      </c>
      <c r="O104" s="16">
        <f>RAND()</f>
        <v/>
      </c>
      <c r="P104" s="16">
        <f>RAND()</f>
        <v/>
      </c>
    </row>
    <row r="105">
      <c r="A105" s="13" t="n">
        <v>101</v>
      </c>
      <c r="B105" s="17">
        <f>IF(N105&lt;$K$5,$H$5+SQRT(N105*($J$5-$H$5)*($I$5-$H$5)),$J$5-SQRT((1-N105)*($J$5-$H$5)*($J$5-$I$5)))</f>
        <v/>
      </c>
      <c r="C105" s="17">
        <f>IF(O105&lt;$K$6,$H$6+SQRT(O105*($J$6-$H$6)*($I$6-$H$6)),$J$6-SQRT((1-O105)*($J$6-$H$6)*($J$6-$I$6)))</f>
        <v/>
      </c>
      <c r="D105" s="17">
        <f>IF(P105&lt;$K$7,$H$7+SQRT(P105*($J$7-$H$7)*($I$7-$H$7)),$J$7-SQRT((1-P105)*($J$7-$H$7)*($J$7-$I$7)))</f>
        <v/>
      </c>
      <c r="E105" s="17">
        <f>SUM(B105:D105)</f>
        <v/>
      </c>
      <c r="N105" s="16">
        <f>RAND()</f>
        <v/>
      </c>
      <c r="O105" s="16">
        <f>RAND()</f>
        <v/>
      </c>
      <c r="P105" s="16">
        <f>RAND()</f>
        <v/>
      </c>
    </row>
    <row r="106">
      <c r="A106" s="13" t="n">
        <v>102</v>
      </c>
      <c r="B106" s="17">
        <f>IF(N106&lt;$K$5,$H$5+SQRT(N106*($J$5-$H$5)*($I$5-$H$5)),$J$5-SQRT((1-N106)*($J$5-$H$5)*($J$5-$I$5)))</f>
        <v/>
      </c>
      <c r="C106" s="17">
        <f>IF(O106&lt;$K$6,$H$6+SQRT(O106*($J$6-$H$6)*($I$6-$H$6)),$J$6-SQRT((1-O106)*($J$6-$H$6)*($J$6-$I$6)))</f>
        <v/>
      </c>
      <c r="D106" s="17">
        <f>IF(P106&lt;$K$7,$H$7+SQRT(P106*($J$7-$H$7)*($I$7-$H$7)),$J$7-SQRT((1-P106)*($J$7-$H$7)*($J$7-$I$7)))</f>
        <v/>
      </c>
      <c r="E106" s="17">
        <f>SUM(B106:D106)</f>
        <v/>
      </c>
      <c r="N106" s="16">
        <f>RAND()</f>
        <v/>
      </c>
      <c r="O106" s="16">
        <f>RAND()</f>
        <v/>
      </c>
      <c r="P106" s="16">
        <f>RAND()</f>
        <v/>
      </c>
    </row>
    <row r="107">
      <c r="A107" s="13" t="n">
        <v>103</v>
      </c>
      <c r="B107" s="17">
        <f>IF(N107&lt;$K$5,$H$5+SQRT(N107*($J$5-$H$5)*($I$5-$H$5)),$J$5-SQRT((1-N107)*($J$5-$H$5)*($J$5-$I$5)))</f>
        <v/>
      </c>
      <c r="C107" s="17">
        <f>IF(O107&lt;$K$6,$H$6+SQRT(O107*($J$6-$H$6)*($I$6-$H$6)),$J$6-SQRT((1-O107)*($J$6-$H$6)*($J$6-$I$6)))</f>
        <v/>
      </c>
      <c r="D107" s="17">
        <f>IF(P107&lt;$K$7,$H$7+SQRT(P107*($J$7-$H$7)*($I$7-$H$7)),$J$7-SQRT((1-P107)*($J$7-$H$7)*($J$7-$I$7)))</f>
        <v/>
      </c>
      <c r="E107" s="17">
        <f>SUM(B107:D107)</f>
        <v/>
      </c>
      <c r="N107" s="16">
        <f>RAND()</f>
        <v/>
      </c>
      <c r="O107" s="16">
        <f>RAND()</f>
        <v/>
      </c>
      <c r="P107" s="16">
        <f>RAND()</f>
        <v/>
      </c>
    </row>
    <row r="108">
      <c r="A108" s="13" t="n">
        <v>104</v>
      </c>
      <c r="B108" s="17">
        <f>IF(N108&lt;$K$5,$H$5+SQRT(N108*($J$5-$H$5)*($I$5-$H$5)),$J$5-SQRT((1-N108)*($J$5-$H$5)*($J$5-$I$5)))</f>
        <v/>
      </c>
      <c r="C108" s="17">
        <f>IF(O108&lt;$K$6,$H$6+SQRT(O108*($J$6-$H$6)*($I$6-$H$6)),$J$6-SQRT((1-O108)*($J$6-$H$6)*($J$6-$I$6)))</f>
        <v/>
      </c>
      <c r="D108" s="17">
        <f>IF(P108&lt;$K$7,$H$7+SQRT(P108*($J$7-$H$7)*($I$7-$H$7)),$J$7-SQRT((1-P108)*($J$7-$H$7)*($J$7-$I$7)))</f>
        <v/>
      </c>
      <c r="E108" s="17">
        <f>SUM(B108:D108)</f>
        <v/>
      </c>
      <c r="N108" s="16">
        <f>RAND()</f>
        <v/>
      </c>
      <c r="O108" s="16">
        <f>RAND()</f>
        <v/>
      </c>
      <c r="P108" s="16">
        <f>RAND()</f>
        <v/>
      </c>
    </row>
    <row r="109">
      <c r="A109" s="13" t="n">
        <v>105</v>
      </c>
      <c r="B109" s="17">
        <f>IF(N109&lt;$K$5,$H$5+SQRT(N109*($J$5-$H$5)*($I$5-$H$5)),$J$5-SQRT((1-N109)*($J$5-$H$5)*($J$5-$I$5)))</f>
        <v/>
      </c>
      <c r="C109" s="17">
        <f>IF(O109&lt;$K$6,$H$6+SQRT(O109*($J$6-$H$6)*($I$6-$H$6)),$J$6-SQRT((1-O109)*($J$6-$H$6)*($J$6-$I$6)))</f>
        <v/>
      </c>
      <c r="D109" s="17">
        <f>IF(P109&lt;$K$7,$H$7+SQRT(P109*($J$7-$H$7)*($I$7-$H$7)),$J$7-SQRT((1-P109)*($J$7-$H$7)*($J$7-$I$7)))</f>
        <v/>
      </c>
      <c r="E109" s="17">
        <f>SUM(B109:D109)</f>
        <v/>
      </c>
      <c r="N109" s="16">
        <f>RAND()</f>
        <v/>
      </c>
      <c r="O109" s="16">
        <f>RAND()</f>
        <v/>
      </c>
      <c r="P109" s="16">
        <f>RAND()</f>
        <v/>
      </c>
    </row>
    <row r="110">
      <c r="A110" s="13" t="n">
        <v>106</v>
      </c>
      <c r="B110" s="17">
        <f>IF(N110&lt;$K$5,$H$5+SQRT(N110*($J$5-$H$5)*($I$5-$H$5)),$J$5-SQRT((1-N110)*($J$5-$H$5)*($J$5-$I$5)))</f>
        <v/>
      </c>
      <c r="C110" s="17">
        <f>IF(O110&lt;$K$6,$H$6+SQRT(O110*($J$6-$H$6)*($I$6-$H$6)),$J$6-SQRT((1-O110)*($J$6-$H$6)*($J$6-$I$6)))</f>
        <v/>
      </c>
      <c r="D110" s="17">
        <f>IF(P110&lt;$K$7,$H$7+SQRT(P110*($J$7-$H$7)*($I$7-$H$7)),$J$7-SQRT((1-P110)*($J$7-$H$7)*($J$7-$I$7)))</f>
        <v/>
      </c>
      <c r="E110" s="17">
        <f>SUM(B110:D110)</f>
        <v/>
      </c>
      <c r="N110" s="16">
        <f>RAND()</f>
        <v/>
      </c>
      <c r="O110" s="16">
        <f>RAND()</f>
        <v/>
      </c>
      <c r="P110" s="16">
        <f>RAND()</f>
        <v/>
      </c>
    </row>
    <row r="111">
      <c r="A111" s="13" t="n">
        <v>107</v>
      </c>
      <c r="B111" s="17">
        <f>IF(N111&lt;$K$5,$H$5+SQRT(N111*($J$5-$H$5)*($I$5-$H$5)),$J$5-SQRT((1-N111)*($J$5-$H$5)*($J$5-$I$5)))</f>
        <v/>
      </c>
      <c r="C111" s="17">
        <f>IF(O111&lt;$K$6,$H$6+SQRT(O111*($J$6-$H$6)*($I$6-$H$6)),$J$6-SQRT((1-O111)*($J$6-$H$6)*($J$6-$I$6)))</f>
        <v/>
      </c>
      <c r="D111" s="17">
        <f>IF(P111&lt;$K$7,$H$7+SQRT(P111*($J$7-$H$7)*($I$7-$H$7)),$J$7-SQRT((1-P111)*($J$7-$H$7)*($J$7-$I$7)))</f>
        <v/>
      </c>
      <c r="E111" s="17">
        <f>SUM(B111:D111)</f>
        <v/>
      </c>
      <c r="N111" s="16">
        <f>RAND()</f>
        <v/>
      </c>
      <c r="O111" s="16">
        <f>RAND()</f>
        <v/>
      </c>
      <c r="P111" s="16">
        <f>RAND()</f>
        <v/>
      </c>
    </row>
    <row r="112">
      <c r="A112" s="13" t="n">
        <v>108</v>
      </c>
      <c r="B112" s="17">
        <f>IF(N112&lt;$K$5,$H$5+SQRT(N112*($J$5-$H$5)*($I$5-$H$5)),$J$5-SQRT((1-N112)*($J$5-$H$5)*($J$5-$I$5)))</f>
        <v/>
      </c>
      <c r="C112" s="17">
        <f>IF(O112&lt;$K$6,$H$6+SQRT(O112*($J$6-$H$6)*($I$6-$H$6)),$J$6-SQRT((1-O112)*($J$6-$H$6)*($J$6-$I$6)))</f>
        <v/>
      </c>
      <c r="D112" s="17">
        <f>IF(P112&lt;$K$7,$H$7+SQRT(P112*($J$7-$H$7)*($I$7-$H$7)),$J$7-SQRT((1-P112)*($J$7-$H$7)*($J$7-$I$7)))</f>
        <v/>
      </c>
      <c r="E112" s="17">
        <f>SUM(B112:D112)</f>
        <v/>
      </c>
      <c r="N112" s="16">
        <f>RAND()</f>
        <v/>
      </c>
      <c r="O112" s="16">
        <f>RAND()</f>
        <v/>
      </c>
      <c r="P112" s="16">
        <f>RAND()</f>
        <v/>
      </c>
    </row>
    <row r="113">
      <c r="A113" s="13" t="n">
        <v>109</v>
      </c>
      <c r="B113" s="17">
        <f>IF(N113&lt;$K$5,$H$5+SQRT(N113*($J$5-$H$5)*($I$5-$H$5)),$J$5-SQRT((1-N113)*($J$5-$H$5)*($J$5-$I$5)))</f>
        <v/>
      </c>
      <c r="C113" s="17">
        <f>IF(O113&lt;$K$6,$H$6+SQRT(O113*($J$6-$H$6)*($I$6-$H$6)),$J$6-SQRT((1-O113)*($J$6-$H$6)*($J$6-$I$6)))</f>
        <v/>
      </c>
      <c r="D113" s="17">
        <f>IF(P113&lt;$K$7,$H$7+SQRT(P113*($J$7-$H$7)*($I$7-$H$7)),$J$7-SQRT((1-P113)*($J$7-$H$7)*($J$7-$I$7)))</f>
        <v/>
      </c>
      <c r="E113" s="17">
        <f>SUM(B113:D113)</f>
        <v/>
      </c>
      <c r="N113" s="16">
        <f>RAND()</f>
        <v/>
      </c>
      <c r="O113" s="16">
        <f>RAND()</f>
        <v/>
      </c>
      <c r="P113" s="16">
        <f>RAND()</f>
        <v/>
      </c>
    </row>
    <row r="114">
      <c r="A114" s="13" t="n">
        <v>110</v>
      </c>
      <c r="B114" s="17">
        <f>IF(N114&lt;$K$5,$H$5+SQRT(N114*($J$5-$H$5)*($I$5-$H$5)),$J$5-SQRT((1-N114)*($J$5-$H$5)*($J$5-$I$5)))</f>
        <v/>
      </c>
      <c r="C114" s="17">
        <f>IF(O114&lt;$K$6,$H$6+SQRT(O114*($J$6-$H$6)*($I$6-$H$6)),$J$6-SQRT((1-O114)*($J$6-$H$6)*($J$6-$I$6)))</f>
        <v/>
      </c>
      <c r="D114" s="17">
        <f>IF(P114&lt;$K$7,$H$7+SQRT(P114*($J$7-$H$7)*($I$7-$H$7)),$J$7-SQRT((1-P114)*($J$7-$H$7)*($J$7-$I$7)))</f>
        <v/>
      </c>
      <c r="E114" s="17">
        <f>SUM(B114:D114)</f>
        <v/>
      </c>
      <c r="N114" s="16">
        <f>RAND()</f>
        <v/>
      </c>
      <c r="O114" s="16">
        <f>RAND()</f>
        <v/>
      </c>
      <c r="P114" s="16">
        <f>RAND()</f>
        <v/>
      </c>
    </row>
    <row r="115">
      <c r="A115" s="13" t="n">
        <v>111</v>
      </c>
      <c r="B115" s="17">
        <f>IF(N115&lt;$K$5,$H$5+SQRT(N115*($J$5-$H$5)*($I$5-$H$5)),$J$5-SQRT((1-N115)*($J$5-$H$5)*($J$5-$I$5)))</f>
        <v/>
      </c>
      <c r="C115" s="17">
        <f>IF(O115&lt;$K$6,$H$6+SQRT(O115*($J$6-$H$6)*($I$6-$H$6)),$J$6-SQRT((1-O115)*($J$6-$H$6)*($J$6-$I$6)))</f>
        <v/>
      </c>
      <c r="D115" s="17">
        <f>IF(P115&lt;$K$7,$H$7+SQRT(P115*($J$7-$H$7)*($I$7-$H$7)),$J$7-SQRT((1-P115)*($J$7-$H$7)*($J$7-$I$7)))</f>
        <v/>
      </c>
      <c r="E115" s="17">
        <f>SUM(B115:D115)</f>
        <v/>
      </c>
      <c r="N115" s="16">
        <f>RAND()</f>
        <v/>
      </c>
      <c r="O115" s="16">
        <f>RAND()</f>
        <v/>
      </c>
      <c r="P115" s="16">
        <f>RAND()</f>
        <v/>
      </c>
    </row>
    <row r="116">
      <c r="A116" s="13" t="n">
        <v>112</v>
      </c>
      <c r="B116" s="17">
        <f>IF(N116&lt;$K$5,$H$5+SQRT(N116*($J$5-$H$5)*($I$5-$H$5)),$J$5-SQRT((1-N116)*($J$5-$H$5)*($J$5-$I$5)))</f>
        <v/>
      </c>
      <c r="C116" s="17">
        <f>IF(O116&lt;$K$6,$H$6+SQRT(O116*($J$6-$H$6)*($I$6-$H$6)),$J$6-SQRT((1-O116)*($J$6-$H$6)*($J$6-$I$6)))</f>
        <v/>
      </c>
      <c r="D116" s="17">
        <f>IF(P116&lt;$K$7,$H$7+SQRT(P116*($J$7-$H$7)*($I$7-$H$7)),$J$7-SQRT((1-P116)*($J$7-$H$7)*($J$7-$I$7)))</f>
        <v/>
      </c>
      <c r="E116" s="17">
        <f>SUM(B116:D116)</f>
        <v/>
      </c>
      <c r="N116" s="16">
        <f>RAND()</f>
        <v/>
      </c>
      <c r="O116" s="16">
        <f>RAND()</f>
        <v/>
      </c>
      <c r="P116" s="16">
        <f>RAND()</f>
        <v/>
      </c>
    </row>
    <row r="117">
      <c r="A117" s="13" t="n">
        <v>113</v>
      </c>
      <c r="B117" s="17">
        <f>IF(N117&lt;$K$5,$H$5+SQRT(N117*($J$5-$H$5)*($I$5-$H$5)),$J$5-SQRT((1-N117)*($J$5-$H$5)*($J$5-$I$5)))</f>
        <v/>
      </c>
      <c r="C117" s="17">
        <f>IF(O117&lt;$K$6,$H$6+SQRT(O117*($J$6-$H$6)*($I$6-$H$6)),$J$6-SQRT((1-O117)*($J$6-$H$6)*($J$6-$I$6)))</f>
        <v/>
      </c>
      <c r="D117" s="17">
        <f>IF(P117&lt;$K$7,$H$7+SQRT(P117*($J$7-$H$7)*($I$7-$H$7)),$J$7-SQRT((1-P117)*($J$7-$H$7)*($J$7-$I$7)))</f>
        <v/>
      </c>
      <c r="E117" s="17">
        <f>SUM(B117:D117)</f>
        <v/>
      </c>
      <c r="N117" s="16">
        <f>RAND()</f>
        <v/>
      </c>
      <c r="O117" s="16">
        <f>RAND()</f>
        <v/>
      </c>
      <c r="P117" s="16">
        <f>RAND()</f>
        <v/>
      </c>
    </row>
    <row r="118">
      <c r="A118" s="13" t="n">
        <v>114</v>
      </c>
      <c r="B118" s="17">
        <f>IF(N118&lt;$K$5,$H$5+SQRT(N118*($J$5-$H$5)*($I$5-$H$5)),$J$5-SQRT((1-N118)*($J$5-$H$5)*($J$5-$I$5)))</f>
        <v/>
      </c>
      <c r="C118" s="17">
        <f>IF(O118&lt;$K$6,$H$6+SQRT(O118*($J$6-$H$6)*($I$6-$H$6)),$J$6-SQRT((1-O118)*($J$6-$H$6)*($J$6-$I$6)))</f>
        <v/>
      </c>
      <c r="D118" s="17">
        <f>IF(P118&lt;$K$7,$H$7+SQRT(P118*($J$7-$H$7)*($I$7-$H$7)),$J$7-SQRT((1-P118)*($J$7-$H$7)*($J$7-$I$7)))</f>
        <v/>
      </c>
      <c r="E118" s="17">
        <f>SUM(B118:D118)</f>
        <v/>
      </c>
      <c r="N118" s="16">
        <f>RAND()</f>
        <v/>
      </c>
      <c r="O118" s="16">
        <f>RAND()</f>
        <v/>
      </c>
      <c r="P118" s="16">
        <f>RAND()</f>
        <v/>
      </c>
    </row>
    <row r="119">
      <c r="A119" s="13" t="n">
        <v>115</v>
      </c>
      <c r="B119" s="17">
        <f>IF(N119&lt;$K$5,$H$5+SQRT(N119*($J$5-$H$5)*($I$5-$H$5)),$J$5-SQRT((1-N119)*($J$5-$H$5)*($J$5-$I$5)))</f>
        <v/>
      </c>
      <c r="C119" s="17">
        <f>IF(O119&lt;$K$6,$H$6+SQRT(O119*($J$6-$H$6)*($I$6-$H$6)),$J$6-SQRT((1-O119)*($J$6-$H$6)*($J$6-$I$6)))</f>
        <v/>
      </c>
      <c r="D119" s="17">
        <f>IF(P119&lt;$K$7,$H$7+SQRT(P119*($J$7-$H$7)*($I$7-$H$7)),$J$7-SQRT((1-P119)*($J$7-$H$7)*($J$7-$I$7)))</f>
        <v/>
      </c>
      <c r="E119" s="17">
        <f>SUM(B119:D119)</f>
        <v/>
      </c>
      <c r="N119" s="16">
        <f>RAND()</f>
        <v/>
      </c>
      <c r="O119" s="16">
        <f>RAND()</f>
        <v/>
      </c>
      <c r="P119" s="16">
        <f>RAND()</f>
        <v/>
      </c>
    </row>
    <row r="120">
      <c r="A120" s="13" t="n">
        <v>116</v>
      </c>
      <c r="B120" s="17">
        <f>IF(N120&lt;$K$5,$H$5+SQRT(N120*($J$5-$H$5)*($I$5-$H$5)),$J$5-SQRT((1-N120)*($J$5-$H$5)*($J$5-$I$5)))</f>
        <v/>
      </c>
      <c r="C120" s="17">
        <f>IF(O120&lt;$K$6,$H$6+SQRT(O120*($J$6-$H$6)*($I$6-$H$6)),$J$6-SQRT((1-O120)*($J$6-$H$6)*($J$6-$I$6)))</f>
        <v/>
      </c>
      <c r="D120" s="17">
        <f>IF(P120&lt;$K$7,$H$7+SQRT(P120*($J$7-$H$7)*($I$7-$H$7)),$J$7-SQRT((1-P120)*($J$7-$H$7)*($J$7-$I$7)))</f>
        <v/>
      </c>
      <c r="E120" s="17">
        <f>SUM(B120:D120)</f>
        <v/>
      </c>
      <c r="N120" s="16">
        <f>RAND()</f>
        <v/>
      </c>
      <c r="O120" s="16">
        <f>RAND()</f>
        <v/>
      </c>
      <c r="P120" s="16">
        <f>RAND()</f>
        <v/>
      </c>
    </row>
    <row r="121">
      <c r="A121" s="13" t="n">
        <v>117</v>
      </c>
      <c r="B121" s="17">
        <f>IF(N121&lt;$K$5,$H$5+SQRT(N121*($J$5-$H$5)*($I$5-$H$5)),$J$5-SQRT((1-N121)*($J$5-$H$5)*($J$5-$I$5)))</f>
        <v/>
      </c>
      <c r="C121" s="17">
        <f>IF(O121&lt;$K$6,$H$6+SQRT(O121*($J$6-$H$6)*($I$6-$H$6)),$J$6-SQRT((1-O121)*($J$6-$H$6)*($J$6-$I$6)))</f>
        <v/>
      </c>
      <c r="D121" s="17">
        <f>IF(P121&lt;$K$7,$H$7+SQRT(P121*($J$7-$H$7)*($I$7-$H$7)),$J$7-SQRT((1-P121)*($J$7-$H$7)*($J$7-$I$7)))</f>
        <v/>
      </c>
      <c r="E121" s="17">
        <f>SUM(B121:D121)</f>
        <v/>
      </c>
      <c r="N121" s="16">
        <f>RAND()</f>
        <v/>
      </c>
      <c r="O121" s="16">
        <f>RAND()</f>
        <v/>
      </c>
      <c r="P121" s="16">
        <f>RAND()</f>
        <v/>
      </c>
    </row>
    <row r="122">
      <c r="A122" s="13" t="n">
        <v>118</v>
      </c>
      <c r="B122" s="17">
        <f>IF(N122&lt;$K$5,$H$5+SQRT(N122*($J$5-$H$5)*($I$5-$H$5)),$J$5-SQRT((1-N122)*($J$5-$H$5)*($J$5-$I$5)))</f>
        <v/>
      </c>
      <c r="C122" s="17">
        <f>IF(O122&lt;$K$6,$H$6+SQRT(O122*($J$6-$H$6)*($I$6-$H$6)),$J$6-SQRT((1-O122)*($J$6-$H$6)*($J$6-$I$6)))</f>
        <v/>
      </c>
      <c r="D122" s="17">
        <f>IF(P122&lt;$K$7,$H$7+SQRT(P122*($J$7-$H$7)*($I$7-$H$7)),$J$7-SQRT((1-P122)*($J$7-$H$7)*($J$7-$I$7)))</f>
        <v/>
      </c>
      <c r="E122" s="17">
        <f>SUM(B122:D122)</f>
        <v/>
      </c>
      <c r="N122" s="16">
        <f>RAND()</f>
        <v/>
      </c>
      <c r="O122" s="16">
        <f>RAND()</f>
        <v/>
      </c>
      <c r="P122" s="16">
        <f>RAND()</f>
        <v/>
      </c>
    </row>
    <row r="123">
      <c r="A123" s="13" t="n">
        <v>119</v>
      </c>
      <c r="B123" s="17">
        <f>IF(N123&lt;$K$5,$H$5+SQRT(N123*($J$5-$H$5)*($I$5-$H$5)),$J$5-SQRT((1-N123)*($J$5-$H$5)*($J$5-$I$5)))</f>
        <v/>
      </c>
      <c r="C123" s="17">
        <f>IF(O123&lt;$K$6,$H$6+SQRT(O123*($J$6-$H$6)*($I$6-$H$6)),$J$6-SQRT((1-O123)*($J$6-$H$6)*($J$6-$I$6)))</f>
        <v/>
      </c>
      <c r="D123" s="17">
        <f>IF(P123&lt;$K$7,$H$7+SQRT(P123*($J$7-$H$7)*($I$7-$H$7)),$J$7-SQRT((1-P123)*($J$7-$H$7)*($J$7-$I$7)))</f>
        <v/>
      </c>
      <c r="E123" s="17">
        <f>SUM(B123:D123)</f>
        <v/>
      </c>
      <c r="N123" s="16">
        <f>RAND()</f>
        <v/>
      </c>
      <c r="O123" s="16">
        <f>RAND()</f>
        <v/>
      </c>
      <c r="P123" s="16">
        <f>RAND()</f>
        <v/>
      </c>
    </row>
    <row r="124">
      <c r="A124" s="13" t="n">
        <v>120</v>
      </c>
      <c r="B124" s="17">
        <f>IF(N124&lt;$K$5,$H$5+SQRT(N124*($J$5-$H$5)*($I$5-$H$5)),$J$5-SQRT((1-N124)*($J$5-$H$5)*($J$5-$I$5)))</f>
        <v/>
      </c>
      <c r="C124" s="17">
        <f>IF(O124&lt;$K$6,$H$6+SQRT(O124*($J$6-$H$6)*($I$6-$H$6)),$J$6-SQRT((1-O124)*($J$6-$H$6)*($J$6-$I$6)))</f>
        <v/>
      </c>
      <c r="D124" s="17">
        <f>IF(P124&lt;$K$7,$H$7+SQRT(P124*($J$7-$H$7)*($I$7-$H$7)),$J$7-SQRT((1-P124)*($J$7-$H$7)*($J$7-$I$7)))</f>
        <v/>
      </c>
      <c r="E124" s="17">
        <f>SUM(B124:D124)</f>
        <v/>
      </c>
      <c r="N124" s="16">
        <f>RAND()</f>
        <v/>
      </c>
      <c r="O124" s="16">
        <f>RAND()</f>
        <v/>
      </c>
      <c r="P124" s="16">
        <f>RAND()</f>
        <v/>
      </c>
    </row>
    <row r="125">
      <c r="A125" s="13" t="n">
        <v>121</v>
      </c>
      <c r="B125" s="17">
        <f>IF(N125&lt;$K$5,$H$5+SQRT(N125*($J$5-$H$5)*($I$5-$H$5)),$J$5-SQRT((1-N125)*($J$5-$H$5)*($J$5-$I$5)))</f>
        <v/>
      </c>
      <c r="C125" s="17">
        <f>IF(O125&lt;$K$6,$H$6+SQRT(O125*($J$6-$H$6)*($I$6-$H$6)),$J$6-SQRT((1-O125)*($J$6-$H$6)*($J$6-$I$6)))</f>
        <v/>
      </c>
      <c r="D125" s="17">
        <f>IF(P125&lt;$K$7,$H$7+SQRT(P125*($J$7-$H$7)*($I$7-$H$7)),$J$7-SQRT((1-P125)*($J$7-$H$7)*($J$7-$I$7)))</f>
        <v/>
      </c>
      <c r="E125" s="17">
        <f>SUM(B125:D125)</f>
        <v/>
      </c>
      <c r="N125" s="16">
        <f>RAND()</f>
        <v/>
      </c>
      <c r="O125" s="16">
        <f>RAND()</f>
        <v/>
      </c>
      <c r="P125" s="16">
        <f>RAND()</f>
        <v/>
      </c>
    </row>
    <row r="126">
      <c r="A126" s="13" t="n">
        <v>122</v>
      </c>
      <c r="B126" s="17">
        <f>IF(N126&lt;$K$5,$H$5+SQRT(N126*($J$5-$H$5)*($I$5-$H$5)),$J$5-SQRT((1-N126)*($J$5-$H$5)*($J$5-$I$5)))</f>
        <v/>
      </c>
      <c r="C126" s="17">
        <f>IF(O126&lt;$K$6,$H$6+SQRT(O126*($J$6-$H$6)*($I$6-$H$6)),$J$6-SQRT((1-O126)*($J$6-$H$6)*($J$6-$I$6)))</f>
        <v/>
      </c>
      <c r="D126" s="17">
        <f>IF(P126&lt;$K$7,$H$7+SQRT(P126*($J$7-$H$7)*($I$7-$H$7)),$J$7-SQRT((1-P126)*($J$7-$H$7)*($J$7-$I$7)))</f>
        <v/>
      </c>
      <c r="E126" s="17">
        <f>SUM(B126:D126)</f>
        <v/>
      </c>
      <c r="N126" s="16">
        <f>RAND()</f>
        <v/>
      </c>
      <c r="O126" s="16">
        <f>RAND()</f>
        <v/>
      </c>
      <c r="P126" s="16">
        <f>RAND()</f>
        <v/>
      </c>
    </row>
    <row r="127">
      <c r="A127" s="13" t="n">
        <v>123</v>
      </c>
      <c r="B127" s="17">
        <f>IF(N127&lt;$K$5,$H$5+SQRT(N127*($J$5-$H$5)*($I$5-$H$5)),$J$5-SQRT((1-N127)*($J$5-$H$5)*($J$5-$I$5)))</f>
        <v/>
      </c>
      <c r="C127" s="17">
        <f>IF(O127&lt;$K$6,$H$6+SQRT(O127*($J$6-$H$6)*($I$6-$H$6)),$J$6-SQRT((1-O127)*($J$6-$H$6)*($J$6-$I$6)))</f>
        <v/>
      </c>
      <c r="D127" s="17">
        <f>IF(P127&lt;$K$7,$H$7+SQRT(P127*($J$7-$H$7)*($I$7-$H$7)),$J$7-SQRT((1-P127)*($J$7-$H$7)*($J$7-$I$7)))</f>
        <v/>
      </c>
      <c r="E127" s="17">
        <f>SUM(B127:D127)</f>
        <v/>
      </c>
      <c r="N127" s="16">
        <f>RAND()</f>
        <v/>
      </c>
      <c r="O127" s="16">
        <f>RAND()</f>
        <v/>
      </c>
      <c r="P127" s="16">
        <f>RAND()</f>
        <v/>
      </c>
    </row>
    <row r="128">
      <c r="A128" s="13" t="n">
        <v>124</v>
      </c>
      <c r="B128" s="17">
        <f>IF(N128&lt;$K$5,$H$5+SQRT(N128*($J$5-$H$5)*($I$5-$H$5)),$J$5-SQRT((1-N128)*($J$5-$H$5)*($J$5-$I$5)))</f>
        <v/>
      </c>
      <c r="C128" s="17">
        <f>IF(O128&lt;$K$6,$H$6+SQRT(O128*($J$6-$H$6)*($I$6-$H$6)),$J$6-SQRT((1-O128)*($J$6-$H$6)*($J$6-$I$6)))</f>
        <v/>
      </c>
      <c r="D128" s="17">
        <f>IF(P128&lt;$K$7,$H$7+SQRT(P128*($J$7-$H$7)*($I$7-$H$7)),$J$7-SQRT((1-P128)*($J$7-$H$7)*($J$7-$I$7)))</f>
        <v/>
      </c>
      <c r="E128" s="17">
        <f>SUM(B128:D128)</f>
        <v/>
      </c>
      <c r="N128" s="16">
        <f>RAND()</f>
        <v/>
      </c>
      <c r="O128" s="16">
        <f>RAND()</f>
        <v/>
      </c>
      <c r="P128" s="16">
        <f>RAND()</f>
        <v/>
      </c>
    </row>
    <row r="129">
      <c r="A129" s="13" t="n">
        <v>125</v>
      </c>
      <c r="B129" s="17">
        <f>IF(N129&lt;$K$5,$H$5+SQRT(N129*($J$5-$H$5)*($I$5-$H$5)),$J$5-SQRT((1-N129)*($J$5-$H$5)*($J$5-$I$5)))</f>
        <v/>
      </c>
      <c r="C129" s="17">
        <f>IF(O129&lt;$K$6,$H$6+SQRT(O129*($J$6-$H$6)*($I$6-$H$6)),$J$6-SQRT((1-O129)*($J$6-$H$6)*($J$6-$I$6)))</f>
        <v/>
      </c>
      <c r="D129" s="17">
        <f>IF(P129&lt;$K$7,$H$7+SQRT(P129*($J$7-$H$7)*($I$7-$H$7)),$J$7-SQRT((1-P129)*($J$7-$H$7)*($J$7-$I$7)))</f>
        <v/>
      </c>
      <c r="E129" s="17">
        <f>SUM(B129:D129)</f>
        <v/>
      </c>
      <c r="N129" s="16">
        <f>RAND()</f>
        <v/>
      </c>
      <c r="O129" s="16">
        <f>RAND()</f>
        <v/>
      </c>
      <c r="P129" s="16">
        <f>RAND()</f>
        <v/>
      </c>
    </row>
    <row r="130">
      <c r="A130" s="13" t="n">
        <v>126</v>
      </c>
      <c r="B130" s="17">
        <f>IF(N130&lt;$K$5,$H$5+SQRT(N130*($J$5-$H$5)*($I$5-$H$5)),$J$5-SQRT((1-N130)*($J$5-$H$5)*($J$5-$I$5)))</f>
        <v/>
      </c>
      <c r="C130" s="17">
        <f>IF(O130&lt;$K$6,$H$6+SQRT(O130*($J$6-$H$6)*($I$6-$H$6)),$J$6-SQRT((1-O130)*($J$6-$H$6)*($J$6-$I$6)))</f>
        <v/>
      </c>
      <c r="D130" s="17">
        <f>IF(P130&lt;$K$7,$H$7+SQRT(P130*($J$7-$H$7)*($I$7-$H$7)),$J$7-SQRT((1-P130)*($J$7-$H$7)*($J$7-$I$7)))</f>
        <v/>
      </c>
      <c r="E130" s="17">
        <f>SUM(B130:D130)</f>
        <v/>
      </c>
      <c r="N130" s="16">
        <f>RAND()</f>
        <v/>
      </c>
      <c r="O130" s="16">
        <f>RAND()</f>
        <v/>
      </c>
      <c r="P130" s="16">
        <f>RAND()</f>
        <v/>
      </c>
    </row>
    <row r="131">
      <c r="A131" s="13" t="n">
        <v>127</v>
      </c>
      <c r="B131" s="17">
        <f>IF(N131&lt;$K$5,$H$5+SQRT(N131*($J$5-$H$5)*($I$5-$H$5)),$J$5-SQRT((1-N131)*($J$5-$H$5)*($J$5-$I$5)))</f>
        <v/>
      </c>
      <c r="C131" s="17">
        <f>IF(O131&lt;$K$6,$H$6+SQRT(O131*($J$6-$H$6)*($I$6-$H$6)),$J$6-SQRT((1-O131)*($J$6-$H$6)*($J$6-$I$6)))</f>
        <v/>
      </c>
      <c r="D131" s="17">
        <f>IF(P131&lt;$K$7,$H$7+SQRT(P131*($J$7-$H$7)*($I$7-$H$7)),$J$7-SQRT((1-P131)*($J$7-$H$7)*($J$7-$I$7)))</f>
        <v/>
      </c>
      <c r="E131" s="17">
        <f>SUM(B131:D131)</f>
        <v/>
      </c>
      <c r="N131" s="16">
        <f>RAND()</f>
        <v/>
      </c>
      <c r="O131" s="16">
        <f>RAND()</f>
        <v/>
      </c>
      <c r="P131" s="16">
        <f>RAND()</f>
        <v/>
      </c>
    </row>
    <row r="132">
      <c r="A132" s="13" t="n">
        <v>128</v>
      </c>
      <c r="B132" s="17">
        <f>IF(N132&lt;$K$5,$H$5+SQRT(N132*($J$5-$H$5)*($I$5-$H$5)),$J$5-SQRT((1-N132)*($J$5-$H$5)*($J$5-$I$5)))</f>
        <v/>
      </c>
      <c r="C132" s="17">
        <f>IF(O132&lt;$K$6,$H$6+SQRT(O132*($J$6-$H$6)*($I$6-$H$6)),$J$6-SQRT((1-O132)*($J$6-$H$6)*($J$6-$I$6)))</f>
        <v/>
      </c>
      <c r="D132" s="17">
        <f>IF(P132&lt;$K$7,$H$7+SQRT(P132*($J$7-$H$7)*($I$7-$H$7)),$J$7-SQRT((1-P132)*($J$7-$H$7)*($J$7-$I$7)))</f>
        <v/>
      </c>
      <c r="E132" s="17">
        <f>SUM(B132:D132)</f>
        <v/>
      </c>
      <c r="N132" s="16">
        <f>RAND()</f>
        <v/>
      </c>
      <c r="O132" s="16">
        <f>RAND()</f>
        <v/>
      </c>
      <c r="P132" s="16">
        <f>RAND()</f>
        <v/>
      </c>
    </row>
    <row r="133">
      <c r="A133" s="13" t="n">
        <v>129</v>
      </c>
      <c r="B133" s="17">
        <f>IF(N133&lt;$K$5,$H$5+SQRT(N133*($J$5-$H$5)*($I$5-$H$5)),$J$5-SQRT((1-N133)*($J$5-$H$5)*($J$5-$I$5)))</f>
        <v/>
      </c>
      <c r="C133" s="17">
        <f>IF(O133&lt;$K$6,$H$6+SQRT(O133*($J$6-$H$6)*($I$6-$H$6)),$J$6-SQRT((1-O133)*($J$6-$H$6)*($J$6-$I$6)))</f>
        <v/>
      </c>
      <c r="D133" s="17">
        <f>IF(P133&lt;$K$7,$H$7+SQRT(P133*($J$7-$H$7)*($I$7-$H$7)),$J$7-SQRT((1-P133)*($J$7-$H$7)*($J$7-$I$7)))</f>
        <v/>
      </c>
      <c r="E133" s="17">
        <f>SUM(B133:D133)</f>
        <v/>
      </c>
      <c r="N133" s="16">
        <f>RAND()</f>
        <v/>
      </c>
      <c r="O133" s="16">
        <f>RAND()</f>
        <v/>
      </c>
      <c r="P133" s="16">
        <f>RAND()</f>
        <v/>
      </c>
    </row>
    <row r="134">
      <c r="A134" s="13" t="n">
        <v>130</v>
      </c>
      <c r="B134" s="17">
        <f>IF(N134&lt;$K$5,$H$5+SQRT(N134*($J$5-$H$5)*($I$5-$H$5)),$J$5-SQRT((1-N134)*($J$5-$H$5)*($J$5-$I$5)))</f>
        <v/>
      </c>
      <c r="C134" s="17">
        <f>IF(O134&lt;$K$6,$H$6+SQRT(O134*($J$6-$H$6)*($I$6-$H$6)),$J$6-SQRT((1-O134)*($J$6-$H$6)*($J$6-$I$6)))</f>
        <v/>
      </c>
      <c r="D134" s="17">
        <f>IF(P134&lt;$K$7,$H$7+SQRT(P134*($J$7-$H$7)*($I$7-$H$7)),$J$7-SQRT((1-P134)*($J$7-$H$7)*($J$7-$I$7)))</f>
        <v/>
      </c>
      <c r="E134" s="17">
        <f>SUM(B134:D134)</f>
        <v/>
      </c>
      <c r="N134" s="16">
        <f>RAND()</f>
        <v/>
      </c>
      <c r="O134" s="16">
        <f>RAND()</f>
        <v/>
      </c>
      <c r="P134" s="16">
        <f>RAND()</f>
        <v/>
      </c>
    </row>
    <row r="135">
      <c r="A135" s="13" t="n">
        <v>131</v>
      </c>
      <c r="B135" s="17">
        <f>IF(N135&lt;$K$5,$H$5+SQRT(N135*($J$5-$H$5)*($I$5-$H$5)),$J$5-SQRT((1-N135)*($J$5-$H$5)*($J$5-$I$5)))</f>
        <v/>
      </c>
      <c r="C135" s="17">
        <f>IF(O135&lt;$K$6,$H$6+SQRT(O135*($J$6-$H$6)*($I$6-$H$6)),$J$6-SQRT((1-O135)*($J$6-$H$6)*($J$6-$I$6)))</f>
        <v/>
      </c>
      <c r="D135" s="17">
        <f>IF(P135&lt;$K$7,$H$7+SQRT(P135*($J$7-$H$7)*($I$7-$H$7)),$J$7-SQRT((1-P135)*($J$7-$H$7)*($J$7-$I$7)))</f>
        <v/>
      </c>
      <c r="E135" s="17">
        <f>SUM(B135:D135)</f>
        <v/>
      </c>
      <c r="N135" s="16">
        <f>RAND()</f>
        <v/>
      </c>
      <c r="O135" s="16">
        <f>RAND()</f>
        <v/>
      </c>
      <c r="P135" s="16">
        <f>RAND()</f>
        <v/>
      </c>
    </row>
    <row r="136">
      <c r="A136" s="13" t="n">
        <v>132</v>
      </c>
      <c r="B136" s="17">
        <f>IF(N136&lt;$K$5,$H$5+SQRT(N136*($J$5-$H$5)*($I$5-$H$5)),$J$5-SQRT((1-N136)*($J$5-$H$5)*($J$5-$I$5)))</f>
        <v/>
      </c>
      <c r="C136" s="17">
        <f>IF(O136&lt;$K$6,$H$6+SQRT(O136*($J$6-$H$6)*($I$6-$H$6)),$J$6-SQRT((1-O136)*($J$6-$H$6)*($J$6-$I$6)))</f>
        <v/>
      </c>
      <c r="D136" s="17">
        <f>IF(P136&lt;$K$7,$H$7+SQRT(P136*($J$7-$H$7)*($I$7-$H$7)),$J$7-SQRT((1-P136)*($J$7-$H$7)*($J$7-$I$7)))</f>
        <v/>
      </c>
      <c r="E136" s="17">
        <f>SUM(B136:D136)</f>
        <v/>
      </c>
      <c r="N136" s="16">
        <f>RAND()</f>
        <v/>
      </c>
      <c r="O136" s="16">
        <f>RAND()</f>
        <v/>
      </c>
      <c r="P136" s="16">
        <f>RAND()</f>
        <v/>
      </c>
    </row>
    <row r="137">
      <c r="A137" s="13" t="n">
        <v>133</v>
      </c>
      <c r="B137" s="17">
        <f>IF(N137&lt;$K$5,$H$5+SQRT(N137*($J$5-$H$5)*($I$5-$H$5)),$J$5-SQRT((1-N137)*($J$5-$H$5)*($J$5-$I$5)))</f>
        <v/>
      </c>
      <c r="C137" s="17">
        <f>IF(O137&lt;$K$6,$H$6+SQRT(O137*($J$6-$H$6)*($I$6-$H$6)),$J$6-SQRT((1-O137)*($J$6-$H$6)*($J$6-$I$6)))</f>
        <v/>
      </c>
      <c r="D137" s="17">
        <f>IF(P137&lt;$K$7,$H$7+SQRT(P137*($J$7-$H$7)*($I$7-$H$7)),$J$7-SQRT((1-P137)*($J$7-$H$7)*($J$7-$I$7)))</f>
        <v/>
      </c>
      <c r="E137" s="17">
        <f>SUM(B137:D137)</f>
        <v/>
      </c>
      <c r="N137" s="16">
        <f>RAND()</f>
        <v/>
      </c>
      <c r="O137" s="16">
        <f>RAND()</f>
        <v/>
      </c>
      <c r="P137" s="16">
        <f>RAND()</f>
        <v/>
      </c>
    </row>
    <row r="138">
      <c r="A138" s="13" t="n">
        <v>134</v>
      </c>
      <c r="B138" s="17">
        <f>IF(N138&lt;$K$5,$H$5+SQRT(N138*($J$5-$H$5)*($I$5-$H$5)),$J$5-SQRT((1-N138)*($J$5-$H$5)*($J$5-$I$5)))</f>
        <v/>
      </c>
      <c r="C138" s="17">
        <f>IF(O138&lt;$K$6,$H$6+SQRT(O138*($J$6-$H$6)*($I$6-$H$6)),$J$6-SQRT((1-O138)*($J$6-$H$6)*($J$6-$I$6)))</f>
        <v/>
      </c>
      <c r="D138" s="17">
        <f>IF(P138&lt;$K$7,$H$7+SQRT(P138*($J$7-$H$7)*($I$7-$H$7)),$J$7-SQRT((1-P138)*($J$7-$H$7)*($J$7-$I$7)))</f>
        <v/>
      </c>
      <c r="E138" s="17">
        <f>SUM(B138:D138)</f>
        <v/>
      </c>
      <c r="N138" s="16">
        <f>RAND()</f>
        <v/>
      </c>
      <c r="O138" s="16">
        <f>RAND()</f>
        <v/>
      </c>
      <c r="P138" s="16">
        <f>RAND()</f>
        <v/>
      </c>
    </row>
    <row r="139">
      <c r="A139" s="13" t="n">
        <v>135</v>
      </c>
      <c r="B139" s="17">
        <f>IF(N139&lt;$K$5,$H$5+SQRT(N139*($J$5-$H$5)*($I$5-$H$5)),$J$5-SQRT((1-N139)*($J$5-$H$5)*($J$5-$I$5)))</f>
        <v/>
      </c>
      <c r="C139" s="17">
        <f>IF(O139&lt;$K$6,$H$6+SQRT(O139*($J$6-$H$6)*($I$6-$H$6)),$J$6-SQRT((1-O139)*($J$6-$H$6)*($J$6-$I$6)))</f>
        <v/>
      </c>
      <c r="D139" s="17">
        <f>IF(P139&lt;$K$7,$H$7+SQRT(P139*($J$7-$H$7)*($I$7-$H$7)),$J$7-SQRT((1-P139)*($J$7-$H$7)*($J$7-$I$7)))</f>
        <v/>
      </c>
      <c r="E139" s="17">
        <f>SUM(B139:D139)</f>
        <v/>
      </c>
      <c r="N139" s="16">
        <f>RAND()</f>
        <v/>
      </c>
      <c r="O139" s="16">
        <f>RAND()</f>
        <v/>
      </c>
      <c r="P139" s="16">
        <f>RAND()</f>
        <v/>
      </c>
    </row>
    <row r="140">
      <c r="A140" s="13" t="n">
        <v>136</v>
      </c>
      <c r="B140" s="17">
        <f>IF(N140&lt;$K$5,$H$5+SQRT(N140*($J$5-$H$5)*($I$5-$H$5)),$J$5-SQRT((1-N140)*($J$5-$H$5)*($J$5-$I$5)))</f>
        <v/>
      </c>
      <c r="C140" s="17">
        <f>IF(O140&lt;$K$6,$H$6+SQRT(O140*($J$6-$H$6)*($I$6-$H$6)),$J$6-SQRT((1-O140)*($J$6-$H$6)*($J$6-$I$6)))</f>
        <v/>
      </c>
      <c r="D140" s="17">
        <f>IF(P140&lt;$K$7,$H$7+SQRT(P140*($J$7-$H$7)*($I$7-$H$7)),$J$7-SQRT((1-P140)*($J$7-$H$7)*($J$7-$I$7)))</f>
        <v/>
      </c>
      <c r="E140" s="17">
        <f>SUM(B140:D140)</f>
        <v/>
      </c>
      <c r="N140" s="16">
        <f>RAND()</f>
        <v/>
      </c>
      <c r="O140" s="16">
        <f>RAND()</f>
        <v/>
      </c>
      <c r="P140" s="16">
        <f>RAND()</f>
        <v/>
      </c>
    </row>
    <row r="141">
      <c r="A141" s="13" t="n">
        <v>137</v>
      </c>
      <c r="B141" s="17">
        <f>IF(N141&lt;$K$5,$H$5+SQRT(N141*($J$5-$H$5)*($I$5-$H$5)),$J$5-SQRT((1-N141)*($J$5-$H$5)*($J$5-$I$5)))</f>
        <v/>
      </c>
      <c r="C141" s="17">
        <f>IF(O141&lt;$K$6,$H$6+SQRT(O141*($J$6-$H$6)*($I$6-$H$6)),$J$6-SQRT((1-O141)*($J$6-$H$6)*($J$6-$I$6)))</f>
        <v/>
      </c>
      <c r="D141" s="17">
        <f>IF(P141&lt;$K$7,$H$7+SQRT(P141*($J$7-$H$7)*($I$7-$H$7)),$J$7-SQRT((1-P141)*($J$7-$H$7)*($J$7-$I$7)))</f>
        <v/>
      </c>
      <c r="E141" s="17">
        <f>SUM(B141:D141)</f>
        <v/>
      </c>
      <c r="N141" s="16">
        <f>RAND()</f>
        <v/>
      </c>
      <c r="O141" s="16">
        <f>RAND()</f>
        <v/>
      </c>
      <c r="P141" s="16">
        <f>RAND()</f>
        <v/>
      </c>
    </row>
    <row r="142">
      <c r="A142" s="13" t="n">
        <v>138</v>
      </c>
      <c r="B142" s="17">
        <f>IF(N142&lt;$K$5,$H$5+SQRT(N142*($J$5-$H$5)*($I$5-$H$5)),$J$5-SQRT((1-N142)*($J$5-$H$5)*($J$5-$I$5)))</f>
        <v/>
      </c>
      <c r="C142" s="17">
        <f>IF(O142&lt;$K$6,$H$6+SQRT(O142*($J$6-$H$6)*($I$6-$H$6)),$J$6-SQRT((1-O142)*($J$6-$H$6)*($J$6-$I$6)))</f>
        <v/>
      </c>
      <c r="D142" s="17">
        <f>IF(P142&lt;$K$7,$H$7+SQRT(P142*($J$7-$H$7)*($I$7-$H$7)),$J$7-SQRT((1-P142)*($J$7-$H$7)*($J$7-$I$7)))</f>
        <v/>
      </c>
      <c r="E142" s="17">
        <f>SUM(B142:D142)</f>
        <v/>
      </c>
      <c r="N142" s="16">
        <f>RAND()</f>
        <v/>
      </c>
      <c r="O142" s="16">
        <f>RAND()</f>
        <v/>
      </c>
      <c r="P142" s="16">
        <f>RAND()</f>
        <v/>
      </c>
    </row>
    <row r="143">
      <c r="A143" s="13" t="n">
        <v>139</v>
      </c>
      <c r="B143" s="17">
        <f>IF(N143&lt;$K$5,$H$5+SQRT(N143*($J$5-$H$5)*($I$5-$H$5)),$J$5-SQRT((1-N143)*($J$5-$H$5)*($J$5-$I$5)))</f>
        <v/>
      </c>
      <c r="C143" s="17">
        <f>IF(O143&lt;$K$6,$H$6+SQRT(O143*($J$6-$H$6)*($I$6-$H$6)),$J$6-SQRT((1-O143)*($J$6-$H$6)*($J$6-$I$6)))</f>
        <v/>
      </c>
      <c r="D143" s="17">
        <f>IF(P143&lt;$K$7,$H$7+SQRT(P143*($J$7-$H$7)*($I$7-$H$7)),$J$7-SQRT((1-P143)*($J$7-$H$7)*($J$7-$I$7)))</f>
        <v/>
      </c>
      <c r="E143" s="17">
        <f>SUM(B143:D143)</f>
        <v/>
      </c>
      <c r="N143" s="16">
        <f>RAND()</f>
        <v/>
      </c>
      <c r="O143" s="16">
        <f>RAND()</f>
        <v/>
      </c>
      <c r="P143" s="16">
        <f>RAND()</f>
        <v/>
      </c>
    </row>
    <row r="144">
      <c r="A144" s="13" t="n">
        <v>140</v>
      </c>
      <c r="B144" s="17">
        <f>IF(N144&lt;$K$5,$H$5+SQRT(N144*($J$5-$H$5)*($I$5-$H$5)),$J$5-SQRT((1-N144)*($J$5-$H$5)*($J$5-$I$5)))</f>
        <v/>
      </c>
      <c r="C144" s="17">
        <f>IF(O144&lt;$K$6,$H$6+SQRT(O144*($J$6-$H$6)*($I$6-$H$6)),$J$6-SQRT((1-O144)*($J$6-$H$6)*($J$6-$I$6)))</f>
        <v/>
      </c>
      <c r="D144" s="17">
        <f>IF(P144&lt;$K$7,$H$7+SQRT(P144*($J$7-$H$7)*($I$7-$H$7)),$J$7-SQRT((1-P144)*($J$7-$H$7)*($J$7-$I$7)))</f>
        <v/>
      </c>
      <c r="E144" s="17">
        <f>SUM(B144:D144)</f>
        <v/>
      </c>
      <c r="N144" s="16">
        <f>RAND()</f>
        <v/>
      </c>
      <c r="O144" s="16">
        <f>RAND()</f>
        <v/>
      </c>
      <c r="P144" s="16">
        <f>RAND()</f>
        <v/>
      </c>
    </row>
    <row r="145">
      <c r="A145" s="13" t="n">
        <v>141</v>
      </c>
      <c r="B145" s="17">
        <f>IF(N145&lt;$K$5,$H$5+SQRT(N145*($J$5-$H$5)*($I$5-$H$5)),$J$5-SQRT((1-N145)*($J$5-$H$5)*($J$5-$I$5)))</f>
        <v/>
      </c>
      <c r="C145" s="17">
        <f>IF(O145&lt;$K$6,$H$6+SQRT(O145*($J$6-$H$6)*($I$6-$H$6)),$J$6-SQRT((1-O145)*($J$6-$H$6)*($J$6-$I$6)))</f>
        <v/>
      </c>
      <c r="D145" s="17">
        <f>IF(P145&lt;$K$7,$H$7+SQRT(P145*($J$7-$H$7)*($I$7-$H$7)),$J$7-SQRT((1-P145)*($J$7-$H$7)*($J$7-$I$7)))</f>
        <v/>
      </c>
      <c r="E145" s="17">
        <f>SUM(B145:D145)</f>
        <v/>
      </c>
      <c r="N145" s="16">
        <f>RAND()</f>
        <v/>
      </c>
      <c r="O145" s="16">
        <f>RAND()</f>
        <v/>
      </c>
      <c r="P145" s="16">
        <f>RAND()</f>
        <v/>
      </c>
    </row>
    <row r="146">
      <c r="A146" s="13" t="n">
        <v>142</v>
      </c>
      <c r="B146" s="17">
        <f>IF(N146&lt;$K$5,$H$5+SQRT(N146*($J$5-$H$5)*($I$5-$H$5)),$J$5-SQRT((1-N146)*($J$5-$H$5)*($J$5-$I$5)))</f>
        <v/>
      </c>
      <c r="C146" s="17">
        <f>IF(O146&lt;$K$6,$H$6+SQRT(O146*($J$6-$H$6)*($I$6-$H$6)),$J$6-SQRT((1-O146)*($J$6-$H$6)*($J$6-$I$6)))</f>
        <v/>
      </c>
      <c r="D146" s="17">
        <f>IF(P146&lt;$K$7,$H$7+SQRT(P146*($J$7-$H$7)*($I$7-$H$7)),$J$7-SQRT((1-P146)*($J$7-$H$7)*($J$7-$I$7)))</f>
        <v/>
      </c>
      <c r="E146" s="17">
        <f>SUM(B146:D146)</f>
        <v/>
      </c>
      <c r="N146" s="16">
        <f>RAND()</f>
        <v/>
      </c>
      <c r="O146" s="16">
        <f>RAND()</f>
        <v/>
      </c>
      <c r="P146" s="16">
        <f>RAND()</f>
        <v/>
      </c>
    </row>
    <row r="147">
      <c r="A147" s="13" t="n">
        <v>143</v>
      </c>
      <c r="B147" s="17">
        <f>IF(N147&lt;$K$5,$H$5+SQRT(N147*($J$5-$H$5)*($I$5-$H$5)),$J$5-SQRT((1-N147)*($J$5-$H$5)*($J$5-$I$5)))</f>
        <v/>
      </c>
      <c r="C147" s="17">
        <f>IF(O147&lt;$K$6,$H$6+SQRT(O147*($J$6-$H$6)*($I$6-$H$6)),$J$6-SQRT((1-O147)*($J$6-$H$6)*($J$6-$I$6)))</f>
        <v/>
      </c>
      <c r="D147" s="17">
        <f>IF(P147&lt;$K$7,$H$7+SQRT(P147*($J$7-$H$7)*($I$7-$H$7)),$J$7-SQRT((1-P147)*($J$7-$H$7)*($J$7-$I$7)))</f>
        <v/>
      </c>
      <c r="E147" s="17">
        <f>SUM(B147:D147)</f>
        <v/>
      </c>
      <c r="N147" s="16">
        <f>RAND()</f>
        <v/>
      </c>
      <c r="O147" s="16">
        <f>RAND()</f>
        <v/>
      </c>
      <c r="P147" s="16">
        <f>RAND()</f>
        <v/>
      </c>
    </row>
    <row r="148">
      <c r="A148" s="13" t="n">
        <v>144</v>
      </c>
      <c r="B148" s="17">
        <f>IF(N148&lt;$K$5,$H$5+SQRT(N148*($J$5-$H$5)*($I$5-$H$5)),$J$5-SQRT((1-N148)*($J$5-$H$5)*($J$5-$I$5)))</f>
        <v/>
      </c>
      <c r="C148" s="17">
        <f>IF(O148&lt;$K$6,$H$6+SQRT(O148*($J$6-$H$6)*($I$6-$H$6)),$J$6-SQRT((1-O148)*($J$6-$H$6)*($J$6-$I$6)))</f>
        <v/>
      </c>
      <c r="D148" s="17">
        <f>IF(P148&lt;$K$7,$H$7+SQRT(P148*($J$7-$H$7)*($I$7-$H$7)),$J$7-SQRT((1-P148)*($J$7-$H$7)*($J$7-$I$7)))</f>
        <v/>
      </c>
      <c r="E148" s="17">
        <f>SUM(B148:D148)</f>
        <v/>
      </c>
      <c r="N148" s="16">
        <f>RAND()</f>
        <v/>
      </c>
      <c r="O148" s="16">
        <f>RAND()</f>
        <v/>
      </c>
      <c r="P148" s="16">
        <f>RAND()</f>
        <v/>
      </c>
    </row>
    <row r="149">
      <c r="A149" s="13" t="n">
        <v>145</v>
      </c>
      <c r="B149" s="17">
        <f>IF(N149&lt;$K$5,$H$5+SQRT(N149*($J$5-$H$5)*($I$5-$H$5)),$J$5-SQRT((1-N149)*($J$5-$H$5)*($J$5-$I$5)))</f>
        <v/>
      </c>
      <c r="C149" s="17">
        <f>IF(O149&lt;$K$6,$H$6+SQRT(O149*($J$6-$H$6)*($I$6-$H$6)),$J$6-SQRT((1-O149)*($J$6-$H$6)*($J$6-$I$6)))</f>
        <v/>
      </c>
      <c r="D149" s="17">
        <f>IF(P149&lt;$K$7,$H$7+SQRT(P149*($J$7-$H$7)*($I$7-$H$7)),$J$7-SQRT((1-P149)*($J$7-$H$7)*($J$7-$I$7)))</f>
        <v/>
      </c>
      <c r="E149" s="17">
        <f>SUM(B149:D149)</f>
        <v/>
      </c>
      <c r="N149" s="16">
        <f>RAND()</f>
        <v/>
      </c>
      <c r="O149" s="16">
        <f>RAND()</f>
        <v/>
      </c>
      <c r="P149" s="16">
        <f>RAND()</f>
        <v/>
      </c>
    </row>
    <row r="150">
      <c r="A150" s="13" t="n">
        <v>146</v>
      </c>
      <c r="B150" s="17">
        <f>IF(N150&lt;$K$5,$H$5+SQRT(N150*($J$5-$H$5)*($I$5-$H$5)),$J$5-SQRT((1-N150)*($J$5-$H$5)*($J$5-$I$5)))</f>
        <v/>
      </c>
      <c r="C150" s="17">
        <f>IF(O150&lt;$K$6,$H$6+SQRT(O150*($J$6-$H$6)*($I$6-$H$6)),$J$6-SQRT((1-O150)*($J$6-$H$6)*($J$6-$I$6)))</f>
        <v/>
      </c>
      <c r="D150" s="17">
        <f>IF(P150&lt;$K$7,$H$7+SQRT(P150*($J$7-$H$7)*($I$7-$H$7)),$J$7-SQRT((1-P150)*($J$7-$H$7)*($J$7-$I$7)))</f>
        <v/>
      </c>
      <c r="E150" s="17">
        <f>SUM(B150:D150)</f>
        <v/>
      </c>
      <c r="N150" s="16">
        <f>RAND()</f>
        <v/>
      </c>
      <c r="O150" s="16">
        <f>RAND()</f>
        <v/>
      </c>
      <c r="P150" s="16">
        <f>RAND()</f>
        <v/>
      </c>
    </row>
    <row r="151">
      <c r="A151" s="13" t="n">
        <v>147</v>
      </c>
      <c r="B151" s="17">
        <f>IF(N151&lt;$K$5,$H$5+SQRT(N151*($J$5-$H$5)*($I$5-$H$5)),$J$5-SQRT((1-N151)*($J$5-$H$5)*($J$5-$I$5)))</f>
        <v/>
      </c>
      <c r="C151" s="17">
        <f>IF(O151&lt;$K$6,$H$6+SQRT(O151*($J$6-$H$6)*($I$6-$H$6)),$J$6-SQRT((1-O151)*($J$6-$H$6)*($J$6-$I$6)))</f>
        <v/>
      </c>
      <c r="D151" s="17">
        <f>IF(P151&lt;$K$7,$H$7+SQRT(P151*($J$7-$H$7)*($I$7-$H$7)),$J$7-SQRT((1-P151)*($J$7-$H$7)*($J$7-$I$7)))</f>
        <v/>
      </c>
      <c r="E151" s="17">
        <f>SUM(B151:D151)</f>
        <v/>
      </c>
      <c r="N151" s="16">
        <f>RAND()</f>
        <v/>
      </c>
      <c r="O151" s="16">
        <f>RAND()</f>
        <v/>
      </c>
      <c r="P151" s="16">
        <f>RAND()</f>
        <v/>
      </c>
    </row>
    <row r="152">
      <c r="A152" s="13" t="n">
        <v>148</v>
      </c>
      <c r="B152" s="17">
        <f>IF(N152&lt;$K$5,$H$5+SQRT(N152*($J$5-$H$5)*($I$5-$H$5)),$J$5-SQRT((1-N152)*($J$5-$H$5)*($J$5-$I$5)))</f>
        <v/>
      </c>
      <c r="C152" s="17">
        <f>IF(O152&lt;$K$6,$H$6+SQRT(O152*($J$6-$H$6)*($I$6-$H$6)),$J$6-SQRT((1-O152)*($J$6-$H$6)*($J$6-$I$6)))</f>
        <v/>
      </c>
      <c r="D152" s="17">
        <f>IF(P152&lt;$K$7,$H$7+SQRT(P152*($J$7-$H$7)*($I$7-$H$7)),$J$7-SQRT((1-P152)*($J$7-$H$7)*($J$7-$I$7)))</f>
        <v/>
      </c>
      <c r="E152" s="17">
        <f>SUM(B152:D152)</f>
        <v/>
      </c>
      <c r="N152" s="16">
        <f>RAND()</f>
        <v/>
      </c>
      <c r="O152" s="16">
        <f>RAND()</f>
        <v/>
      </c>
      <c r="P152" s="16">
        <f>RAND()</f>
        <v/>
      </c>
    </row>
    <row r="153">
      <c r="A153" s="13" t="n">
        <v>149</v>
      </c>
      <c r="B153" s="17">
        <f>IF(N153&lt;$K$5,$H$5+SQRT(N153*($J$5-$H$5)*($I$5-$H$5)),$J$5-SQRT((1-N153)*($J$5-$H$5)*($J$5-$I$5)))</f>
        <v/>
      </c>
      <c r="C153" s="17">
        <f>IF(O153&lt;$K$6,$H$6+SQRT(O153*($J$6-$H$6)*($I$6-$H$6)),$J$6-SQRT((1-O153)*($J$6-$H$6)*($J$6-$I$6)))</f>
        <v/>
      </c>
      <c r="D153" s="17">
        <f>IF(P153&lt;$K$7,$H$7+SQRT(P153*($J$7-$H$7)*($I$7-$H$7)),$J$7-SQRT((1-P153)*($J$7-$H$7)*($J$7-$I$7)))</f>
        <v/>
      </c>
      <c r="E153" s="17">
        <f>SUM(B153:D153)</f>
        <v/>
      </c>
      <c r="N153" s="16">
        <f>RAND()</f>
        <v/>
      </c>
      <c r="O153" s="16">
        <f>RAND()</f>
        <v/>
      </c>
      <c r="P153" s="16">
        <f>RAND()</f>
        <v/>
      </c>
    </row>
    <row r="154">
      <c r="A154" s="13" t="n">
        <v>150</v>
      </c>
      <c r="B154" s="17">
        <f>IF(N154&lt;$K$5,$H$5+SQRT(N154*($J$5-$H$5)*($I$5-$H$5)),$J$5-SQRT((1-N154)*($J$5-$H$5)*($J$5-$I$5)))</f>
        <v/>
      </c>
      <c r="C154" s="17">
        <f>IF(O154&lt;$K$6,$H$6+SQRT(O154*($J$6-$H$6)*($I$6-$H$6)),$J$6-SQRT((1-O154)*($J$6-$H$6)*($J$6-$I$6)))</f>
        <v/>
      </c>
      <c r="D154" s="17">
        <f>IF(P154&lt;$K$7,$H$7+SQRT(P154*($J$7-$H$7)*($I$7-$H$7)),$J$7-SQRT((1-P154)*($J$7-$H$7)*($J$7-$I$7)))</f>
        <v/>
      </c>
      <c r="E154" s="17">
        <f>SUM(B154:D154)</f>
        <v/>
      </c>
      <c r="N154" s="16">
        <f>RAND()</f>
        <v/>
      </c>
      <c r="O154" s="16">
        <f>RAND()</f>
        <v/>
      </c>
      <c r="P154" s="16">
        <f>RAND()</f>
        <v/>
      </c>
    </row>
    <row r="155">
      <c r="A155" s="13" t="n">
        <v>151</v>
      </c>
      <c r="B155" s="17">
        <f>IF(N155&lt;$K$5,$H$5+SQRT(N155*($J$5-$H$5)*($I$5-$H$5)),$J$5-SQRT((1-N155)*($J$5-$H$5)*($J$5-$I$5)))</f>
        <v/>
      </c>
      <c r="C155" s="17">
        <f>IF(O155&lt;$K$6,$H$6+SQRT(O155*($J$6-$H$6)*($I$6-$H$6)),$J$6-SQRT((1-O155)*($J$6-$H$6)*($J$6-$I$6)))</f>
        <v/>
      </c>
      <c r="D155" s="17">
        <f>IF(P155&lt;$K$7,$H$7+SQRT(P155*($J$7-$H$7)*($I$7-$H$7)),$J$7-SQRT((1-P155)*($J$7-$H$7)*($J$7-$I$7)))</f>
        <v/>
      </c>
      <c r="E155" s="17">
        <f>SUM(B155:D155)</f>
        <v/>
      </c>
      <c r="N155" s="16">
        <f>RAND()</f>
        <v/>
      </c>
      <c r="O155" s="16">
        <f>RAND()</f>
        <v/>
      </c>
      <c r="P155" s="16">
        <f>RAND()</f>
        <v/>
      </c>
    </row>
    <row r="156">
      <c r="A156" s="13" t="n">
        <v>152</v>
      </c>
      <c r="B156" s="17">
        <f>IF(N156&lt;$K$5,$H$5+SQRT(N156*($J$5-$H$5)*($I$5-$H$5)),$J$5-SQRT((1-N156)*($J$5-$H$5)*($J$5-$I$5)))</f>
        <v/>
      </c>
      <c r="C156" s="17">
        <f>IF(O156&lt;$K$6,$H$6+SQRT(O156*($J$6-$H$6)*($I$6-$H$6)),$J$6-SQRT((1-O156)*($J$6-$H$6)*($J$6-$I$6)))</f>
        <v/>
      </c>
      <c r="D156" s="17">
        <f>IF(P156&lt;$K$7,$H$7+SQRT(P156*($J$7-$H$7)*($I$7-$H$7)),$J$7-SQRT((1-P156)*($J$7-$H$7)*($J$7-$I$7)))</f>
        <v/>
      </c>
      <c r="E156" s="17">
        <f>SUM(B156:D156)</f>
        <v/>
      </c>
      <c r="N156" s="16">
        <f>RAND()</f>
        <v/>
      </c>
      <c r="O156" s="16">
        <f>RAND()</f>
        <v/>
      </c>
      <c r="P156" s="16">
        <f>RAND()</f>
        <v/>
      </c>
    </row>
    <row r="157">
      <c r="A157" s="13" t="n">
        <v>153</v>
      </c>
      <c r="B157" s="17">
        <f>IF(N157&lt;$K$5,$H$5+SQRT(N157*($J$5-$H$5)*($I$5-$H$5)),$J$5-SQRT((1-N157)*($J$5-$H$5)*($J$5-$I$5)))</f>
        <v/>
      </c>
      <c r="C157" s="17">
        <f>IF(O157&lt;$K$6,$H$6+SQRT(O157*($J$6-$H$6)*($I$6-$H$6)),$J$6-SQRT((1-O157)*($J$6-$H$6)*($J$6-$I$6)))</f>
        <v/>
      </c>
      <c r="D157" s="17">
        <f>IF(P157&lt;$K$7,$H$7+SQRT(P157*($J$7-$H$7)*($I$7-$H$7)),$J$7-SQRT((1-P157)*($J$7-$H$7)*($J$7-$I$7)))</f>
        <v/>
      </c>
      <c r="E157" s="17">
        <f>SUM(B157:D157)</f>
        <v/>
      </c>
      <c r="N157" s="16">
        <f>RAND()</f>
        <v/>
      </c>
      <c r="O157" s="16">
        <f>RAND()</f>
        <v/>
      </c>
      <c r="P157" s="16">
        <f>RAND()</f>
        <v/>
      </c>
    </row>
    <row r="158">
      <c r="A158" s="13" t="n">
        <v>154</v>
      </c>
      <c r="B158" s="17">
        <f>IF(N158&lt;$K$5,$H$5+SQRT(N158*($J$5-$H$5)*($I$5-$H$5)),$J$5-SQRT((1-N158)*($J$5-$H$5)*($J$5-$I$5)))</f>
        <v/>
      </c>
      <c r="C158" s="17">
        <f>IF(O158&lt;$K$6,$H$6+SQRT(O158*($J$6-$H$6)*($I$6-$H$6)),$J$6-SQRT((1-O158)*($J$6-$H$6)*($J$6-$I$6)))</f>
        <v/>
      </c>
      <c r="D158" s="17">
        <f>IF(P158&lt;$K$7,$H$7+SQRT(P158*($J$7-$H$7)*($I$7-$H$7)),$J$7-SQRT((1-P158)*($J$7-$H$7)*($J$7-$I$7)))</f>
        <v/>
      </c>
      <c r="E158" s="17">
        <f>SUM(B158:D158)</f>
        <v/>
      </c>
      <c r="N158" s="16">
        <f>RAND()</f>
        <v/>
      </c>
      <c r="O158" s="16">
        <f>RAND()</f>
        <v/>
      </c>
      <c r="P158" s="16">
        <f>RAND()</f>
        <v/>
      </c>
    </row>
    <row r="159">
      <c r="A159" s="13" t="n">
        <v>155</v>
      </c>
      <c r="B159" s="17">
        <f>IF(N159&lt;$K$5,$H$5+SQRT(N159*($J$5-$H$5)*($I$5-$H$5)),$J$5-SQRT((1-N159)*($J$5-$H$5)*($J$5-$I$5)))</f>
        <v/>
      </c>
      <c r="C159" s="17">
        <f>IF(O159&lt;$K$6,$H$6+SQRT(O159*($J$6-$H$6)*($I$6-$H$6)),$J$6-SQRT((1-O159)*($J$6-$H$6)*($J$6-$I$6)))</f>
        <v/>
      </c>
      <c r="D159" s="17">
        <f>IF(P159&lt;$K$7,$H$7+SQRT(P159*($J$7-$H$7)*($I$7-$H$7)),$J$7-SQRT((1-P159)*($J$7-$H$7)*($J$7-$I$7)))</f>
        <v/>
      </c>
      <c r="E159" s="17">
        <f>SUM(B159:D159)</f>
        <v/>
      </c>
      <c r="N159" s="16">
        <f>RAND()</f>
        <v/>
      </c>
      <c r="O159" s="16">
        <f>RAND()</f>
        <v/>
      </c>
      <c r="P159" s="16">
        <f>RAND()</f>
        <v/>
      </c>
    </row>
    <row r="160">
      <c r="A160" s="13" t="n">
        <v>156</v>
      </c>
      <c r="B160" s="17">
        <f>IF(N160&lt;$K$5,$H$5+SQRT(N160*($J$5-$H$5)*($I$5-$H$5)),$J$5-SQRT((1-N160)*($J$5-$H$5)*($J$5-$I$5)))</f>
        <v/>
      </c>
      <c r="C160" s="17">
        <f>IF(O160&lt;$K$6,$H$6+SQRT(O160*($J$6-$H$6)*($I$6-$H$6)),$J$6-SQRT((1-O160)*($J$6-$H$6)*($J$6-$I$6)))</f>
        <v/>
      </c>
      <c r="D160" s="17">
        <f>IF(P160&lt;$K$7,$H$7+SQRT(P160*($J$7-$H$7)*($I$7-$H$7)),$J$7-SQRT((1-P160)*($J$7-$H$7)*($J$7-$I$7)))</f>
        <v/>
      </c>
      <c r="E160" s="17">
        <f>SUM(B160:D160)</f>
        <v/>
      </c>
      <c r="N160" s="16">
        <f>RAND()</f>
        <v/>
      </c>
      <c r="O160" s="16">
        <f>RAND()</f>
        <v/>
      </c>
      <c r="P160" s="16">
        <f>RAND()</f>
        <v/>
      </c>
    </row>
    <row r="161">
      <c r="A161" s="13" t="n">
        <v>157</v>
      </c>
      <c r="B161" s="17">
        <f>IF(N161&lt;$K$5,$H$5+SQRT(N161*($J$5-$H$5)*($I$5-$H$5)),$J$5-SQRT((1-N161)*($J$5-$H$5)*($J$5-$I$5)))</f>
        <v/>
      </c>
      <c r="C161" s="17">
        <f>IF(O161&lt;$K$6,$H$6+SQRT(O161*($J$6-$H$6)*($I$6-$H$6)),$J$6-SQRT((1-O161)*($J$6-$H$6)*($J$6-$I$6)))</f>
        <v/>
      </c>
      <c r="D161" s="17">
        <f>IF(P161&lt;$K$7,$H$7+SQRT(P161*($J$7-$H$7)*($I$7-$H$7)),$J$7-SQRT((1-P161)*($J$7-$H$7)*($J$7-$I$7)))</f>
        <v/>
      </c>
      <c r="E161" s="17">
        <f>SUM(B161:D161)</f>
        <v/>
      </c>
      <c r="N161" s="16">
        <f>RAND()</f>
        <v/>
      </c>
      <c r="O161" s="16">
        <f>RAND()</f>
        <v/>
      </c>
      <c r="P161" s="16">
        <f>RAND()</f>
        <v/>
      </c>
    </row>
    <row r="162">
      <c r="A162" s="13" t="n">
        <v>158</v>
      </c>
      <c r="B162" s="17">
        <f>IF(N162&lt;$K$5,$H$5+SQRT(N162*($J$5-$H$5)*($I$5-$H$5)),$J$5-SQRT((1-N162)*($J$5-$H$5)*($J$5-$I$5)))</f>
        <v/>
      </c>
      <c r="C162" s="17">
        <f>IF(O162&lt;$K$6,$H$6+SQRT(O162*($J$6-$H$6)*($I$6-$H$6)),$J$6-SQRT((1-O162)*($J$6-$H$6)*($J$6-$I$6)))</f>
        <v/>
      </c>
      <c r="D162" s="17">
        <f>IF(P162&lt;$K$7,$H$7+SQRT(P162*($J$7-$H$7)*($I$7-$H$7)),$J$7-SQRT((1-P162)*($J$7-$H$7)*($J$7-$I$7)))</f>
        <v/>
      </c>
      <c r="E162" s="17">
        <f>SUM(B162:D162)</f>
        <v/>
      </c>
      <c r="N162" s="16">
        <f>RAND()</f>
        <v/>
      </c>
      <c r="O162" s="16">
        <f>RAND()</f>
        <v/>
      </c>
      <c r="P162" s="16">
        <f>RAND()</f>
        <v/>
      </c>
    </row>
    <row r="163">
      <c r="A163" s="13" t="n">
        <v>159</v>
      </c>
      <c r="B163" s="17">
        <f>IF(N163&lt;$K$5,$H$5+SQRT(N163*($J$5-$H$5)*($I$5-$H$5)),$J$5-SQRT((1-N163)*($J$5-$H$5)*($J$5-$I$5)))</f>
        <v/>
      </c>
      <c r="C163" s="17">
        <f>IF(O163&lt;$K$6,$H$6+SQRT(O163*($J$6-$H$6)*($I$6-$H$6)),$J$6-SQRT((1-O163)*($J$6-$H$6)*($J$6-$I$6)))</f>
        <v/>
      </c>
      <c r="D163" s="17">
        <f>IF(P163&lt;$K$7,$H$7+SQRT(P163*($J$7-$H$7)*($I$7-$H$7)),$J$7-SQRT((1-P163)*($J$7-$H$7)*($J$7-$I$7)))</f>
        <v/>
      </c>
      <c r="E163" s="17">
        <f>SUM(B163:D163)</f>
        <v/>
      </c>
      <c r="N163" s="16">
        <f>RAND()</f>
        <v/>
      </c>
      <c r="O163" s="16">
        <f>RAND()</f>
        <v/>
      </c>
      <c r="P163" s="16">
        <f>RAND()</f>
        <v/>
      </c>
    </row>
    <row r="164">
      <c r="A164" s="13" t="n">
        <v>160</v>
      </c>
      <c r="B164" s="17">
        <f>IF(N164&lt;$K$5,$H$5+SQRT(N164*($J$5-$H$5)*($I$5-$H$5)),$J$5-SQRT((1-N164)*($J$5-$H$5)*($J$5-$I$5)))</f>
        <v/>
      </c>
      <c r="C164" s="17">
        <f>IF(O164&lt;$K$6,$H$6+SQRT(O164*($J$6-$H$6)*($I$6-$H$6)),$J$6-SQRT((1-O164)*($J$6-$H$6)*($J$6-$I$6)))</f>
        <v/>
      </c>
      <c r="D164" s="17">
        <f>IF(P164&lt;$K$7,$H$7+SQRT(P164*($J$7-$H$7)*($I$7-$H$7)),$J$7-SQRT((1-P164)*($J$7-$H$7)*($J$7-$I$7)))</f>
        <v/>
      </c>
      <c r="E164" s="17">
        <f>SUM(B164:D164)</f>
        <v/>
      </c>
      <c r="N164" s="16">
        <f>RAND()</f>
        <v/>
      </c>
      <c r="O164" s="16">
        <f>RAND()</f>
        <v/>
      </c>
      <c r="P164" s="16">
        <f>RAND()</f>
        <v/>
      </c>
    </row>
    <row r="165">
      <c r="A165" s="13" t="n">
        <v>161</v>
      </c>
      <c r="B165" s="17">
        <f>IF(N165&lt;$K$5,$H$5+SQRT(N165*($J$5-$H$5)*($I$5-$H$5)),$J$5-SQRT((1-N165)*($J$5-$H$5)*($J$5-$I$5)))</f>
        <v/>
      </c>
      <c r="C165" s="17">
        <f>IF(O165&lt;$K$6,$H$6+SQRT(O165*($J$6-$H$6)*($I$6-$H$6)),$J$6-SQRT((1-O165)*($J$6-$H$6)*($J$6-$I$6)))</f>
        <v/>
      </c>
      <c r="D165" s="17">
        <f>IF(P165&lt;$K$7,$H$7+SQRT(P165*($J$7-$H$7)*($I$7-$H$7)),$J$7-SQRT((1-P165)*($J$7-$H$7)*($J$7-$I$7)))</f>
        <v/>
      </c>
      <c r="E165" s="17">
        <f>SUM(B165:D165)</f>
        <v/>
      </c>
      <c r="N165" s="16">
        <f>RAND()</f>
        <v/>
      </c>
      <c r="O165" s="16">
        <f>RAND()</f>
        <v/>
      </c>
      <c r="P165" s="16">
        <f>RAND()</f>
        <v/>
      </c>
    </row>
    <row r="166">
      <c r="A166" s="13" t="n">
        <v>162</v>
      </c>
      <c r="B166" s="17">
        <f>IF(N166&lt;$K$5,$H$5+SQRT(N166*($J$5-$H$5)*($I$5-$H$5)),$J$5-SQRT((1-N166)*($J$5-$H$5)*($J$5-$I$5)))</f>
        <v/>
      </c>
      <c r="C166" s="17">
        <f>IF(O166&lt;$K$6,$H$6+SQRT(O166*($J$6-$H$6)*($I$6-$H$6)),$J$6-SQRT((1-O166)*($J$6-$H$6)*($J$6-$I$6)))</f>
        <v/>
      </c>
      <c r="D166" s="17">
        <f>IF(P166&lt;$K$7,$H$7+SQRT(P166*($J$7-$H$7)*($I$7-$H$7)),$J$7-SQRT((1-P166)*($J$7-$H$7)*($J$7-$I$7)))</f>
        <v/>
      </c>
      <c r="E166" s="17">
        <f>SUM(B166:D166)</f>
        <v/>
      </c>
      <c r="N166" s="16">
        <f>RAND()</f>
        <v/>
      </c>
      <c r="O166" s="16">
        <f>RAND()</f>
        <v/>
      </c>
      <c r="P166" s="16">
        <f>RAND()</f>
        <v/>
      </c>
    </row>
    <row r="167">
      <c r="A167" s="13" t="n">
        <v>163</v>
      </c>
      <c r="B167" s="17">
        <f>IF(N167&lt;$K$5,$H$5+SQRT(N167*($J$5-$H$5)*($I$5-$H$5)),$J$5-SQRT((1-N167)*($J$5-$H$5)*($J$5-$I$5)))</f>
        <v/>
      </c>
      <c r="C167" s="17">
        <f>IF(O167&lt;$K$6,$H$6+SQRT(O167*($J$6-$H$6)*($I$6-$H$6)),$J$6-SQRT((1-O167)*($J$6-$H$6)*($J$6-$I$6)))</f>
        <v/>
      </c>
      <c r="D167" s="17">
        <f>IF(P167&lt;$K$7,$H$7+SQRT(P167*($J$7-$H$7)*($I$7-$H$7)),$J$7-SQRT((1-P167)*($J$7-$H$7)*($J$7-$I$7)))</f>
        <v/>
      </c>
      <c r="E167" s="17">
        <f>SUM(B167:D167)</f>
        <v/>
      </c>
      <c r="N167" s="16">
        <f>RAND()</f>
        <v/>
      </c>
      <c r="O167" s="16">
        <f>RAND()</f>
        <v/>
      </c>
      <c r="P167" s="16">
        <f>RAND()</f>
        <v/>
      </c>
    </row>
    <row r="168">
      <c r="A168" s="13" t="n">
        <v>164</v>
      </c>
      <c r="B168" s="17">
        <f>IF(N168&lt;$K$5,$H$5+SQRT(N168*($J$5-$H$5)*($I$5-$H$5)),$J$5-SQRT((1-N168)*($J$5-$H$5)*($J$5-$I$5)))</f>
        <v/>
      </c>
      <c r="C168" s="17">
        <f>IF(O168&lt;$K$6,$H$6+SQRT(O168*($J$6-$H$6)*($I$6-$H$6)),$J$6-SQRT((1-O168)*($J$6-$H$6)*($J$6-$I$6)))</f>
        <v/>
      </c>
      <c r="D168" s="17">
        <f>IF(P168&lt;$K$7,$H$7+SQRT(P168*($J$7-$H$7)*($I$7-$H$7)),$J$7-SQRT((1-P168)*($J$7-$H$7)*($J$7-$I$7)))</f>
        <v/>
      </c>
      <c r="E168" s="17">
        <f>SUM(B168:D168)</f>
        <v/>
      </c>
      <c r="N168" s="16">
        <f>RAND()</f>
        <v/>
      </c>
      <c r="O168" s="16">
        <f>RAND()</f>
        <v/>
      </c>
      <c r="P168" s="16">
        <f>RAND()</f>
        <v/>
      </c>
    </row>
    <row r="169">
      <c r="A169" s="13" t="n">
        <v>165</v>
      </c>
      <c r="B169" s="17">
        <f>IF(N169&lt;$K$5,$H$5+SQRT(N169*($J$5-$H$5)*($I$5-$H$5)),$J$5-SQRT((1-N169)*($J$5-$H$5)*($J$5-$I$5)))</f>
        <v/>
      </c>
      <c r="C169" s="17">
        <f>IF(O169&lt;$K$6,$H$6+SQRT(O169*($J$6-$H$6)*($I$6-$H$6)),$J$6-SQRT((1-O169)*($J$6-$H$6)*($J$6-$I$6)))</f>
        <v/>
      </c>
      <c r="D169" s="17">
        <f>IF(P169&lt;$K$7,$H$7+SQRT(P169*($J$7-$H$7)*($I$7-$H$7)),$J$7-SQRT((1-P169)*($J$7-$H$7)*($J$7-$I$7)))</f>
        <v/>
      </c>
      <c r="E169" s="17">
        <f>SUM(B169:D169)</f>
        <v/>
      </c>
      <c r="N169" s="16">
        <f>RAND()</f>
        <v/>
      </c>
      <c r="O169" s="16">
        <f>RAND()</f>
        <v/>
      </c>
      <c r="P169" s="16">
        <f>RAND()</f>
        <v/>
      </c>
    </row>
    <row r="170">
      <c r="A170" s="13" t="n">
        <v>166</v>
      </c>
      <c r="B170" s="17">
        <f>IF(N170&lt;$K$5,$H$5+SQRT(N170*($J$5-$H$5)*($I$5-$H$5)),$J$5-SQRT((1-N170)*($J$5-$H$5)*($J$5-$I$5)))</f>
        <v/>
      </c>
      <c r="C170" s="17">
        <f>IF(O170&lt;$K$6,$H$6+SQRT(O170*($J$6-$H$6)*($I$6-$H$6)),$J$6-SQRT((1-O170)*($J$6-$H$6)*($J$6-$I$6)))</f>
        <v/>
      </c>
      <c r="D170" s="17">
        <f>IF(P170&lt;$K$7,$H$7+SQRT(P170*($J$7-$H$7)*($I$7-$H$7)),$J$7-SQRT((1-P170)*($J$7-$H$7)*($J$7-$I$7)))</f>
        <v/>
      </c>
      <c r="E170" s="17">
        <f>SUM(B170:D170)</f>
        <v/>
      </c>
      <c r="N170" s="16">
        <f>RAND()</f>
        <v/>
      </c>
      <c r="O170" s="16">
        <f>RAND()</f>
        <v/>
      </c>
      <c r="P170" s="16">
        <f>RAND()</f>
        <v/>
      </c>
    </row>
    <row r="171">
      <c r="A171" s="13" t="n">
        <v>167</v>
      </c>
      <c r="B171" s="17">
        <f>IF(N171&lt;$K$5,$H$5+SQRT(N171*($J$5-$H$5)*($I$5-$H$5)),$J$5-SQRT((1-N171)*($J$5-$H$5)*($J$5-$I$5)))</f>
        <v/>
      </c>
      <c r="C171" s="17">
        <f>IF(O171&lt;$K$6,$H$6+SQRT(O171*($J$6-$H$6)*($I$6-$H$6)),$J$6-SQRT((1-O171)*($J$6-$H$6)*($J$6-$I$6)))</f>
        <v/>
      </c>
      <c r="D171" s="17">
        <f>IF(P171&lt;$K$7,$H$7+SQRT(P171*($J$7-$H$7)*($I$7-$H$7)),$J$7-SQRT((1-P171)*($J$7-$H$7)*($J$7-$I$7)))</f>
        <v/>
      </c>
      <c r="E171" s="17">
        <f>SUM(B171:D171)</f>
        <v/>
      </c>
      <c r="N171" s="16">
        <f>RAND()</f>
        <v/>
      </c>
      <c r="O171" s="16">
        <f>RAND()</f>
        <v/>
      </c>
      <c r="P171" s="16">
        <f>RAND()</f>
        <v/>
      </c>
    </row>
    <row r="172">
      <c r="A172" s="13" t="n">
        <v>168</v>
      </c>
      <c r="B172" s="17">
        <f>IF(N172&lt;$K$5,$H$5+SQRT(N172*($J$5-$H$5)*($I$5-$H$5)),$J$5-SQRT((1-N172)*($J$5-$H$5)*($J$5-$I$5)))</f>
        <v/>
      </c>
      <c r="C172" s="17">
        <f>IF(O172&lt;$K$6,$H$6+SQRT(O172*($J$6-$H$6)*($I$6-$H$6)),$J$6-SQRT((1-O172)*($J$6-$H$6)*($J$6-$I$6)))</f>
        <v/>
      </c>
      <c r="D172" s="17">
        <f>IF(P172&lt;$K$7,$H$7+SQRT(P172*($J$7-$H$7)*($I$7-$H$7)),$J$7-SQRT((1-P172)*($J$7-$H$7)*($J$7-$I$7)))</f>
        <v/>
      </c>
      <c r="E172" s="17">
        <f>SUM(B172:D172)</f>
        <v/>
      </c>
      <c r="N172" s="16">
        <f>RAND()</f>
        <v/>
      </c>
      <c r="O172" s="16">
        <f>RAND()</f>
        <v/>
      </c>
      <c r="P172" s="16">
        <f>RAND()</f>
        <v/>
      </c>
    </row>
    <row r="173">
      <c r="A173" s="13" t="n">
        <v>169</v>
      </c>
      <c r="B173" s="17">
        <f>IF(N173&lt;$K$5,$H$5+SQRT(N173*($J$5-$H$5)*($I$5-$H$5)),$J$5-SQRT((1-N173)*($J$5-$H$5)*($J$5-$I$5)))</f>
        <v/>
      </c>
      <c r="C173" s="17">
        <f>IF(O173&lt;$K$6,$H$6+SQRT(O173*($J$6-$H$6)*($I$6-$H$6)),$J$6-SQRT((1-O173)*($J$6-$H$6)*($J$6-$I$6)))</f>
        <v/>
      </c>
      <c r="D173" s="17">
        <f>IF(P173&lt;$K$7,$H$7+SQRT(P173*($J$7-$H$7)*($I$7-$H$7)),$J$7-SQRT((1-P173)*($J$7-$H$7)*($J$7-$I$7)))</f>
        <v/>
      </c>
      <c r="E173" s="17">
        <f>SUM(B173:D173)</f>
        <v/>
      </c>
      <c r="N173" s="16">
        <f>RAND()</f>
        <v/>
      </c>
      <c r="O173" s="16">
        <f>RAND()</f>
        <v/>
      </c>
      <c r="P173" s="16">
        <f>RAND()</f>
        <v/>
      </c>
    </row>
    <row r="174">
      <c r="A174" s="13" t="n">
        <v>170</v>
      </c>
      <c r="B174" s="17">
        <f>IF(N174&lt;$K$5,$H$5+SQRT(N174*($J$5-$H$5)*($I$5-$H$5)),$J$5-SQRT((1-N174)*($J$5-$H$5)*($J$5-$I$5)))</f>
        <v/>
      </c>
      <c r="C174" s="17">
        <f>IF(O174&lt;$K$6,$H$6+SQRT(O174*($J$6-$H$6)*($I$6-$H$6)),$J$6-SQRT((1-O174)*($J$6-$H$6)*($J$6-$I$6)))</f>
        <v/>
      </c>
      <c r="D174" s="17">
        <f>IF(P174&lt;$K$7,$H$7+SQRT(P174*($J$7-$H$7)*($I$7-$H$7)),$J$7-SQRT((1-P174)*($J$7-$H$7)*($J$7-$I$7)))</f>
        <v/>
      </c>
      <c r="E174" s="17">
        <f>SUM(B174:D174)</f>
        <v/>
      </c>
      <c r="N174" s="16">
        <f>RAND()</f>
        <v/>
      </c>
      <c r="O174" s="16">
        <f>RAND()</f>
        <v/>
      </c>
      <c r="P174" s="16">
        <f>RAND()</f>
        <v/>
      </c>
    </row>
    <row r="175">
      <c r="A175" s="13" t="n">
        <v>171</v>
      </c>
      <c r="B175" s="17">
        <f>IF(N175&lt;$K$5,$H$5+SQRT(N175*($J$5-$H$5)*($I$5-$H$5)),$J$5-SQRT((1-N175)*($J$5-$H$5)*($J$5-$I$5)))</f>
        <v/>
      </c>
      <c r="C175" s="17">
        <f>IF(O175&lt;$K$6,$H$6+SQRT(O175*($J$6-$H$6)*($I$6-$H$6)),$J$6-SQRT((1-O175)*($J$6-$H$6)*($J$6-$I$6)))</f>
        <v/>
      </c>
      <c r="D175" s="17">
        <f>IF(P175&lt;$K$7,$H$7+SQRT(P175*($J$7-$H$7)*($I$7-$H$7)),$J$7-SQRT((1-P175)*($J$7-$H$7)*($J$7-$I$7)))</f>
        <v/>
      </c>
      <c r="E175" s="17">
        <f>SUM(B175:D175)</f>
        <v/>
      </c>
      <c r="N175" s="16">
        <f>RAND()</f>
        <v/>
      </c>
      <c r="O175" s="16">
        <f>RAND()</f>
        <v/>
      </c>
      <c r="P175" s="16">
        <f>RAND()</f>
        <v/>
      </c>
    </row>
    <row r="176">
      <c r="A176" s="13" t="n">
        <v>172</v>
      </c>
      <c r="B176" s="17">
        <f>IF(N176&lt;$K$5,$H$5+SQRT(N176*($J$5-$H$5)*($I$5-$H$5)),$J$5-SQRT((1-N176)*($J$5-$H$5)*($J$5-$I$5)))</f>
        <v/>
      </c>
      <c r="C176" s="17">
        <f>IF(O176&lt;$K$6,$H$6+SQRT(O176*($J$6-$H$6)*($I$6-$H$6)),$J$6-SQRT((1-O176)*($J$6-$H$6)*($J$6-$I$6)))</f>
        <v/>
      </c>
      <c r="D176" s="17">
        <f>IF(P176&lt;$K$7,$H$7+SQRT(P176*($J$7-$H$7)*($I$7-$H$7)),$J$7-SQRT((1-P176)*($J$7-$H$7)*($J$7-$I$7)))</f>
        <v/>
      </c>
      <c r="E176" s="17">
        <f>SUM(B176:D176)</f>
        <v/>
      </c>
      <c r="N176" s="16">
        <f>RAND()</f>
        <v/>
      </c>
      <c r="O176" s="16">
        <f>RAND()</f>
        <v/>
      </c>
      <c r="P176" s="16">
        <f>RAND()</f>
        <v/>
      </c>
    </row>
    <row r="177">
      <c r="A177" s="13" t="n">
        <v>173</v>
      </c>
      <c r="B177" s="17">
        <f>IF(N177&lt;$K$5,$H$5+SQRT(N177*($J$5-$H$5)*($I$5-$H$5)),$J$5-SQRT((1-N177)*($J$5-$H$5)*($J$5-$I$5)))</f>
        <v/>
      </c>
      <c r="C177" s="17">
        <f>IF(O177&lt;$K$6,$H$6+SQRT(O177*($J$6-$H$6)*($I$6-$H$6)),$J$6-SQRT((1-O177)*($J$6-$H$6)*($J$6-$I$6)))</f>
        <v/>
      </c>
      <c r="D177" s="17">
        <f>IF(P177&lt;$K$7,$H$7+SQRT(P177*($J$7-$H$7)*($I$7-$H$7)),$J$7-SQRT((1-P177)*($J$7-$H$7)*($J$7-$I$7)))</f>
        <v/>
      </c>
      <c r="E177" s="17">
        <f>SUM(B177:D177)</f>
        <v/>
      </c>
      <c r="N177" s="16">
        <f>RAND()</f>
        <v/>
      </c>
      <c r="O177" s="16">
        <f>RAND()</f>
        <v/>
      </c>
      <c r="P177" s="16">
        <f>RAND()</f>
        <v/>
      </c>
    </row>
    <row r="178">
      <c r="A178" s="13" t="n">
        <v>174</v>
      </c>
      <c r="B178" s="17">
        <f>IF(N178&lt;$K$5,$H$5+SQRT(N178*($J$5-$H$5)*($I$5-$H$5)),$J$5-SQRT((1-N178)*($J$5-$H$5)*($J$5-$I$5)))</f>
        <v/>
      </c>
      <c r="C178" s="17">
        <f>IF(O178&lt;$K$6,$H$6+SQRT(O178*($J$6-$H$6)*($I$6-$H$6)),$J$6-SQRT((1-O178)*($J$6-$H$6)*($J$6-$I$6)))</f>
        <v/>
      </c>
      <c r="D178" s="17">
        <f>IF(P178&lt;$K$7,$H$7+SQRT(P178*($J$7-$H$7)*($I$7-$H$7)),$J$7-SQRT((1-P178)*($J$7-$H$7)*($J$7-$I$7)))</f>
        <v/>
      </c>
      <c r="E178" s="17">
        <f>SUM(B178:D178)</f>
        <v/>
      </c>
      <c r="N178" s="16">
        <f>RAND()</f>
        <v/>
      </c>
      <c r="O178" s="16">
        <f>RAND()</f>
        <v/>
      </c>
      <c r="P178" s="16">
        <f>RAND()</f>
        <v/>
      </c>
    </row>
    <row r="179">
      <c r="A179" s="13" t="n">
        <v>175</v>
      </c>
      <c r="B179" s="17">
        <f>IF(N179&lt;$K$5,$H$5+SQRT(N179*($J$5-$H$5)*($I$5-$H$5)),$J$5-SQRT((1-N179)*($J$5-$H$5)*($J$5-$I$5)))</f>
        <v/>
      </c>
      <c r="C179" s="17">
        <f>IF(O179&lt;$K$6,$H$6+SQRT(O179*($J$6-$H$6)*($I$6-$H$6)),$J$6-SQRT((1-O179)*($J$6-$H$6)*($J$6-$I$6)))</f>
        <v/>
      </c>
      <c r="D179" s="17">
        <f>IF(P179&lt;$K$7,$H$7+SQRT(P179*($J$7-$H$7)*($I$7-$H$7)),$J$7-SQRT((1-P179)*($J$7-$H$7)*($J$7-$I$7)))</f>
        <v/>
      </c>
      <c r="E179" s="17">
        <f>SUM(B179:D179)</f>
        <v/>
      </c>
      <c r="N179" s="16">
        <f>RAND()</f>
        <v/>
      </c>
      <c r="O179" s="16">
        <f>RAND()</f>
        <v/>
      </c>
      <c r="P179" s="16">
        <f>RAND()</f>
        <v/>
      </c>
    </row>
    <row r="180">
      <c r="A180" s="13" t="n">
        <v>176</v>
      </c>
      <c r="B180" s="17">
        <f>IF(N180&lt;$K$5,$H$5+SQRT(N180*($J$5-$H$5)*($I$5-$H$5)),$J$5-SQRT((1-N180)*($J$5-$H$5)*($J$5-$I$5)))</f>
        <v/>
      </c>
      <c r="C180" s="17">
        <f>IF(O180&lt;$K$6,$H$6+SQRT(O180*($J$6-$H$6)*($I$6-$H$6)),$J$6-SQRT((1-O180)*($J$6-$H$6)*($J$6-$I$6)))</f>
        <v/>
      </c>
      <c r="D180" s="17">
        <f>IF(P180&lt;$K$7,$H$7+SQRT(P180*($J$7-$H$7)*($I$7-$H$7)),$J$7-SQRT((1-P180)*($J$7-$H$7)*($J$7-$I$7)))</f>
        <v/>
      </c>
      <c r="E180" s="17">
        <f>SUM(B180:D180)</f>
        <v/>
      </c>
      <c r="N180" s="16">
        <f>RAND()</f>
        <v/>
      </c>
      <c r="O180" s="16">
        <f>RAND()</f>
        <v/>
      </c>
      <c r="P180" s="16">
        <f>RAND()</f>
        <v/>
      </c>
    </row>
    <row r="181">
      <c r="A181" s="13" t="n">
        <v>177</v>
      </c>
      <c r="B181" s="17">
        <f>IF(N181&lt;$K$5,$H$5+SQRT(N181*($J$5-$H$5)*($I$5-$H$5)),$J$5-SQRT((1-N181)*($J$5-$H$5)*($J$5-$I$5)))</f>
        <v/>
      </c>
      <c r="C181" s="17">
        <f>IF(O181&lt;$K$6,$H$6+SQRT(O181*($J$6-$H$6)*($I$6-$H$6)),$J$6-SQRT((1-O181)*($J$6-$H$6)*($J$6-$I$6)))</f>
        <v/>
      </c>
      <c r="D181" s="17">
        <f>IF(P181&lt;$K$7,$H$7+SQRT(P181*($J$7-$H$7)*($I$7-$H$7)),$J$7-SQRT((1-P181)*($J$7-$H$7)*($J$7-$I$7)))</f>
        <v/>
      </c>
      <c r="E181" s="17">
        <f>SUM(B181:D181)</f>
        <v/>
      </c>
      <c r="N181" s="16">
        <f>RAND()</f>
        <v/>
      </c>
      <c r="O181" s="16">
        <f>RAND()</f>
        <v/>
      </c>
      <c r="P181" s="16">
        <f>RAND()</f>
        <v/>
      </c>
    </row>
    <row r="182">
      <c r="A182" s="13" t="n">
        <v>178</v>
      </c>
      <c r="B182" s="17">
        <f>IF(N182&lt;$K$5,$H$5+SQRT(N182*($J$5-$H$5)*($I$5-$H$5)),$J$5-SQRT((1-N182)*($J$5-$H$5)*($J$5-$I$5)))</f>
        <v/>
      </c>
      <c r="C182" s="17">
        <f>IF(O182&lt;$K$6,$H$6+SQRT(O182*($J$6-$H$6)*($I$6-$H$6)),$J$6-SQRT((1-O182)*($J$6-$H$6)*($J$6-$I$6)))</f>
        <v/>
      </c>
      <c r="D182" s="17">
        <f>IF(P182&lt;$K$7,$H$7+SQRT(P182*($J$7-$H$7)*($I$7-$H$7)),$J$7-SQRT((1-P182)*($J$7-$H$7)*($J$7-$I$7)))</f>
        <v/>
      </c>
      <c r="E182" s="17">
        <f>SUM(B182:D182)</f>
        <v/>
      </c>
      <c r="N182" s="16">
        <f>RAND()</f>
        <v/>
      </c>
      <c r="O182" s="16">
        <f>RAND()</f>
        <v/>
      </c>
      <c r="P182" s="16">
        <f>RAND()</f>
        <v/>
      </c>
    </row>
    <row r="183">
      <c r="A183" s="13" t="n">
        <v>179</v>
      </c>
      <c r="B183" s="17">
        <f>IF(N183&lt;$K$5,$H$5+SQRT(N183*($J$5-$H$5)*($I$5-$H$5)),$J$5-SQRT((1-N183)*($J$5-$H$5)*($J$5-$I$5)))</f>
        <v/>
      </c>
      <c r="C183" s="17">
        <f>IF(O183&lt;$K$6,$H$6+SQRT(O183*($J$6-$H$6)*($I$6-$H$6)),$J$6-SQRT((1-O183)*($J$6-$H$6)*($J$6-$I$6)))</f>
        <v/>
      </c>
      <c r="D183" s="17">
        <f>IF(P183&lt;$K$7,$H$7+SQRT(P183*($J$7-$H$7)*($I$7-$H$7)),$J$7-SQRT((1-P183)*($J$7-$H$7)*($J$7-$I$7)))</f>
        <v/>
      </c>
      <c r="E183" s="17">
        <f>SUM(B183:D183)</f>
        <v/>
      </c>
      <c r="N183" s="16">
        <f>RAND()</f>
        <v/>
      </c>
      <c r="O183" s="16">
        <f>RAND()</f>
        <v/>
      </c>
      <c r="P183" s="16">
        <f>RAND()</f>
        <v/>
      </c>
    </row>
    <row r="184">
      <c r="A184" s="13" t="n">
        <v>180</v>
      </c>
      <c r="B184" s="17">
        <f>IF(N184&lt;$K$5,$H$5+SQRT(N184*($J$5-$H$5)*($I$5-$H$5)),$J$5-SQRT((1-N184)*($J$5-$H$5)*($J$5-$I$5)))</f>
        <v/>
      </c>
      <c r="C184" s="17">
        <f>IF(O184&lt;$K$6,$H$6+SQRT(O184*($J$6-$H$6)*($I$6-$H$6)),$J$6-SQRT((1-O184)*($J$6-$H$6)*($J$6-$I$6)))</f>
        <v/>
      </c>
      <c r="D184" s="17">
        <f>IF(P184&lt;$K$7,$H$7+SQRT(P184*($J$7-$H$7)*($I$7-$H$7)),$J$7-SQRT((1-P184)*($J$7-$H$7)*($J$7-$I$7)))</f>
        <v/>
      </c>
      <c r="E184" s="17">
        <f>SUM(B184:D184)</f>
        <v/>
      </c>
      <c r="N184" s="16">
        <f>RAND()</f>
        <v/>
      </c>
      <c r="O184" s="16">
        <f>RAND()</f>
        <v/>
      </c>
      <c r="P184" s="16">
        <f>RAND()</f>
        <v/>
      </c>
    </row>
    <row r="185">
      <c r="A185" s="13" t="n">
        <v>181</v>
      </c>
      <c r="B185" s="17">
        <f>IF(N185&lt;$K$5,$H$5+SQRT(N185*($J$5-$H$5)*($I$5-$H$5)),$J$5-SQRT((1-N185)*($J$5-$H$5)*($J$5-$I$5)))</f>
        <v/>
      </c>
      <c r="C185" s="17">
        <f>IF(O185&lt;$K$6,$H$6+SQRT(O185*($J$6-$H$6)*($I$6-$H$6)),$J$6-SQRT((1-O185)*($J$6-$H$6)*($J$6-$I$6)))</f>
        <v/>
      </c>
      <c r="D185" s="17">
        <f>IF(P185&lt;$K$7,$H$7+SQRT(P185*($J$7-$H$7)*($I$7-$H$7)),$J$7-SQRT((1-P185)*($J$7-$H$7)*($J$7-$I$7)))</f>
        <v/>
      </c>
      <c r="E185" s="17">
        <f>SUM(B185:D185)</f>
        <v/>
      </c>
      <c r="N185" s="16">
        <f>RAND()</f>
        <v/>
      </c>
      <c r="O185" s="16">
        <f>RAND()</f>
        <v/>
      </c>
      <c r="P185" s="16">
        <f>RAND()</f>
        <v/>
      </c>
    </row>
    <row r="186">
      <c r="A186" s="13" t="n">
        <v>182</v>
      </c>
      <c r="B186" s="17">
        <f>IF(N186&lt;$K$5,$H$5+SQRT(N186*($J$5-$H$5)*($I$5-$H$5)),$J$5-SQRT((1-N186)*($J$5-$H$5)*($J$5-$I$5)))</f>
        <v/>
      </c>
      <c r="C186" s="17">
        <f>IF(O186&lt;$K$6,$H$6+SQRT(O186*($J$6-$H$6)*($I$6-$H$6)),$J$6-SQRT((1-O186)*($J$6-$H$6)*($J$6-$I$6)))</f>
        <v/>
      </c>
      <c r="D186" s="17">
        <f>IF(P186&lt;$K$7,$H$7+SQRT(P186*($J$7-$H$7)*($I$7-$H$7)),$J$7-SQRT((1-P186)*($J$7-$H$7)*($J$7-$I$7)))</f>
        <v/>
      </c>
      <c r="E186" s="17">
        <f>SUM(B186:D186)</f>
        <v/>
      </c>
      <c r="N186" s="16">
        <f>RAND()</f>
        <v/>
      </c>
      <c r="O186" s="16">
        <f>RAND()</f>
        <v/>
      </c>
      <c r="P186" s="16">
        <f>RAND()</f>
        <v/>
      </c>
    </row>
    <row r="187">
      <c r="A187" s="13" t="n">
        <v>183</v>
      </c>
      <c r="B187" s="17">
        <f>IF(N187&lt;$K$5,$H$5+SQRT(N187*($J$5-$H$5)*($I$5-$H$5)),$J$5-SQRT((1-N187)*($J$5-$H$5)*($J$5-$I$5)))</f>
        <v/>
      </c>
      <c r="C187" s="17">
        <f>IF(O187&lt;$K$6,$H$6+SQRT(O187*($J$6-$H$6)*($I$6-$H$6)),$J$6-SQRT((1-O187)*($J$6-$H$6)*($J$6-$I$6)))</f>
        <v/>
      </c>
      <c r="D187" s="17">
        <f>IF(P187&lt;$K$7,$H$7+SQRT(P187*($J$7-$H$7)*($I$7-$H$7)),$J$7-SQRT((1-P187)*($J$7-$H$7)*($J$7-$I$7)))</f>
        <v/>
      </c>
      <c r="E187" s="17">
        <f>SUM(B187:D187)</f>
        <v/>
      </c>
      <c r="N187" s="16">
        <f>RAND()</f>
        <v/>
      </c>
      <c r="O187" s="16">
        <f>RAND()</f>
        <v/>
      </c>
      <c r="P187" s="16">
        <f>RAND()</f>
        <v/>
      </c>
    </row>
    <row r="188">
      <c r="A188" s="13" t="n">
        <v>184</v>
      </c>
      <c r="B188" s="17">
        <f>IF(N188&lt;$K$5,$H$5+SQRT(N188*($J$5-$H$5)*($I$5-$H$5)),$J$5-SQRT((1-N188)*($J$5-$H$5)*($J$5-$I$5)))</f>
        <v/>
      </c>
      <c r="C188" s="17">
        <f>IF(O188&lt;$K$6,$H$6+SQRT(O188*($J$6-$H$6)*($I$6-$H$6)),$J$6-SQRT((1-O188)*($J$6-$H$6)*($J$6-$I$6)))</f>
        <v/>
      </c>
      <c r="D188" s="17">
        <f>IF(P188&lt;$K$7,$H$7+SQRT(P188*($J$7-$H$7)*($I$7-$H$7)),$J$7-SQRT((1-P188)*($J$7-$H$7)*($J$7-$I$7)))</f>
        <v/>
      </c>
      <c r="E188" s="17">
        <f>SUM(B188:D188)</f>
        <v/>
      </c>
      <c r="N188" s="16">
        <f>RAND()</f>
        <v/>
      </c>
      <c r="O188" s="16">
        <f>RAND()</f>
        <v/>
      </c>
      <c r="P188" s="16">
        <f>RAND()</f>
        <v/>
      </c>
    </row>
    <row r="189">
      <c r="A189" s="13" t="n">
        <v>185</v>
      </c>
      <c r="B189" s="17">
        <f>IF(N189&lt;$K$5,$H$5+SQRT(N189*($J$5-$H$5)*($I$5-$H$5)),$J$5-SQRT((1-N189)*($J$5-$H$5)*($J$5-$I$5)))</f>
        <v/>
      </c>
      <c r="C189" s="17">
        <f>IF(O189&lt;$K$6,$H$6+SQRT(O189*($J$6-$H$6)*($I$6-$H$6)),$J$6-SQRT((1-O189)*($J$6-$H$6)*($J$6-$I$6)))</f>
        <v/>
      </c>
      <c r="D189" s="17">
        <f>IF(P189&lt;$K$7,$H$7+SQRT(P189*($J$7-$H$7)*($I$7-$H$7)),$J$7-SQRT((1-P189)*($J$7-$H$7)*($J$7-$I$7)))</f>
        <v/>
      </c>
      <c r="E189" s="17">
        <f>SUM(B189:D189)</f>
        <v/>
      </c>
      <c r="N189" s="16">
        <f>RAND()</f>
        <v/>
      </c>
      <c r="O189" s="16">
        <f>RAND()</f>
        <v/>
      </c>
      <c r="P189" s="16">
        <f>RAND()</f>
        <v/>
      </c>
    </row>
    <row r="190">
      <c r="A190" s="13" t="n">
        <v>186</v>
      </c>
      <c r="B190" s="17">
        <f>IF(N190&lt;$K$5,$H$5+SQRT(N190*($J$5-$H$5)*($I$5-$H$5)),$J$5-SQRT((1-N190)*($J$5-$H$5)*($J$5-$I$5)))</f>
        <v/>
      </c>
      <c r="C190" s="17">
        <f>IF(O190&lt;$K$6,$H$6+SQRT(O190*($J$6-$H$6)*($I$6-$H$6)),$J$6-SQRT((1-O190)*($J$6-$H$6)*($J$6-$I$6)))</f>
        <v/>
      </c>
      <c r="D190" s="17">
        <f>IF(P190&lt;$K$7,$H$7+SQRT(P190*($J$7-$H$7)*($I$7-$H$7)),$J$7-SQRT((1-P190)*($J$7-$H$7)*($J$7-$I$7)))</f>
        <v/>
      </c>
      <c r="E190" s="17">
        <f>SUM(B190:D190)</f>
        <v/>
      </c>
      <c r="N190" s="16">
        <f>RAND()</f>
        <v/>
      </c>
      <c r="O190" s="16">
        <f>RAND()</f>
        <v/>
      </c>
      <c r="P190" s="16">
        <f>RAND()</f>
        <v/>
      </c>
    </row>
    <row r="191">
      <c r="A191" s="13" t="n">
        <v>187</v>
      </c>
      <c r="B191" s="17">
        <f>IF(N191&lt;$K$5,$H$5+SQRT(N191*($J$5-$H$5)*($I$5-$H$5)),$J$5-SQRT((1-N191)*($J$5-$H$5)*($J$5-$I$5)))</f>
        <v/>
      </c>
      <c r="C191" s="17">
        <f>IF(O191&lt;$K$6,$H$6+SQRT(O191*($J$6-$H$6)*($I$6-$H$6)),$J$6-SQRT((1-O191)*($J$6-$H$6)*($J$6-$I$6)))</f>
        <v/>
      </c>
      <c r="D191" s="17">
        <f>IF(P191&lt;$K$7,$H$7+SQRT(P191*($J$7-$H$7)*($I$7-$H$7)),$J$7-SQRT((1-P191)*($J$7-$H$7)*($J$7-$I$7)))</f>
        <v/>
      </c>
      <c r="E191" s="17">
        <f>SUM(B191:D191)</f>
        <v/>
      </c>
      <c r="N191" s="16">
        <f>RAND()</f>
        <v/>
      </c>
      <c r="O191" s="16">
        <f>RAND()</f>
        <v/>
      </c>
      <c r="P191" s="16">
        <f>RAND()</f>
        <v/>
      </c>
    </row>
    <row r="192">
      <c r="A192" s="13" t="n">
        <v>188</v>
      </c>
      <c r="B192" s="17">
        <f>IF(N192&lt;$K$5,$H$5+SQRT(N192*($J$5-$H$5)*($I$5-$H$5)),$J$5-SQRT((1-N192)*($J$5-$H$5)*($J$5-$I$5)))</f>
        <v/>
      </c>
      <c r="C192" s="17">
        <f>IF(O192&lt;$K$6,$H$6+SQRT(O192*($J$6-$H$6)*($I$6-$H$6)),$J$6-SQRT((1-O192)*($J$6-$H$6)*($J$6-$I$6)))</f>
        <v/>
      </c>
      <c r="D192" s="17">
        <f>IF(P192&lt;$K$7,$H$7+SQRT(P192*($J$7-$H$7)*($I$7-$H$7)),$J$7-SQRT((1-P192)*($J$7-$H$7)*($J$7-$I$7)))</f>
        <v/>
      </c>
      <c r="E192" s="17">
        <f>SUM(B192:D192)</f>
        <v/>
      </c>
      <c r="N192" s="16">
        <f>RAND()</f>
        <v/>
      </c>
      <c r="O192" s="16">
        <f>RAND()</f>
        <v/>
      </c>
      <c r="P192" s="16">
        <f>RAND()</f>
        <v/>
      </c>
    </row>
    <row r="193">
      <c r="A193" s="13" t="n">
        <v>189</v>
      </c>
      <c r="B193" s="17">
        <f>IF(N193&lt;$K$5,$H$5+SQRT(N193*($J$5-$H$5)*($I$5-$H$5)),$J$5-SQRT((1-N193)*($J$5-$H$5)*($J$5-$I$5)))</f>
        <v/>
      </c>
      <c r="C193" s="17">
        <f>IF(O193&lt;$K$6,$H$6+SQRT(O193*($J$6-$H$6)*($I$6-$H$6)),$J$6-SQRT((1-O193)*($J$6-$H$6)*($J$6-$I$6)))</f>
        <v/>
      </c>
      <c r="D193" s="17">
        <f>IF(P193&lt;$K$7,$H$7+SQRT(P193*($J$7-$H$7)*($I$7-$H$7)),$J$7-SQRT((1-P193)*($J$7-$H$7)*($J$7-$I$7)))</f>
        <v/>
      </c>
      <c r="E193" s="17">
        <f>SUM(B193:D193)</f>
        <v/>
      </c>
      <c r="N193" s="16">
        <f>RAND()</f>
        <v/>
      </c>
      <c r="O193" s="16">
        <f>RAND()</f>
        <v/>
      </c>
      <c r="P193" s="16">
        <f>RAND()</f>
        <v/>
      </c>
    </row>
    <row r="194">
      <c r="A194" s="13" t="n">
        <v>190</v>
      </c>
      <c r="B194" s="17">
        <f>IF(N194&lt;$K$5,$H$5+SQRT(N194*($J$5-$H$5)*($I$5-$H$5)),$J$5-SQRT((1-N194)*($J$5-$H$5)*($J$5-$I$5)))</f>
        <v/>
      </c>
      <c r="C194" s="17">
        <f>IF(O194&lt;$K$6,$H$6+SQRT(O194*($J$6-$H$6)*($I$6-$H$6)),$J$6-SQRT((1-O194)*($J$6-$H$6)*($J$6-$I$6)))</f>
        <v/>
      </c>
      <c r="D194" s="17">
        <f>IF(P194&lt;$K$7,$H$7+SQRT(P194*($J$7-$H$7)*($I$7-$H$7)),$J$7-SQRT((1-P194)*($J$7-$H$7)*($J$7-$I$7)))</f>
        <v/>
      </c>
      <c r="E194" s="17">
        <f>SUM(B194:D194)</f>
        <v/>
      </c>
      <c r="N194" s="16">
        <f>RAND()</f>
        <v/>
      </c>
      <c r="O194" s="16">
        <f>RAND()</f>
        <v/>
      </c>
      <c r="P194" s="16">
        <f>RAND()</f>
        <v/>
      </c>
    </row>
    <row r="195">
      <c r="A195" s="13" t="n">
        <v>191</v>
      </c>
      <c r="B195" s="17">
        <f>IF(N195&lt;$K$5,$H$5+SQRT(N195*($J$5-$H$5)*($I$5-$H$5)),$J$5-SQRT((1-N195)*($J$5-$H$5)*($J$5-$I$5)))</f>
        <v/>
      </c>
      <c r="C195" s="17">
        <f>IF(O195&lt;$K$6,$H$6+SQRT(O195*($J$6-$H$6)*($I$6-$H$6)),$J$6-SQRT((1-O195)*($J$6-$H$6)*($J$6-$I$6)))</f>
        <v/>
      </c>
      <c r="D195" s="17">
        <f>IF(P195&lt;$K$7,$H$7+SQRT(P195*($J$7-$H$7)*($I$7-$H$7)),$J$7-SQRT((1-P195)*($J$7-$H$7)*($J$7-$I$7)))</f>
        <v/>
      </c>
      <c r="E195" s="17">
        <f>SUM(B195:D195)</f>
        <v/>
      </c>
      <c r="N195" s="16">
        <f>RAND()</f>
        <v/>
      </c>
      <c r="O195" s="16">
        <f>RAND()</f>
        <v/>
      </c>
      <c r="P195" s="16">
        <f>RAND()</f>
        <v/>
      </c>
    </row>
    <row r="196">
      <c r="A196" s="13" t="n">
        <v>192</v>
      </c>
      <c r="B196" s="17">
        <f>IF(N196&lt;$K$5,$H$5+SQRT(N196*($J$5-$H$5)*($I$5-$H$5)),$J$5-SQRT((1-N196)*($J$5-$H$5)*($J$5-$I$5)))</f>
        <v/>
      </c>
      <c r="C196" s="17">
        <f>IF(O196&lt;$K$6,$H$6+SQRT(O196*($J$6-$H$6)*($I$6-$H$6)),$J$6-SQRT((1-O196)*($J$6-$H$6)*($J$6-$I$6)))</f>
        <v/>
      </c>
      <c r="D196" s="17">
        <f>IF(P196&lt;$K$7,$H$7+SQRT(P196*($J$7-$H$7)*($I$7-$H$7)),$J$7-SQRT((1-P196)*($J$7-$H$7)*($J$7-$I$7)))</f>
        <v/>
      </c>
      <c r="E196" s="17">
        <f>SUM(B196:D196)</f>
        <v/>
      </c>
      <c r="N196" s="16">
        <f>RAND()</f>
        <v/>
      </c>
      <c r="O196" s="16">
        <f>RAND()</f>
        <v/>
      </c>
      <c r="P196" s="16">
        <f>RAND()</f>
        <v/>
      </c>
    </row>
    <row r="197">
      <c r="A197" s="13" t="n">
        <v>193</v>
      </c>
      <c r="B197" s="17">
        <f>IF(N197&lt;$K$5,$H$5+SQRT(N197*($J$5-$H$5)*($I$5-$H$5)),$J$5-SQRT((1-N197)*($J$5-$H$5)*($J$5-$I$5)))</f>
        <v/>
      </c>
      <c r="C197" s="17">
        <f>IF(O197&lt;$K$6,$H$6+SQRT(O197*($J$6-$H$6)*($I$6-$H$6)),$J$6-SQRT((1-O197)*($J$6-$H$6)*($J$6-$I$6)))</f>
        <v/>
      </c>
      <c r="D197" s="17">
        <f>IF(P197&lt;$K$7,$H$7+SQRT(P197*($J$7-$H$7)*($I$7-$H$7)),$J$7-SQRT((1-P197)*($J$7-$H$7)*($J$7-$I$7)))</f>
        <v/>
      </c>
      <c r="E197" s="17">
        <f>SUM(B197:D197)</f>
        <v/>
      </c>
      <c r="N197" s="16">
        <f>RAND()</f>
        <v/>
      </c>
      <c r="O197" s="16">
        <f>RAND()</f>
        <v/>
      </c>
      <c r="P197" s="16">
        <f>RAND()</f>
        <v/>
      </c>
    </row>
    <row r="198">
      <c r="A198" s="13" t="n">
        <v>194</v>
      </c>
      <c r="B198" s="17">
        <f>IF(N198&lt;$K$5,$H$5+SQRT(N198*($J$5-$H$5)*($I$5-$H$5)),$J$5-SQRT((1-N198)*($J$5-$H$5)*($J$5-$I$5)))</f>
        <v/>
      </c>
      <c r="C198" s="17">
        <f>IF(O198&lt;$K$6,$H$6+SQRT(O198*($J$6-$H$6)*($I$6-$H$6)),$J$6-SQRT((1-O198)*($J$6-$H$6)*($J$6-$I$6)))</f>
        <v/>
      </c>
      <c r="D198" s="17">
        <f>IF(P198&lt;$K$7,$H$7+SQRT(P198*($J$7-$H$7)*($I$7-$H$7)),$J$7-SQRT((1-P198)*($J$7-$H$7)*($J$7-$I$7)))</f>
        <v/>
      </c>
      <c r="E198" s="17">
        <f>SUM(B198:D198)</f>
        <v/>
      </c>
      <c r="N198" s="16">
        <f>RAND()</f>
        <v/>
      </c>
      <c r="O198" s="16">
        <f>RAND()</f>
        <v/>
      </c>
      <c r="P198" s="16">
        <f>RAND()</f>
        <v/>
      </c>
    </row>
    <row r="199">
      <c r="A199" s="13" t="n">
        <v>195</v>
      </c>
      <c r="B199" s="17">
        <f>IF(N199&lt;$K$5,$H$5+SQRT(N199*($J$5-$H$5)*($I$5-$H$5)),$J$5-SQRT((1-N199)*($J$5-$H$5)*($J$5-$I$5)))</f>
        <v/>
      </c>
      <c r="C199" s="17">
        <f>IF(O199&lt;$K$6,$H$6+SQRT(O199*($J$6-$H$6)*($I$6-$H$6)),$J$6-SQRT((1-O199)*($J$6-$H$6)*($J$6-$I$6)))</f>
        <v/>
      </c>
      <c r="D199" s="17">
        <f>IF(P199&lt;$K$7,$H$7+SQRT(P199*($J$7-$H$7)*($I$7-$H$7)),$J$7-SQRT((1-P199)*($J$7-$H$7)*($J$7-$I$7)))</f>
        <v/>
      </c>
      <c r="E199" s="17">
        <f>SUM(B199:D199)</f>
        <v/>
      </c>
      <c r="N199" s="16">
        <f>RAND()</f>
        <v/>
      </c>
      <c r="O199" s="16">
        <f>RAND()</f>
        <v/>
      </c>
      <c r="P199" s="16">
        <f>RAND()</f>
        <v/>
      </c>
    </row>
    <row r="200">
      <c r="A200" s="13" t="n">
        <v>196</v>
      </c>
      <c r="B200" s="17">
        <f>IF(N200&lt;$K$5,$H$5+SQRT(N200*($J$5-$H$5)*($I$5-$H$5)),$J$5-SQRT((1-N200)*($J$5-$H$5)*($J$5-$I$5)))</f>
        <v/>
      </c>
      <c r="C200" s="17">
        <f>IF(O200&lt;$K$6,$H$6+SQRT(O200*($J$6-$H$6)*($I$6-$H$6)),$J$6-SQRT((1-O200)*($J$6-$H$6)*($J$6-$I$6)))</f>
        <v/>
      </c>
      <c r="D200" s="17">
        <f>IF(P200&lt;$K$7,$H$7+SQRT(P200*($J$7-$H$7)*($I$7-$H$7)),$J$7-SQRT((1-P200)*($J$7-$H$7)*($J$7-$I$7)))</f>
        <v/>
      </c>
      <c r="E200" s="17">
        <f>SUM(B200:D200)</f>
        <v/>
      </c>
      <c r="N200" s="16">
        <f>RAND()</f>
        <v/>
      </c>
      <c r="O200" s="16">
        <f>RAND()</f>
        <v/>
      </c>
      <c r="P200" s="16">
        <f>RAND()</f>
        <v/>
      </c>
    </row>
    <row r="201">
      <c r="A201" s="13" t="n">
        <v>197</v>
      </c>
      <c r="B201" s="17">
        <f>IF(N201&lt;$K$5,$H$5+SQRT(N201*($J$5-$H$5)*($I$5-$H$5)),$J$5-SQRT((1-N201)*($J$5-$H$5)*($J$5-$I$5)))</f>
        <v/>
      </c>
      <c r="C201" s="17">
        <f>IF(O201&lt;$K$6,$H$6+SQRT(O201*($J$6-$H$6)*($I$6-$H$6)),$J$6-SQRT((1-O201)*($J$6-$H$6)*($J$6-$I$6)))</f>
        <v/>
      </c>
      <c r="D201" s="17">
        <f>IF(P201&lt;$K$7,$H$7+SQRT(P201*($J$7-$H$7)*($I$7-$H$7)),$J$7-SQRT((1-P201)*($J$7-$H$7)*($J$7-$I$7)))</f>
        <v/>
      </c>
      <c r="E201" s="17">
        <f>SUM(B201:D201)</f>
        <v/>
      </c>
      <c r="N201" s="16">
        <f>RAND()</f>
        <v/>
      </c>
      <c r="O201" s="16">
        <f>RAND()</f>
        <v/>
      </c>
      <c r="P201" s="16">
        <f>RAND()</f>
        <v/>
      </c>
    </row>
    <row r="202">
      <c r="A202" s="13" t="n">
        <v>198</v>
      </c>
      <c r="B202" s="17">
        <f>IF(N202&lt;$K$5,$H$5+SQRT(N202*($J$5-$H$5)*($I$5-$H$5)),$J$5-SQRT((1-N202)*($J$5-$H$5)*($J$5-$I$5)))</f>
        <v/>
      </c>
      <c r="C202" s="17">
        <f>IF(O202&lt;$K$6,$H$6+SQRT(O202*($J$6-$H$6)*($I$6-$H$6)),$J$6-SQRT((1-O202)*($J$6-$H$6)*($J$6-$I$6)))</f>
        <v/>
      </c>
      <c r="D202" s="17">
        <f>IF(P202&lt;$K$7,$H$7+SQRT(P202*($J$7-$H$7)*($I$7-$H$7)),$J$7-SQRT((1-P202)*($J$7-$H$7)*($J$7-$I$7)))</f>
        <v/>
      </c>
      <c r="E202" s="17">
        <f>SUM(B202:D202)</f>
        <v/>
      </c>
      <c r="N202" s="16">
        <f>RAND()</f>
        <v/>
      </c>
      <c r="O202" s="16">
        <f>RAND()</f>
        <v/>
      </c>
      <c r="P202" s="16">
        <f>RAND()</f>
        <v/>
      </c>
    </row>
    <row r="203">
      <c r="A203" s="13" t="n">
        <v>199</v>
      </c>
      <c r="B203" s="17">
        <f>IF(N203&lt;$K$5,$H$5+SQRT(N203*($J$5-$H$5)*($I$5-$H$5)),$J$5-SQRT((1-N203)*($J$5-$H$5)*($J$5-$I$5)))</f>
        <v/>
      </c>
      <c r="C203" s="17">
        <f>IF(O203&lt;$K$6,$H$6+SQRT(O203*($J$6-$H$6)*($I$6-$H$6)),$J$6-SQRT((1-O203)*($J$6-$H$6)*($J$6-$I$6)))</f>
        <v/>
      </c>
      <c r="D203" s="17">
        <f>IF(P203&lt;$K$7,$H$7+SQRT(P203*($J$7-$H$7)*($I$7-$H$7)),$J$7-SQRT((1-P203)*($J$7-$H$7)*($J$7-$I$7)))</f>
        <v/>
      </c>
      <c r="E203" s="17">
        <f>SUM(B203:D203)</f>
        <v/>
      </c>
      <c r="N203" s="16">
        <f>RAND()</f>
        <v/>
      </c>
      <c r="O203" s="16">
        <f>RAND()</f>
        <v/>
      </c>
      <c r="P203" s="16">
        <f>RAND()</f>
        <v/>
      </c>
    </row>
    <row r="204">
      <c r="A204" s="13" t="n">
        <v>200</v>
      </c>
      <c r="B204" s="17">
        <f>IF(N204&lt;$K$5,$H$5+SQRT(N204*($J$5-$H$5)*($I$5-$H$5)),$J$5-SQRT((1-N204)*($J$5-$H$5)*($J$5-$I$5)))</f>
        <v/>
      </c>
      <c r="C204" s="17">
        <f>IF(O204&lt;$K$6,$H$6+SQRT(O204*($J$6-$H$6)*($I$6-$H$6)),$J$6-SQRT((1-O204)*($J$6-$H$6)*($J$6-$I$6)))</f>
        <v/>
      </c>
      <c r="D204" s="17">
        <f>IF(P204&lt;$K$7,$H$7+SQRT(P204*($J$7-$H$7)*($I$7-$H$7)),$J$7-SQRT((1-P204)*($J$7-$H$7)*($J$7-$I$7)))</f>
        <v/>
      </c>
      <c r="E204" s="17">
        <f>SUM(B204:D204)</f>
        <v/>
      </c>
      <c r="N204" s="16">
        <f>RAND()</f>
        <v/>
      </c>
      <c r="O204" s="16">
        <f>RAND()</f>
        <v/>
      </c>
      <c r="P204" s="16">
        <f>RAND()</f>
        <v/>
      </c>
    </row>
    <row r="205">
      <c r="A205" s="13" t="n">
        <v>201</v>
      </c>
      <c r="B205" s="17">
        <f>IF(N205&lt;$K$5,$H$5+SQRT(N205*($J$5-$H$5)*($I$5-$H$5)),$J$5-SQRT((1-N205)*($J$5-$H$5)*($J$5-$I$5)))</f>
        <v/>
      </c>
      <c r="C205" s="17">
        <f>IF(O205&lt;$K$6,$H$6+SQRT(O205*($J$6-$H$6)*($I$6-$H$6)),$J$6-SQRT((1-O205)*($J$6-$H$6)*($J$6-$I$6)))</f>
        <v/>
      </c>
      <c r="D205" s="17">
        <f>IF(P205&lt;$K$7,$H$7+SQRT(P205*($J$7-$H$7)*($I$7-$H$7)),$J$7-SQRT((1-P205)*($J$7-$H$7)*($J$7-$I$7)))</f>
        <v/>
      </c>
      <c r="E205" s="17">
        <f>SUM(B205:D205)</f>
        <v/>
      </c>
      <c r="N205" s="16">
        <f>RAND()</f>
        <v/>
      </c>
      <c r="O205" s="16">
        <f>RAND()</f>
        <v/>
      </c>
      <c r="P205" s="16">
        <f>RAND()</f>
        <v/>
      </c>
    </row>
    <row r="206">
      <c r="A206" s="13" t="n">
        <v>202</v>
      </c>
      <c r="B206" s="17">
        <f>IF(N206&lt;$K$5,$H$5+SQRT(N206*($J$5-$H$5)*($I$5-$H$5)),$J$5-SQRT((1-N206)*($J$5-$H$5)*($J$5-$I$5)))</f>
        <v/>
      </c>
      <c r="C206" s="17">
        <f>IF(O206&lt;$K$6,$H$6+SQRT(O206*($J$6-$H$6)*($I$6-$H$6)),$J$6-SQRT((1-O206)*($J$6-$H$6)*($J$6-$I$6)))</f>
        <v/>
      </c>
      <c r="D206" s="17">
        <f>IF(P206&lt;$K$7,$H$7+SQRT(P206*($J$7-$H$7)*($I$7-$H$7)),$J$7-SQRT((1-P206)*($J$7-$H$7)*($J$7-$I$7)))</f>
        <v/>
      </c>
      <c r="E206" s="17">
        <f>SUM(B206:D206)</f>
        <v/>
      </c>
      <c r="N206" s="16">
        <f>RAND()</f>
        <v/>
      </c>
      <c r="O206" s="16">
        <f>RAND()</f>
        <v/>
      </c>
      <c r="P206" s="16">
        <f>RAND()</f>
        <v/>
      </c>
    </row>
    <row r="207">
      <c r="A207" s="13" t="n">
        <v>203</v>
      </c>
      <c r="B207" s="17">
        <f>IF(N207&lt;$K$5,$H$5+SQRT(N207*($J$5-$H$5)*($I$5-$H$5)),$J$5-SQRT((1-N207)*($J$5-$H$5)*($J$5-$I$5)))</f>
        <v/>
      </c>
      <c r="C207" s="17">
        <f>IF(O207&lt;$K$6,$H$6+SQRT(O207*($J$6-$H$6)*($I$6-$H$6)),$J$6-SQRT((1-O207)*($J$6-$H$6)*($J$6-$I$6)))</f>
        <v/>
      </c>
      <c r="D207" s="17">
        <f>IF(P207&lt;$K$7,$H$7+SQRT(P207*($J$7-$H$7)*($I$7-$H$7)),$J$7-SQRT((1-P207)*($J$7-$H$7)*($J$7-$I$7)))</f>
        <v/>
      </c>
      <c r="E207" s="17">
        <f>SUM(B207:D207)</f>
        <v/>
      </c>
      <c r="N207" s="16">
        <f>RAND()</f>
        <v/>
      </c>
      <c r="O207" s="16">
        <f>RAND()</f>
        <v/>
      </c>
      <c r="P207" s="16">
        <f>RAND()</f>
        <v/>
      </c>
    </row>
    <row r="208">
      <c r="A208" s="13" t="n">
        <v>204</v>
      </c>
      <c r="B208" s="17">
        <f>IF(N208&lt;$K$5,$H$5+SQRT(N208*($J$5-$H$5)*($I$5-$H$5)),$J$5-SQRT((1-N208)*($J$5-$H$5)*($J$5-$I$5)))</f>
        <v/>
      </c>
      <c r="C208" s="17">
        <f>IF(O208&lt;$K$6,$H$6+SQRT(O208*($J$6-$H$6)*($I$6-$H$6)),$J$6-SQRT((1-O208)*($J$6-$H$6)*($J$6-$I$6)))</f>
        <v/>
      </c>
      <c r="D208" s="17">
        <f>IF(P208&lt;$K$7,$H$7+SQRT(P208*($J$7-$H$7)*($I$7-$H$7)),$J$7-SQRT((1-P208)*($J$7-$H$7)*($J$7-$I$7)))</f>
        <v/>
      </c>
      <c r="E208" s="17">
        <f>SUM(B208:D208)</f>
        <v/>
      </c>
      <c r="N208" s="16">
        <f>RAND()</f>
        <v/>
      </c>
      <c r="O208" s="16">
        <f>RAND()</f>
        <v/>
      </c>
      <c r="P208" s="16">
        <f>RAND()</f>
        <v/>
      </c>
    </row>
    <row r="209">
      <c r="A209" s="13" t="n">
        <v>205</v>
      </c>
      <c r="B209" s="17">
        <f>IF(N209&lt;$K$5,$H$5+SQRT(N209*($J$5-$H$5)*($I$5-$H$5)),$J$5-SQRT((1-N209)*($J$5-$H$5)*($J$5-$I$5)))</f>
        <v/>
      </c>
      <c r="C209" s="17">
        <f>IF(O209&lt;$K$6,$H$6+SQRT(O209*($J$6-$H$6)*($I$6-$H$6)),$J$6-SQRT((1-O209)*($J$6-$H$6)*($J$6-$I$6)))</f>
        <v/>
      </c>
      <c r="D209" s="17">
        <f>IF(P209&lt;$K$7,$H$7+SQRT(P209*($J$7-$H$7)*($I$7-$H$7)),$J$7-SQRT((1-P209)*($J$7-$H$7)*($J$7-$I$7)))</f>
        <v/>
      </c>
      <c r="E209" s="17">
        <f>SUM(B209:D209)</f>
        <v/>
      </c>
      <c r="N209" s="16">
        <f>RAND()</f>
        <v/>
      </c>
      <c r="O209" s="16">
        <f>RAND()</f>
        <v/>
      </c>
      <c r="P209" s="16">
        <f>RAND()</f>
        <v/>
      </c>
    </row>
    <row r="210">
      <c r="A210" s="13" t="n">
        <v>206</v>
      </c>
      <c r="B210" s="17">
        <f>IF(N210&lt;$K$5,$H$5+SQRT(N210*($J$5-$H$5)*($I$5-$H$5)),$J$5-SQRT((1-N210)*($J$5-$H$5)*($J$5-$I$5)))</f>
        <v/>
      </c>
      <c r="C210" s="17">
        <f>IF(O210&lt;$K$6,$H$6+SQRT(O210*($J$6-$H$6)*($I$6-$H$6)),$J$6-SQRT((1-O210)*($J$6-$H$6)*($J$6-$I$6)))</f>
        <v/>
      </c>
      <c r="D210" s="17">
        <f>IF(P210&lt;$K$7,$H$7+SQRT(P210*($J$7-$H$7)*($I$7-$H$7)),$J$7-SQRT((1-P210)*($J$7-$H$7)*($J$7-$I$7)))</f>
        <v/>
      </c>
      <c r="E210" s="17">
        <f>SUM(B210:D210)</f>
        <v/>
      </c>
      <c r="N210" s="16">
        <f>RAND()</f>
        <v/>
      </c>
      <c r="O210" s="16">
        <f>RAND()</f>
        <v/>
      </c>
      <c r="P210" s="16">
        <f>RAND()</f>
        <v/>
      </c>
    </row>
    <row r="211">
      <c r="A211" s="13" t="n">
        <v>207</v>
      </c>
      <c r="B211" s="17">
        <f>IF(N211&lt;$K$5,$H$5+SQRT(N211*($J$5-$H$5)*($I$5-$H$5)),$J$5-SQRT((1-N211)*($J$5-$H$5)*($J$5-$I$5)))</f>
        <v/>
      </c>
      <c r="C211" s="17">
        <f>IF(O211&lt;$K$6,$H$6+SQRT(O211*($J$6-$H$6)*($I$6-$H$6)),$J$6-SQRT((1-O211)*($J$6-$H$6)*($J$6-$I$6)))</f>
        <v/>
      </c>
      <c r="D211" s="17">
        <f>IF(P211&lt;$K$7,$H$7+SQRT(P211*($J$7-$H$7)*($I$7-$H$7)),$J$7-SQRT((1-P211)*($J$7-$H$7)*($J$7-$I$7)))</f>
        <v/>
      </c>
      <c r="E211" s="17">
        <f>SUM(B211:D211)</f>
        <v/>
      </c>
      <c r="N211" s="16">
        <f>RAND()</f>
        <v/>
      </c>
      <c r="O211" s="16">
        <f>RAND()</f>
        <v/>
      </c>
      <c r="P211" s="16">
        <f>RAND()</f>
        <v/>
      </c>
    </row>
    <row r="212">
      <c r="A212" s="13" t="n">
        <v>208</v>
      </c>
      <c r="B212" s="17">
        <f>IF(N212&lt;$K$5,$H$5+SQRT(N212*($J$5-$H$5)*($I$5-$H$5)),$J$5-SQRT((1-N212)*($J$5-$H$5)*($J$5-$I$5)))</f>
        <v/>
      </c>
      <c r="C212" s="17">
        <f>IF(O212&lt;$K$6,$H$6+SQRT(O212*($J$6-$H$6)*($I$6-$H$6)),$J$6-SQRT((1-O212)*($J$6-$H$6)*($J$6-$I$6)))</f>
        <v/>
      </c>
      <c r="D212" s="17">
        <f>IF(P212&lt;$K$7,$H$7+SQRT(P212*($J$7-$H$7)*($I$7-$H$7)),$J$7-SQRT((1-P212)*($J$7-$H$7)*($J$7-$I$7)))</f>
        <v/>
      </c>
      <c r="E212" s="17">
        <f>SUM(B212:D212)</f>
        <v/>
      </c>
      <c r="N212" s="16">
        <f>RAND()</f>
        <v/>
      </c>
      <c r="O212" s="16">
        <f>RAND()</f>
        <v/>
      </c>
      <c r="P212" s="16">
        <f>RAND()</f>
        <v/>
      </c>
    </row>
    <row r="213">
      <c r="A213" s="13" t="n">
        <v>209</v>
      </c>
      <c r="B213" s="17">
        <f>IF(N213&lt;$K$5,$H$5+SQRT(N213*($J$5-$H$5)*($I$5-$H$5)),$J$5-SQRT((1-N213)*($J$5-$H$5)*($J$5-$I$5)))</f>
        <v/>
      </c>
      <c r="C213" s="17">
        <f>IF(O213&lt;$K$6,$H$6+SQRT(O213*($J$6-$H$6)*($I$6-$H$6)),$J$6-SQRT((1-O213)*($J$6-$H$6)*($J$6-$I$6)))</f>
        <v/>
      </c>
      <c r="D213" s="17">
        <f>IF(P213&lt;$K$7,$H$7+SQRT(P213*($J$7-$H$7)*($I$7-$H$7)),$J$7-SQRT((1-P213)*($J$7-$H$7)*($J$7-$I$7)))</f>
        <v/>
      </c>
      <c r="E213" s="17">
        <f>SUM(B213:D213)</f>
        <v/>
      </c>
      <c r="N213" s="16">
        <f>RAND()</f>
        <v/>
      </c>
      <c r="O213" s="16">
        <f>RAND()</f>
        <v/>
      </c>
      <c r="P213" s="16">
        <f>RAND()</f>
        <v/>
      </c>
    </row>
    <row r="214">
      <c r="A214" s="13" t="n">
        <v>210</v>
      </c>
      <c r="B214" s="17">
        <f>IF(N214&lt;$K$5,$H$5+SQRT(N214*($J$5-$H$5)*($I$5-$H$5)),$J$5-SQRT((1-N214)*($J$5-$H$5)*($J$5-$I$5)))</f>
        <v/>
      </c>
      <c r="C214" s="17">
        <f>IF(O214&lt;$K$6,$H$6+SQRT(O214*($J$6-$H$6)*($I$6-$H$6)),$J$6-SQRT((1-O214)*($J$6-$H$6)*($J$6-$I$6)))</f>
        <v/>
      </c>
      <c r="D214" s="17">
        <f>IF(P214&lt;$K$7,$H$7+SQRT(P214*($J$7-$H$7)*($I$7-$H$7)),$J$7-SQRT((1-P214)*($J$7-$H$7)*($J$7-$I$7)))</f>
        <v/>
      </c>
      <c r="E214" s="17">
        <f>SUM(B214:D214)</f>
        <v/>
      </c>
      <c r="N214" s="16">
        <f>RAND()</f>
        <v/>
      </c>
      <c r="O214" s="16">
        <f>RAND()</f>
        <v/>
      </c>
      <c r="P214" s="16">
        <f>RAND()</f>
        <v/>
      </c>
    </row>
    <row r="215">
      <c r="A215" s="13" t="n">
        <v>211</v>
      </c>
      <c r="B215" s="17">
        <f>IF(N215&lt;$K$5,$H$5+SQRT(N215*($J$5-$H$5)*($I$5-$H$5)),$J$5-SQRT((1-N215)*($J$5-$H$5)*($J$5-$I$5)))</f>
        <v/>
      </c>
      <c r="C215" s="17">
        <f>IF(O215&lt;$K$6,$H$6+SQRT(O215*($J$6-$H$6)*($I$6-$H$6)),$J$6-SQRT((1-O215)*($J$6-$H$6)*($J$6-$I$6)))</f>
        <v/>
      </c>
      <c r="D215" s="17">
        <f>IF(P215&lt;$K$7,$H$7+SQRT(P215*($J$7-$H$7)*($I$7-$H$7)),$J$7-SQRT((1-P215)*($J$7-$H$7)*($J$7-$I$7)))</f>
        <v/>
      </c>
      <c r="E215" s="17">
        <f>SUM(B215:D215)</f>
        <v/>
      </c>
      <c r="N215" s="16">
        <f>RAND()</f>
        <v/>
      </c>
      <c r="O215" s="16">
        <f>RAND()</f>
        <v/>
      </c>
      <c r="P215" s="16">
        <f>RAND()</f>
        <v/>
      </c>
    </row>
    <row r="216">
      <c r="A216" s="13" t="n">
        <v>212</v>
      </c>
      <c r="B216" s="17">
        <f>IF(N216&lt;$K$5,$H$5+SQRT(N216*($J$5-$H$5)*($I$5-$H$5)),$J$5-SQRT((1-N216)*($J$5-$H$5)*($J$5-$I$5)))</f>
        <v/>
      </c>
      <c r="C216" s="17">
        <f>IF(O216&lt;$K$6,$H$6+SQRT(O216*($J$6-$H$6)*($I$6-$H$6)),$J$6-SQRT((1-O216)*($J$6-$H$6)*($J$6-$I$6)))</f>
        <v/>
      </c>
      <c r="D216" s="17">
        <f>IF(P216&lt;$K$7,$H$7+SQRT(P216*($J$7-$H$7)*($I$7-$H$7)),$J$7-SQRT((1-P216)*($J$7-$H$7)*($J$7-$I$7)))</f>
        <v/>
      </c>
      <c r="E216" s="17">
        <f>SUM(B216:D216)</f>
        <v/>
      </c>
      <c r="N216" s="16">
        <f>RAND()</f>
        <v/>
      </c>
      <c r="O216" s="16">
        <f>RAND()</f>
        <v/>
      </c>
      <c r="P216" s="16">
        <f>RAND()</f>
        <v/>
      </c>
    </row>
    <row r="217">
      <c r="A217" s="13" t="n">
        <v>213</v>
      </c>
      <c r="B217" s="17">
        <f>IF(N217&lt;$K$5,$H$5+SQRT(N217*($J$5-$H$5)*($I$5-$H$5)),$J$5-SQRT((1-N217)*($J$5-$H$5)*($J$5-$I$5)))</f>
        <v/>
      </c>
      <c r="C217" s="17">
        <f>IF(O217&lt;$K$6,$H$6+SQRT(O217*($J$6-$H$6)*($I$6-$H$6)),$J$6-SQRT((1-O217)*($J$6-$H$6)*($J$6-$I$6)))</f>
        <v/>
      </c>
      <c r="D217" s="17">
        <f>IF(P217&lt;$K$7,$H$7+SQRT(P217*($J$7-$H$7)*($I$7-$H$7)),$J$7-SQRT((1-P217)*($J$7-$H$7)*($J$7-$I$7)))</f>
        <v/>
      </c>
      <c r="E217" s="17">
        <f>SUM(B217:D217)</f>
        <v/>
      </c>
      <c r="N217" s="16">
        <f>RAND()</f>
        <v/>
      </c>
      <c r="O217" s="16">
        <f>RAND()</f>
        <v/>
      </c>
      <c r="P217" s="16">
        <f>RAND()</f>
        <v/>
      </c>
    </row>
    <row r="218">
      <c r="A218" s="13" t="n">
        <v>214</v>
      </c>
      <c r="B218" s="17">
        <f>IF(N218&lt;$K$5,$H$5+SQRT(N218*($J$5-$H$5)*($I$5-$H$5)),$J$5-SQRT((1-N218)*($J$5-$H$5)*($J$5-$I$5)))</f>
        <v/>
      </c>
      <c r="C218" s="17">
        <f>IF(O218&lt;$K$6,$H$6+SQRT(O218*($J$6-$H$6)*($I$6-$H$6)),$J$6-SQRT((1-O218)*($J$6-$H$6)*($J$6-$I$6)))</f>
        <v/>
      </c>
      <c r="D218" s="17">
        <f>IF(P218&lt;$K$7,$H$7+SQRT(P218*($J$7-$H$7)*($I$7-$H$7)),$J$7-SQRT((1-P218)*($J$7-$H$7)*($J$7-$I$7)))</f>
        <v/>
      </c>
      <c r="E218" s="17">
        <f>SUM(B218:D218)</f>
        <v/>
      </c>
      <c r="N218" s="16">
        <f>RAND()</f>
        <v/>
      </c>
      <c r="O218" s="16">
        <f>RAND()</f>
        <v/>
      </c>
      <c r="P218" s="16">
        <f>RAND()</f>
        <v/>
      </c>
    </row>
    <row r="219">
      <c r="A219" s="13" t="n">
        <v>215</v>
      </c>
      <c r="B219" s="17">
        <f>IF(N219&lt;$K$5,$H$5+SQRT(N219*($J$5-$H$5)*($I$5-$H$5)),$J$5-SQRT((1-N219)*($J$5-$H$5)*($J$5-$I$5)))</f>
        <v/>
      </c>
      <c r="C219" s="17">
        <f>IF(O219&lt;$K$6,$H$6+SQRT(O219*($J$6-$H$6)*($I$6-$H$6)),$J$6-SQRT((1-O219)*($J$6-$H$6)*($J$6-$I$6)))</f>
        <v/>
      </c>
      <c r="D219" s="17">
        <f>IF(P219&lt;$K$7,$H$7+SQRT(P219*($J$7-$H$7)*($I$7-$H$7)),$J$7-SQRT((1-P219)*($J$7-$H$7)*($J$7-$I$7)))</f>
        <v/>
      </c>
      <c r="E219" s="17">
        <f>SUM(B219:D219)</f>
        <v/>
      </c>
      <c r="N219" s="16">
        <f>RAND()</f>
        <v/>
      </c>
      <c r="O219" s="16">
        <f>RAND()</f>
        <v/>
      </c>
      <c r="P219" s="16">
        <f>RAND()</f>
        <v/>
      </c>
    </row>
    <row r="220">
      <c r="A220" s="13" t="n">
        <v>216</v>
      </c>
      <c r="B220" s="17">
        <f>IF(N220&lt;$K$5,$H$5+SQRT(N220*($J$5-$H$5)*($I$5-$H$5)),$J$5-SQRT((1-N220)*($J$5-$H$5)*($J$5-$I$5)))</f>
        <v/>
      </c>
      <c r="C220" s="17">
        <f>IF(O220&lt;$K$6,$H$6+SQRT(O220*($J$6-$H$6)*($I$6-$H$6)),$J$6-SQRT((1-O220)*($J$6-$H$6)*($J$6-$I$6)))</f>
        <v/>
      </c>
      <c r="D220" s="17">
        <f>IF(P220&lt;$K$7,$H$7+SQRT(P220*($J$7-$H$7)*($I$7-$H$7)),$J$7-SQRT((1-P220)*($J$7-$H$7)*($J$7-$I$7)))</f>
        <v/>
      </c>
      <c r="E220" s="17">
        <f>SUM(B220:D220)</f>
        <v/>
      </c>
      <c r="N220" s="16">
        <f>RAND()</f>
        <v/>
      </c>
      <c r="O220" s="16">
        <f>RAND()</f>
        <v/>
      </c>
      <c r="P220" s="16">
        <f>RAND()</f>
        <v/>
      </c>
    </row>
    <row r="221">
      <c r="A221" s="13" t="n">
        <v>217</v>
      </c>
      <c r="B221" s="17">
        <f>IF(N221&lt;$K$5,$H$5+SQRT(N221*($J$5-$H$5)*($I$5-$H$5)),$J$5-SQRT((1-N221)*($J$5-$H$5)*($J$5-$I$5)))</f>
        <v/>
      </c>
      <c r="C221" s="17">
        <f>IF(O221&lt;$K$6,$H$6+SQRT(O221*($J$6-$H$6)*($I$6-$H$6)),$J$6-SQRT((1-O221)*($J$6-$H$6)*($J$6-$I$6)))</f>
        <v/>
      </c>
      <c r="D221" s="17">
        <f>IF(P221&lt;$K$7,$H$7+SQRT(P221*($J$7-$H$7)*($I$7-$H$7)),$J$7-SQRT((1-P221)*($J$7-$H$7)*($J$7-$I$7)))</f>
        <v/>
      </c>
      <c r="E221" s="17">
        <f>SUM(B221:D221)</f>
        <v/>
      </c>
      <c r="N221" s="16">
        <f>RAND()</f>
        <v/>
      </c>
      <c r="O221" s="16">
        <f>RAND()</f>
        <v/>
      </c>
      <c r="P221" s="16">
        <f>RAND()</f>
        <v/>
      </c>
    </row>
    <row r="222">
      <c r="A222" s="13" t="n">
        <v>218</v>
      </c>
      <c r="B222" s="17">
        <f>IF(N222&lt;$K$5,$H$5+SQRT(N222*($J$5-$H$5)*($I$5-$H$5)),$J$5-SQRT((1-N222)*($J$5-$H$5)*($J$5-$I$5)))</f>
        <v/>
      </c>
      <c r="C222" s="17">
        <f>IF(O222&lt;$K$6,$H$6+SQRT(O222*($J$6-$H$6)*($I$6-$H$6)),$J$6-SQRT((1-O222)*($J$6-$H$6)*($J$6-$I$6)))</f>
        <v/>
      </c>
      <c r="D222" s="17">
        <f>IF(P222&lt;$K$7,$H$7+SQRT(P222*($J$7-$H$7)*($I$7-$H$7)),$J$7-SQRT((1-P222)*($J$7-$H$7)*($J$7-$I$7)))</f>
        <v/>
      </c>
      <c r="E222" s="17">
        <f>SUM(B222:D222)</f>
        <v/>
      </c>
      <c r="N222" s="16">
        <f>RAND()</f>
        <v/>
      </c>
      <c r="O222" s="16">
        <f>RAND()</f>
        <v/>
      </c>
      <c r="P222" s="16">
        <f>RAND()</f>
        <v/>
      </c>
    </row>
    <row r="223">
      <c r="A223" s="13" t="n">
        <v>219</v>
      </c>
      <c r="B223" s="17">
        <f>IF(N223&lt;$K$5,$H$5+SQRT(N223*($J$5-$H$5)*($I$5-$H$5)),$J$5-SQRT((1-N223)*($J$5-$H$5)*($J$5-$I$5)))</f>
        <v/>
      </c>
      <c r="C223" s="17">
        <f>IF(O223&lt;$K$6,$H$6+SQRT(O223*($J$6-$H$6)*($I$6-$H$6)),$J$6-SQRT((1-O223)*($J$6-$H$6)*($J$6-$I$6)))</f>
        <v/>
      </c>
      <c r="D223" s="17">
        <f>IF(P223&lt;$K$7,$H$7+SQRT(P223*($J$7-$H$7)*($I$7-$H$7)),$J$7-SQRT((1-P223)*($J$7-$H$7)*($J$7-$I$7)))</f>
        <v/>
      </c>
      <c r="E223" s="17">
        <f>SUM(B223:D223)</f>
        <v/>
      </c>
      <c r="N223" s="16">
        <f>RAND()</f>
        <v/>
      </c>
      <c r="O223" s="16">
        <f>RAND()</f>
        <v/>
      </c>
      <c r="P223" s="16">
        <f>RAND()</f>
        <v/>
      </c>
    </row>
    <row r="224">
      <c r="A224" s="13" t="n">
        <v>220</v>
      </c>
      <c r="B224" s="17">
        <f>IF(N224&lt;$K$5,$H$5+SQRT(N224*($J$5-$H$5)*($I$5-$H$5)),$J$5-SQRT((1-N224)*($J$5-$H$5)*($J$5-$I$5)))</f>
        <v/>
      </c>
      <c r="C224" s="17">
        <f>IF(O224&lt;$K$6,$H$6+SQRT(O224*($J$6-$H$6)*($I$6-$H$6)),$J$6-SQRT((1-O224)*($J$6-$H$6)*($J$6-$I$6)))</f>
        <v/>
      </c>
      <c r="D224" s="17">
        <f>IF(P224&lt;$K$7,$H$7+SQRT(P224*($J$7-$H$7)*($I$7-$H$7)),$J$7-SQRT((1-P224)*($J$7-$H$7)*($J$7-$I$7)))</f>
        <v/>
      </c>
      <c r="E224" s="17">
        <f>SUM(B224:D224)</f>
        <v/>
      </c>
      <c r="N224" s="16">
        <f>RAND()</f>
        <v/>
      </c>
      <c r="O224" s="16">
        <f>RAND()</f>
        <v/>
      </c>
      <c r="P224" s="16">
        <f>RAND()</f>
        <v/>
      </c>
    </row>
    <row r="225">
      <c r="A225" s="13" t="n">
        <v>221</v>
      </c>
      <c r="B225" s="17">
        <f>IF(N225&lt;$K$5,$H$5+SQRT(N225*($J$5-$H$5)*($I$5-$H$5)),$J$5-SQRT((1-N225)*($J$5-$H$5)*($J$5-$I$5)))</f>
        <v/>
      </c>
      <c r="C225" s="17">
        <f>IF(O225&lt;$K$6,$H$6+SQRT(O225*($J$6-$H$6)*($I$6-$H$6)),$J$6-SQRT((1-O225)*($J$6-$H$6)*($J$6-$I$6)))</f>
        <v/>
      </c>
      <c r="D225" s="17">
        <f>IF(P225&lt;$K$7,$H$7+SQRT(P225*($J$7-$H$7)*($I$7-$H$7)),$J$7-SQRT((1-P225)*($J$7-$H$7)*($J$7-$I$7)))</f>
        <v/>
      </c>
      <c r="E225" s="17">
        <f>SUM(B225:D225)</f>
        <v/>
      </c>
      <c r="N225" s="16">
        <f>RAND()</f>
        <v/>
      </c>
      <c r="O225" s="16">
        <f>RAND()</f>
        <v/>
      </c>
      <c r="P225" s="16">
        <f>RAND()</f>
        <v/>
      </c>
    </row>
    <row r="226">
      <c r="A226" s="13" t="n">
        <v>222</v>
      </c>
      <c r="B226" s="17">
        <f>IF(N226&lt;$K$5,$H$5+SQRT(N226*($J$5-$H$5)*($I$5-$H$5)),$J$5-SQRT((1-N226)*($J$5-$H$5)*($J$5-$I$5)))</f>
        <v/>
      </c>
      <c r="C226" s="17">
        <f>IF(O226&lt;$K$6,$H$6+SQRT(O226*($J$6-$H$6)*($I$6-$H$6)),$J$6-SQRT((1-O226)*($J$6-$H$6)*($J$6-$I$6)))</f>
        <v/>
      </c>
      <c r="D226" s="17">
        <f>IF(P226&lt;$K$7,$H$7+SQRT(P226*($J$7-$H$7)*($I$7-$H$7)),$J$7-SQRT((1-P226)*($J$7-$H$7)*($J$7-$I$7)))</f>
        <v/>
      </c>
      <c r="E226" s="17">
        <f>SUM(B226:D226)</f>
        <v/>
      </c>
      <c r="N226" s="16">
        <f>RAND()</f>
        <v/>
      </c>
      <c r="O226" s="16">
        <f>RAND()</f>
        <v/>
      </c>
      <c r="P226" s="16">
        <f>RAND()</f>
        <v/>
      </c>
    </row>
    <row r="227">
      <c r="A227" s="13" t="n">
        <v>223</v>
      </c>
      <c r="B227" s="17">
        <f>IF(N227&lt;$K$5,$H$5+SQRT(N227*($J$5-$H$5)*($I$5-$H$5)),$J$5-SQRT((1-N227)*($J$5-$H$5)*($J$5-$I$5)))</f>
        <v/>
      </c>
      <c r="C227" s="17">
        <f>IF(O227&lt;$K$6,$H$6+SQRT(O227*($J$6-$H$6)*($I$6-$H$6)),$J$6-SQRT((1-O227)*($J$6-$H$6)*($J$6-$I$6)))</f>
        <v/>
      </c>
      <c r="D227" s="17">
        <f>IF(P227&lt;$K$7,$H$7+SQRT(P227*($J$7-$H$7)*($I$7-$H$7)),$J$7-SQRT((1-P227)*($J$7-$H$7)*($J$7-$I$7)))</f>
        <v/>
      </c>
      <c r="E227" s="17">
        <f>SUM(B227:D227)</f>
        <v/>
      </c>
      <c r="N227" s="16">
        <f>RAND()</f>
        <v/>
      </c>
      <c r="O227" s="16">
        <f>RAND()</f>
        <v/>
      </c>
      <c r="P227" s="16">
        <f>RAND()</f>
        <v/>
      </c>
    </row>
    <row r="228">
      <c r="A228" s="13" t="n">
        <v>224</v>
      </c>
      <c r="B228" s="17">
        <f>IF(N228&lt;$K$5,$H$5+SQRT(N228*($J$5-$H$5)*($I$5-$H$5)),$J$5-SQRT((1-N228)*($J$5-$H$5)*($J$5-$I$5)))</f>
        <v/>
      </c>
      <c r="C228" s="17">
        <f>IF(O228&lt;$K$6,$H$6+SQRT(O228*($J$6-$H$6)*($I$6-$H$6)),$J$6-SQRT((1-O228)*($J$6-$H$6)*($J$6-$I$6)))</f>
        <v/>
      </c>
      <c r="D228" s="17">
        <f>IF(P228&lt;$K$7,$H$7+SQRT(P228*($J$7-$H$7)*($I$7-$H$7)),$J$7-SQRT((1-P228)*($J$7-$H$7)*($J$7-$I$7)))</f>
        <v/>
      </c>
      <c r="E228" s="17">
        <f>SUM(B228:D228)</f>
        <v/>
      </c>
      <c r="N228" s="16">
        <f>RAND()</f>
        <v/>
      </c>
      <c r="O228" s="16">
        <f>RAND()</f>
        <v/>
      </c>
      <c r="P228" s="16">
        <f>RAND()</f>
        <v/>
      </c>
    </row>
    <row r="229">
      <c r="A229" s="13" t="n">
        <v>225</v>
      </c>
      <c r="B229" s="17">
        <f>IF(N229&lt;$K$5,$H$5+SQRT(N229*($J$5-$H$5)*($I$5-$H$5)),$J$5-SQRT((1-N229)*($J$5-$H$5)*($J$5-$I$5)))</f>
        <v/>
      </c>
      <c r="C229" s="17">
        <f>IF(O229&lt;$K$6,$H$6+SQRT(O229*($J$6-$H$6)*($I$6-$H$6)),$J$6-SQRT((1-O229)*($J$6-$H$6)*($J$6-$I$6)))</f>
        <v/>
      </c>
      <c r="D229" s="17">
        <f>IF(P229&lt;$K$7,$H$7+SQRT(P229*($J$7-$H$7)*($I$7-$H$7)),$J$7-SQRT((1-P229)*($J$7-$H$7)*($J$7-$I$7)))</f>
        <v/>
      </c>
      <c r="E229" s="17">
        <f>SUM(B229:D229)</f>
        <v/>
      </c>
      <c r="N229" s="16">
        <f>RAND()</f>
        <v/>
      </c>
      <c r="O229" s="16">
        <f>RAND()</f>
        <v/>
      </c>
      <c r="P229" s="16">
        <f>RAND()</f>
        <v/>
      </c>
    </row>
    <row r="230">
      <c r="A230" s="13" t="n">
        <v>226</v>
      </c>
      <c r="B230" s="17">
        <f>IF(N230&lt;$K$5,$H$5+SQRT(N230*($J$5-$H$5)*($I$5-$H$5)),$J$5-SQRT((1-N230)*($J$5-$H$5)*($J$5-$I$5)))</f>
        <v/>
      </c>
      <c r="C230" s="17">
        <f>IF(O230&lt;$K$6,$H$6+SQRT(O230*($J$6-$H$6)*($I$6-$H$6)),$J$6-SQRT((1-O230)*($J$6-$H$6)*($J$6-$I$6)))</f>
        <v/>
      </c>
      <c r="D230" s="17">
        <f>IF(P230&lt;$K$7,$H$7+SQRT(P230*($J$7-$H$7)*($I$7-$H$7)),$J$7-SQRT((1-P230)*($J$7-$H$7)*($J$7-$I$7)))</f>
        <v/>
      </c>
      <c r="E230" s="17">
        <f>SUM(B230:D230)</f>
        <v/>
      </c>
      <c r="N230" s="16">
        <f>RAND()</f>
        <v/>
      </c>
      <c r="O230" s="16">
        <f>RAND()</f>
        <v/>
      </c>
      <c r="P230" s="16">
        <f>RAND()</f>
        <v/>
      </c>
    </row>
    <row r="231">
      <c r="A231" s="13" t="n">
        <v>227</v>
      </c>
      <c r="B231" s="17">
        <f>IF(N231&lt;$K$5,$H$5+SQRT(N231*($J$5-$H$5)*($I$5-$H$5)),$J$5-SQRT((1-N231)*($J$5-$H$5)*($J$5-$I$5)))</f>
        <v/>
      </c>
      <c r="C231" s="17">
        <f>IF(O231&lt;$K$6,$H$6+SQRT(O231*($J$6-$H$6)*($I$6-$H$6)),$J$6-SQRT((1-O231)*($J$6-$H$6)*($J$6-$I$6)))</f>
        <v/>
      </c>
      <c r="D231" s="17">
        <f>IF(P231&lt;$K$7,$H$7+SQRT(P231*($J$7-$H$7)*($I$7-$H$7)),$J$7-SQRT((1-P231)*($J$7-$H$7)*($J$7-$I$7)))</f>
        <v/>
      </c>
      <c r="E231" s="17">
        <f>SUM(B231:D231)</f>
        <v/>
      </c>
      <c r="N231" s="16">
        <f>RAND()</f>
        <v/>
      </c>
      <c r="O231" s="16">
        <f>RAND()</f>
        <v/>
      </c>
      <c r="P231" s="16">
        <f>RAND()</f>
        <v/>
      </c>
    </row>
    <row r="232">
      <c r="A232" s="13" t="n">
        <v>228</v>
      </c>
      <c r="B232" s="17">
        <f>IF(N232&lt;$K$5,$H$5+SQRT(N232*($J$5-$H$5)*($I$5-$H$5)),$J$5-SQRT((1-N232)*($J$5-$H$5)*($J$5-$I$5)))</f>
        <v/>
      </c>
      <c r="C232" s="17">
        <f>IF(O232&lt;$K$6,$H$6+SQRT(O232*($J$6-$H$6)*($I$6-$H$6)),$J$6-SQRT((1-O232)*($J$6-$H$6)*($J$6-$I$6)))</f>
        <v/>
      </c>
      <c r="D232" s="17">
        <f>IF(P232&lt;$K$7,$H$7+SQRT(P232*($J$7-$H$7)*($I$7-$H$7)),$J$7-SQRT((1-P232)*($J$7-$H$7)*($J$7-$I$7)))</f>
        <v/>
      </c>
      <c r="E232" s="17">
        <f>SUM(B232:D232)</f>
        <v/>
      </c>
      <c r="N232" s="16">
        <f>RAND()</f>
        <v/>
      </c>
      <c r="O232" s="16">
        <f>RAND()</f>
        <v/>
      </c>
      <c r="P232" s="16">
        <f>RAND()</f>
        <v/>
      </c>
    </row>
    <row r="233">
      <c r="A233" s="13" t="n">
        <v>229</v>
      </c>
      <c r="B233" s="17">
        <f>IF(N233&lt;$K$5,$H$5+SQRT(N233*($J$5-$H$5)*($I$5-$H$5)),$J$5-SQRT((1-N233)*($J$5-$H$5)*($J$5-$I$5)))</f>
        <v/>
      </c>
      <c r="C233" s="17">
        <f>IF(O233&lt;$K$6,$H$6+SQRT(O233*($J$6-$H$6)*($I$6-$H$6)),$J$6-SQRT((1-O233)*($J$6-$H$6)*($J$6-$I$6)))</f>
        <v/>
      </c>
      <c r="D233" s="17">
        <f>IF(P233&lt;$K$7,$H$7+SQRT(P233*($J$7-$H$7)*($I$7-$H$7)),$J$7-SQRT((1-P233)*($J$7-$H$7)*($J$7-$I$7)))</f>
        <v/>
      </c>
      <c r="E233" s="17">
        <f>SUM(B233:D233)</f>
        <v/>
      </c>
      <c r="N233" s="16">
        <f>RAND()</f>
        <v/>
      </c>
      <c r="O233" s="16">
        <f>RAND()</f>
        <v/>
      </c>
      <c r="P233" s="16">
        <f>RAND()</f>
        <v/>
      </c>
    </row>
    <row r="234">
      <c r="A234" s="13" t="n">
        <v>230</v>
      </c>
      <c r="B234" s="17">
        <f>IF(N234&lt;$K$5,$H$5+SQRT(N234*($J$5-$H$5)*($I$5-$H$5)),$J$5-SQRT((1-N234)*($J$5-$H$5)*($J$5-$I$5)))</f>
        <v/>
      </c>
      <c r="C234" s="17">
        <f>IF(O234&lt;$K$6,$H$6+SQRT(O234*($J$6-$H$6)*($I$6-$H$6)),$J$6-SQRT((1-O234)*($J$6-$H$6)*($J$6-$I$6)))</f>
        <v/>
      </c>
      <c r="D234" s="17">
        <f>IF(P234&lt;$K$7,$H$7+SQRT(P234*($J$7-$H$7)*($I$7-$H$7)),$J$7-SQRT((1-P234)*($J$7-$H$7)*($J$7-$I$7)))</f>
        <v/>
      </c>
      <c r="E234" s="17">
        <f>SUM(B234:D234)</f>
        <v/>
      </c>
      <c r="N234" s="16">
        <f>RAND()</f>
        <v/>
      </c>
      <c r="O234" s="16">
        <f>RAND()</f>
        <v/>
      </c>
      <c r="P234" s="16">
        <f>RAND()</f>
        <v/>
      </c>
    </row>
    <row r="235">
      <c r="A235" s="13" t="n">
        <v>231</v>
      </c>
      <c r="B235" s="17">
        <f>IF(N235&lt;$K$5,$H$5+SQRT(N235*($J$5-$H$5)*($I$5-$H$5)),$J$5-SQRT((1-N235)*($J$5-$H$5)*($J$5-$I$5)))</f>
        <v/>
      </c>
      <c r="C235" s="17">
        <f>IF(O235&lt;$K$6,$H$6+SQRT(O235*($J$6-$H$6)*($I$6-$H$6)),$J$6-SQRT((1-O235)*($J$6-$H$6)*($J$6-$I$6)))</f>
        <v/>
      </c>
      <c r="D235" s="17">
        <f>IF(P235&lt;$K$7,$H$7+SQRT(P235*($J$7-$H$7)*($I$7-$H$7)),$J$7-SQRT((1-P235)*($J$7-$H$7)*($J$7-$I$7)))</f>
        <v/>
      </c>
      <c r="E235" s="17">
        <f>SUM(B235:D235)</f>
        <v/>
      </c>
      <c r="N235" s="16">
        <f>RAND()</f>
        <v/>
      </c>
      <c r="O235" s="16">
        <f>RAND()</f>
        <v/>
      </c>
      <c r="P235" s="16">
        <f>RAND()</f>
        <v/>
      </c>
    </row>
    <row r="236">
      <c r="A236" s="13" t="n">
        <v>232</v>
      </c>
      <c r="B236" s="17">
        <f>IF(N236&lt;$K$5,$H$5+SQRT(N236*($J$5-$H$5)*($I$5-$H$5)),$J$5-SQRT((1-N236)*($J$5-$H$5)*($J$5-$I$5)))</f>
        <v/>
      </c>
      <c r="C236" s="17">
        <f>IF(O236&lt;$K$6,$H$6+SQRT(O236*($J$6-$H$6)*($I$6-$H$6)),$J$6-SQRT((1-O236)*($J$6-$H$6)*($J$6-$I$6)))</f>
        <v/>
      </c>
      <c r="D236" s="17">
        <f>IF(P236&lt;$K$7,$H$7+SQRT(P236*($J$7-$H$7)*($I$7-$H$7)),$J$7-SQRT((1-P236)*($J$7-$H$7)*($J$7-$I$7)))</f>
        <v/>
      </c>
      <c r="E236" s="17">
        <f>SUM(B236:D236)</f>
        <v/>
      </c>
      <c r="N236" s="16">
        <f>RAND()</f>
        <v/>
      </c>
      <c r="O236" s="16">
        <f>RAND()</f>
        <v/>
      </c>
      <c r="P236" s="16">
        <f>RAND()</f>
        <v/>
      </c>
    </row>
    <row r="237">
      <c r="A237" s="13" t="n">
        <v>233</v>
      </c>
      <c r="B237" s="17">
        <f>IF(N237&lt;$K$5,$H$5+SQRT(N237*($J$5-$H$5)*($I$5-$H$5)),$J$5-SQRT((1-N237)*($J$5-$H$5)*($J$5-$I$5)))</f>
        <v/>
      </c>
      <c r="C237" s="17">
        <f>IF(O237&lt;$K$6,$H$6+SQRT(O237*($J$6-$H$6)*($I$6-$H$6)),$J$6-SQRT((1-O237)*($J$6-$H$6)*($J$6-$I$6)))</f>
        <v/>
      </c>
      <c r="D237" s="17">
        <f>IF(P237&lt;$K$7,$H$7+SQRT(P237*($J$7-$H$7)*($I$7-$H$7)),$J$7-SQRT((1-P237)*($J$7-$H$7)*($J$7-$I$7)))</f>
        <v/>
      </c>
      <c r="E237" s="17">
        <f>SUM(B237:D237)</f>
        <v/>
      </c>
      <c r="N237" s="16">
        <f>RAND()</f>
        <v/>
      </c>
      <c r="O237" s="16">
        <f>RAND()</f>
        <v/>
      </c>
      <c r="P237" s="16">
        <f>RAND()</f>
        <v/>
      </c>
    </row>
    <row r="238">
      <c r="A238" s="13" t="n">
        <v>234</v>
      </c>
      <c r="B238" s="17">
        <f>IF(N238&lt;$K$5,$H$5+SQRT(N238*($J$5-$H$5)*($I$5-$H$5)),$J$5-SQRT((1-N238)*($J$5-$H$5)*($J$5-$I$5)))</f>
        <v/>
      </c>
      <c r="C238" s="17">
        <f>IF(O238&lt;$K$6,$H$6+SQRT(O238*($J$6-$H$6)*($I$6-$H$6)),$J$6-SQRT((1-O238)*($J$6-$H$6)*($J$6-$I$6)))</f>
        <v/>
      </c>
      <c r="D238" s="17">
        <f>IF(P238&lt;$K$7,$H$7+SQRT(P238*($J$7-$H$7)*($I$7-$H$7)),$J$7-SQRT((1-P238)*($J$7-$H$7)*($J$7-$I$7)))</f>
        <v/>
      </c>
      <c r="E238" s="17">
        <f>SUM(B238:D238)</f>
        <v/>
      </c>
      <c r="N238" s="16">
        <f>RAND()</f>
        <v/>
      </c>
      <c r="O238" s="16">
        <f>RAND()</f>
        <v/>
      </c>
      <c r="P238" s="16">
        <f>RAND()</f>
        <v/>
      </c>
    </row>
    <row r="239">
      <c r="A239" s="13" t="n">
        <v>235</v>
      </c>
      <c r="B239" s="17">
        <f>IF(N239&lt;$K$5,$H$5+SQRT(N239*($J$5-$H$5)*($I$5-$H$5)),$J$5-SQRT((1-N239)*($J$5-$H$5)*($J$5-$I$5)))</f>
        <v/>
      </c>
      <c r="C239" s="17">
        <f>IF(O239&lt;$K$6,$H$6+SQRT(O239*($J$6-$H$6)*($I$6-$H$6)),$J$6-SQRT((1-O239)*($J$6-$H$6)*($J$6-$I$6)))</f>
        <v/>
      </c>
      <c r="D239" s="17">
        <f>IF(P239&lt;$K$7,$H$7+SQRT(P239*($J$7-$H$7)*($I$7-$H$7)),$J$7-SQRT((1-P239)*($J$7-$H$7)*($J$7-$I$7)))</f>
        <v/>
      </c>
      <c r="E239" s="17">
        <f>SUM(B239:D239)</f>
        <v/>
      </c>
      <c r="N239" s="16">
        <f>RAND()</f>
        <v/>
      </c>
      <c r="O239" s="16">
        <f>RAND()</f>
        <v/>
      </c>
      <c r="P239" s="16">
        <f>RAND()</f>
        <v/>
      </c>
    </row>
    <row r="240">
      <c r="A240" s="13" t="n">
        <v>236</v>
      </c>
      <c r="B240" s="17">
        <f>IF(N240&lt;$K$5,$H$5+SQRT(N240*($J$5-$H$5)*($I$5-$H$5)),$J$5-SQRT((1-N240)*($J$5-$H$5)*($J$5-$I$5)))</f>
        <v/>
      </c>
      <c r="C240" s="17">
        <f>IF(O240&lt;$K$6,$H$6+SQRT(O240*($J$6-$H$6)*($I$6-$H$6)),$J$6-SQRT((1-O240)*($J$6-$H$6)*($J$6-$I$6)))</f>
        <v/>
      </c>
      <c r="D240" s="17">
        <f>IF(P240&lt;$K$7,$H$7+SQRT(P240*($J$7-$H$7)*($I$7-$H$7)),$J$7-SQRT((1-P240)*($J$7-$H$7)*($J$7-$I$7)))</f>
        <v/>
      </c>
      <c r="E240" s="17">
        <f>SUM(B240:D240)</f>
        <v/>
      </c>
      <c r="N240" s="16">
        <f>RAND()</f>
        <v/>
      </c>
      <c r="O240" s="16">
        <f>RAND()</f>
        <v/>
      </c>
      <c r="P240" s="16">
        <f>RAND()</f>
        <v/>
      </c>
    </row>
    <row r="241">
      <c r="A241" s="13" t="n">
        <v>237</v>
      </c>
      <c r="B241" s="17">
        <f>IF(N241&lt;$K$5,$H$5+SQRT(N241*($J$5-$H$5)*($I$5-$H$5)),$J$5-SQRT((1-N241)*($J$5-$H$5)*($J$5-$I$5)))</f>
        <v/>
      </c>
      <c r="C241" s="17">
        <f>IF(O241&lt;$K$6,$H$6+SQRT(O241*($J$6-$H$6)*($I$6-$H$6)),$J$6-SQRT((1-O241)*($J$6-$H$6)*($J$6-$I$6)))</f>
        <v/>
      </c>
      <c r="D241" s="17">
        <f>IF(P241&lt;$K$7,$H$7+SQRT(P241*($J$7-$H$7)*($I$7-$H$7)),$J$7-SQRT((1-P241)*($J$7-$H$7)*($J$7-$I$7)))</f>
        <v/>
      </c>
      <c r="E241" s="17">
        <f>SUM(B241:D241)</f>
        <v/>
      </c>
      <c r="N241" s="16">
        <f>RAND()</f>
        <v/>
      </c>
      <c r="O241" s="16">
        <f>RAND()</f>
        <v/>
      </c>
      <c r="P241" s="16">
        <f>RAND()</f>
        <v/>
      </c>
    </row>
    <row r="242">
      <c r="A242" s="13" t="n">
        <v>238</v>
      </c>
      <c r="B242" s="17">
        <f>IF(N242&lt;$K$5,$H$5+SQRT(N242*($J$5-$H$5)*($I$5-$H$5)),$J$5-SQRT((1-N242)*($J$5-$H$5)*($J$5-$I$5)))</f>
        <v/>
      </c>
      <c r="C242" s="17">
        <f>IF(O242&lt;$K$6,$H$6+SQRT(O242*($J$6-$H$6)*($I$6-$H$6)),$J$6-SQRT((1-O242)*($J$6-$H$6)*($J$6-$I$6)))</f>
        <v/>
      </c>
      <c r="D242" s="17">
        <f>IF(P242&lt;$K$7,$H$7+SQRT(P242*($J$7-$H$7)*($I$7-$H$7)),$J$7-SQRT((1-P242)*($J$7-$H$7)*($J$7-$I$7)))</f>
        <v/>
      </c>
      <c r="E242" s="17">
        <f>SUM(B242:D242)</f>
        <v/>
      </c>
      <c r="N242" s="16">
        <f>RAND()</f>
        <v/>
      </c>
      <c r="O242" s="16">
        <f>RAND()</f>
        <v/>
      </c>
      <c r="P242" s="16">
        <f>RAND()</f>
        <v/>
      </c>
    </row>
    <row r="243">
      <c r="A243" s="13" t="n">
        <v>239</v>
      </c>
      <c r="B243" s="17">
        <f>IF(N243&lt;$K$5,$H$5+SQRT(N243*($J$5-$H$5)*($I$5-$H$5)),$J$5-SQRT((1-N243)*($J$5-$H$5)*($J$5-$I$5)))</f>
        <v/>
      </c>
      <c r="C243" s="17">
        <f>IF(O243&lt;$K$6,$H$6+SQRT(O243*($J$6-$H$6)*($I$6-$H$6)),$J$6-SQRT((1-O243)*($J$6-$H$6)*($J$6-$I$6)))</f>
        <v/>
      </c>
      <c r="D243" s="17">
        <f>IF(P243&lt;$K$7,$H$7+SQRT(P243*($J$7-$H$7)*($I$7-$H$7)),$J$7-SQRT((1-P243)*($J$7-$H$7)*($J$7-$I$7)))</f>
        <v/>
      </c>
      <c r="E243" s="17">
        <f>SUM(B243:D243)</f>
        <v/>
      </c>
      <c r="N243" s="16">
        <f>RAND()</f>
        <v/>
      </c>
      <c r="O243" s="16">
        <f>RAND()</f>
        <v/>
      </c>
      <c r="P243" s="16">
        <f>RAND()</f>
        <v/>
      </c>
    </row>
    <row r="244">
      <c r="A244" s="13" t="n">
        <v>240</v>
      </c>
      <c r="B244" s="17">
        <f>IF(N244&lt;$K$5,$H$5+SQRT(N244*($J$5-$H$5)*($I$5-$H$5)),$J$5-SQRT((1-N244)*($J$5-$H$5)*($J$5-$I$5)))</f>
        <v/>
      </c>
      <c r="C244" s="17">
        <f>IF(O244&lt;$K$6,$H$6+SQRT(O244*($J$6-$H$6)*($I$6-$H$6)),$J$6-SQRT((1-O244)*($J$6-$H$6)*($J$6-$I$6)))</f>
        <v/>
      </c>
      <c r="D244" s="17">
        <f>IF(P244&lt;$K$7,$H$7+SQRT(P244*($J$7-$H$7)*($I$7-$H$7)),$J$7-SQRT((1-P244)*($J$7-$H$7)*($J$7-$I$7)))</f>
        <v/>
      </c>
      <c r="E244" s="17">
        <f>SUM(B244:D244)</f>
        <v/>
      </c>
      <c r="N244" s="16">
        <f>RAND()</f>
        <v/>
      </c>
      <c r="O244" s="16">
        <f>RAND()</f>
        <v/>
      </c>
      <c r="P244" s="16">
        <f>RAND()</f>
        <v/>
      </c>
    </row>
    <row r="245">
      <c r="A245" s="13" t="n">
        <v>241</v>
      </c>
      <c r="B245" s="17">
        <f>IF(N245&lt;$K$5,$H$5+SQRT(N245*($J$5-$H$5)*($I$5-$H$5)),$J$5-SQRT((1-N245)*($J$5-$H$5)*($J$5-$I$5)))</f>
        <v/>
      </c>
      <c r="C245" s="17">
        <f>IF(O245&lt;$K$6,$H$6+SQRT(O245*($J$6-$H$6)*($I$6-$H$6)),$J$6-SQRT((1-O245)*($J$6-$H$6)*($J$6-$I$6)))</f>
        <v/>
      </c>
      <c r="D245" s="17">
        <f>IF(P245&lt;$K$7,$H$7+SQRT(P245*($J$7-$H$7)*($I$7-$H$7)),$J$7-SQRT((1-P245)*($J$7-$H$7)*($J$7-$I$7)))</f>
        <v/>
      </c>
      <c r="E245" s="17">
        <f>SUM(B245:D245)</f>
        <v/>
      </c>
      <c r="N245" s="16">
        <f>RAND()</f>
        <v/>
      </c>
      <c r="O245" s="16">
        <f>RAND()</f>
        <v/>
      </c>
      <c r="P245" s="16">
        <f>RAND()</f>
        <v/>
      </c>
    </row>
    <row r="246">
      <c r="A246" s="13" t="n">
        <v>242</v>
      </c>
      <c r="B246" s="17">
        <f>IF(N246&lt;$K$5,$H$5+SQRT(N246*($J$5-$H$5)*($I$5-$H$5)),$J$5-SQRT((1-N246)*($J$5-$H$5)*($J$5-$I$5)))</f>
        <v/>
      </c>
      <c r="C246" s="17">
        <f>IF(O246&lt;$K$6,$H$6+SQRT(O246*($J$6-$H$6)*($I$6-$H$6)),$J$6-SQRT((1-O246)*($J$6-$H$6)*($J$6-$I$6)))</f>
        <v/>
      </c>
      <c r="D246" s="17">
        <f>IF(P246&lt;$K$7,$H$7+SQRT(P246*($J$7-$H$7)*($I$7-$H$7)),$J$7-SQRT((1-P246)*($J$7-$H$7)*($J$7-$I$7)))</f>
        <v/>
      </c>
      <c r="E246" s="17">
        <f>SUM(B246:D246)</f>
        <v/>
      </c>
      <c r="N246" s="16">
        <f>RAND()</f>
        <v/>
      </c>
      <c r="O246" s="16">
        <f>RAND()</f>
        <v/>
      </c>
      <c r="P246" s="16">
        <f>RAND()</f>
        <v/>
      </c>
    </row>
    <row r="247">
      <c r="A247" s="13" t="n">
        <v>243</v>
      </c>
      <c r="B247" s="17">
        <f>IF(N247&lt;$K$5,$H$5+SQRT(N247*($J$5-$H$5)*($I$5-$H$5)),$J$5-SQRT((1-N247)*($J$5-$H$5)*($J$5-$I$5)))</f>
        <v/>
      </c>
      <c r="C247" s="17">
        <f>IF(O247&lt;$K$6,$H$6+SQRT(O247*($J$6-$H$6)*($I$6-$H$6)),$J$6-SQRT((1-O247)*($J$6-$H$6)*($J$6-$I$6)))</f>
        <v/>
      </c>
      <c r="D247" s="17">
        <f>IF(P247&lt;$K$7,$H$7+SQRT(P247*($J$7-$H$7)*($I$7-$H$7)),$J$7-SQRT((1-P247)*($J$7-$H$7)*($J$7-$I$7)))</f>
        <v/>
      </c>
      <c r="E247" s="17">
        <f>SUM(B247:D247)</f>
        <v/>
      </c>
      <c r="N247" s="16">
        <f>RAND()</f>
        <v/>
      </c>
      <c r="O247" s="16">
        <f>RAND()</f>
        <v/>
      </c>
      <c r="P247" s="16">
        <f>RAND()</f>
        <v/>
      </c>
    </row>
    <row r="248">
      <c r="A248" s="13" t="n">
        <v>244</v>
      </c>
      <c r="B248" s="17">
        <f>IF(N248&lt;$K$5,$H$5+SQRT(N248*($J$5-$H$5)*($I$5-$H$5)),$J$5-SQRT((1-N248)*($J$5-$H$5)*($J$5-$I$5)))</f>
        <v/>
      </c>
      <c r="C248" s="17">
        <f>IF(O248&lt;$K$6,$H$6+SQRT(O248*($J$6-$H$6)*($I$6-$H$6)),$J$6-SQRT((1-O248)*($J$6-$H$6)*($J$6-$I$6)))</f>
        <v/>
      </c>
      <c r="D248" s="17">
        <f>IF(P248&lt;$K$7,$H$7+SQRT(P248*($J$7-$H$7)*($I$7-$H$7)),$J$7-SQRT((1-P248)*($J$7-$H$7)*($J$7-$I$7)))</f>
        <v/>
      </c>
      <c r="E248" s="17">
        <f>SUM(B248:D248)</f>
        <v/>
      </c>
      <c r="N248" s="16">
        <f>RAND()</f>
        <v/>
      </c>
      <c r="O248" s="16">
        <f>RAND()</f>
        <v/>
      </c>
      <c r="P248" s="16">
        <f>RAND()</f>
        <v/>
      </c>
    </row>
    <row r="249">
      <c r="A249" s="13" t="n">
        <v>245</v>
      </c>
      <c r="B249" s="17">
        <f>IF(N249&lt;$K$5,$H$5+SQRT(N249*($J$5-$H$5)*($I$5-$H$5)),$J$5-SQRT((1-N249)*($J$5-$H$5)*($J$5-$I$5)))</f>
        <v/>
      </c>
      <c r="C249" s="17">
        <f>IF(O249&lt;$K$6,$H$6+SQRT(O249*($J$6-$H$6)*($I$6-$H$6)),$J$6-SQRT((1-O249)*($J$6-$H$6)*($J$6-$I$6)))</f>
        <v/>
      </c>
      <c r="D249" s="17">
        <f>IF(P249&lt;$K$7,$H$7+SQRT(P249*($J$7-$H$7)*($I$7-$H$7)),$J$7-SQRT((1-P249)*($J$7-$H$7)*($J$7-$I$7)))</f>
        <v/>
      </c>
      <c r="E249" s="17">
        <f>SUM(B249:D249)</f>
        <v/>
      </c>
      <c r="N249" s="16">
        <f>RAND()</f>
        <v/>
      </c>
      <c r="O249" s="16">
        <f>RAND()</f>
        <v/>
      </c>
      <c r="P249" s="16">
        <f>RAND()</f>
        <v/>
      </c>
    </row>
    <row r="250">
      <c r="A250" s="13" t="n">
        <v>246</v>
      </c>
      <c r="B250" s="17">
        <f>IF(N250&lt;$K$5,$H$5+SQRT(N250*($J$5-$H$5)*($I$5-$H$5)),$J$5-SQRT((1-N250)*($J$5-$H$5)*($J$5-$I$5)))</f>
        <v/>
      </c>
      <c r="C250" s="17">
        <f>IF(O250&lt;$K$6,$H$6+SQRT(O250*($J$6-$H$6)*($I$6-$H$6)),$J$6-SQRT((1-O250)*($J$6-$H$6)*($J$6-$I$6)))</f>
        <v/>
      </c>
      <c r="D250" s="17">
        <f>IF(P250&lt;$K$7,$H$7+SQRT(P250*($J$7-$H$7)*($I$7-$H$7)),$J$7-SQRT((1-P250)*($J$7-$H$7)*($J$7-$I$7)))</f>
        <v/>
      </c>
      <c r="E250" s="17">
        <f>SUM(B250:D250)</f>
        <v/>
      </c>
      <c r="N250" s="16">
        <f>RAND()</f>
        <v/>
      </c>
      <c r="O250" s="16">
        <f>RAND()</f>
        <v/>
      </c>
      <c r="P250" s="16">
        <f>RAND()</f>
        <v/>
      </c>
    </row>
    <row r="251">
      <c r="A251" s="13" t="n">
        <v>247</v>
      </c>
      <c r="B251" s="17">
        <f>IF(N251&lt;$K$5,$H$5+SQRT(N251*($J$5-$H$5)*($I$5-$H$5)),$J$5-SQRT((1-N251)*($J$5-$H$5)*($J$5-$I$5)))</f>
        <v/>
      </c>
      <c r="C251" s="17">
        <f>IF(O251&lt;$K$6,$H$6+SQRT(O251*($J$6-$H$6)*($I$6-$H$6)),$J$6-SQRT((1-O251)*($J$6-$H$6)*($J$6-$I$6)))</f>
        <v/>
      </c>
      <c r="D251" s="17">
        <f>IF(P251&lt;$K$7,$H$7+SQRT(P251*($J$7-$H$7)*($I$7-$H$7)),$J$7-SQRT((1-P251)*($J$7-$H$7)*($J$7-$I$7)))</f>
        <v/>
      </c>
      <c r="E251" s="17">
        <f>SUM(B251:D251)</f>
        <v/>
      </c>
      <c r="N251" s="16">
        <f>RAND()</f>
        <v/>
      </c>
      <c r="O251" s="16">
        <f>RAND()</f>
        <v/>
      </c>
      <c r="P251" s="16">
        <f>RAND()</f>
        <v/>
      </c>
    </row>
    <row r="252">
      <c r="A252" s="13" t="n">
        <v>248</v>
      </c>
      <c r="B252" s="17">
        <f>IF(N252&lt;$K$5,$H$5+SQRT(N252*($J$5-$H$5)*($I$5-$H$5)),$J$5-SQRT((1-N252)*($J$5-$H$5)*($J$5-$I$5)))</f>
        <v/>
      </c>
      <c r="C252" s="17">
        <f>IF(O252&lt;$K$6,$H$6+SQRT(O252*($J$6-$H$6)*($I$6-$H$6)),$J$6-SQRT((1-O252)*($J$6-$H$6)*($J$6-$I$6)))</f>
        <v/>
      </c>
      <c r="D252" s="17">
        <f>IF(P252&lt;$K$7,$H$7+SQRT(P252*($J$7-$H$7)*($I$7-$H$7)),$J$7-SQRT((1-P252)*($J$7-$H$7)*($J$7-$I$7)))</f>
        <v/>
      </c>
      <c r="E252" s="17">
        <f>SUM(B252:D252)</f>
        <v/>
      </c>
      <c r="N252" s="16">
        <f>RAND()</f>
        <v/>
      </c>
      <c r="O252" s="16">
        <f>RAND()</f>
        <v/>
      </c>
      <c r="P252" s="16">
        <f>RAND()</f>
        <v/>
      </c>
    </row>
    <row r="253">
      <c r="A253" s="13" t="n">
        <v>249</v>
      </c>
      <c r="B253" s="17">
        <f>IF(N253&lt;$K$5,$H$5+SQRT(N253*($J$5-$H$5)*($I$5-$H$5)),$J$5-SQRT((1-N253)*($J$5-$H$5)*($J$5-$I$5)))</f>
        <v/>
      </c>
      <c r="C253" s="17">
        <f>IF(O253&lt;$K$6,$H$6+SQRT(O253*($J$6-$H$6)*($I$6-$H$6)),$J$6-SQRT((1-O253)*($J$6-$H$6)*($J$6-$I$6)))</f>
        <v/>
      </c>
      <c r="D253" s="17">
        <f>IF(P253&lt;$K$7,$H$7+SQRT(P253*($J$7-$H$7)*($I$7-$H$7)),$J$7-SQRT((1-P253)*($J$7-$H$7)*($J$7-$I$7)))</f>
        <v/>
      </c>
      <c r="E253" s="17">
        <f>SUM(B253:D253)</f>
        <v/>
      </c>
      <c r="N253" s="16">
        <f>RAND()</f>
        <v/>
      </c>
      <c r="O253" s="16">
        <f>RAND()</f>
        <v/>
      </c>
      <c r="P253" s="16">
        <f>RAND()</f>
        <v/>
      </c>
    </row>
    <row r="254">
      <c r="A254" s="13" t="n">
        <v>250</v>
      </c>
      <c r="B254" s="17">
        <f>IF(N254&lt;$K$5,$H$5+SQRT(N254*($J$5-$H$5)*($I$5-$H$5)),$J$5-SQRT((1-N254)*($J$5-$H$5)*($J$5-$I$5)))</f>
        <v/>
      </c>
      <c r="C254" s="17">
        <f>IF(O254&lt;$K$6,$H$6+SQRT(O254*($J$6-$H$6)*($I$6-$H$6)),$J$6-SQRT((1-O254)*($J$6-$H$6)*($J$6-$I$6)))</f>
        <v/>
      </c>
      <c r="D254" s="17">
        <f>IF(P254&lt;$K$7,$H$7+SQRT(P254*($J$7-$H$7)*($I$7-$H$7)),$J$7-SQRT((1-P254)*($J$7-$H$7)*($J$7-$I$7)))</f>
        <v/>
      </c>
      <c r="E254" s="17">
        <f>SUM(B254:D254)</f>
        <v/>
      </c>
      <c r="N254" s="16">
        <f>RAND()</f>
        <v/>
      </c>
      <c r="O254" s="16">
        <f>RAND()</f>
        <v/>
      </c>
      <c r="P254" s="16">
        <f>RAND()</f>
        <v/>
      </c>
    </row>
    <row r="255">
      <c r="A255" s="13" t="n">
        <v>251</v>
      </c>
      <c r="B255" s="17">
        <f>IF(N255&lt;$K$5,$H$5+SQRT(N255*($J$5-$H$5)*($I$5-$H$5)),$J$5-SQRT((1-N255)*($J$5-$H$5)*($J$5-$I$5)))</f>
        <v/>
      </c>
      <c r="C255" s="17">
        <f>IF(O255&lt;$K$6,$H$6+SQRT(O255*($J$6-$H$6)*($I$6-$H$6)),$J$6-SQRT((1-O255)*($J$6-$H$6)*($J$6-$I$6)))</f>
        <v/>
      </c>
      <c r="D255" s="17">
        <f>IF(P255&lt;$K$7,$H$7+SQRT(P255*($J$7-$H$7)*($I$7-$H$7)),$J$7-SQRT((1-P255)*($J$7-$H$7)*($J$7-$I$7)))</f>
        <v/>
      </c>
      <c r="E255" s="17">
        <f>SUM(B255:D255)</f>
        <v/>
      </c>
      <c r="N255" s="16">
        <f>RAND()</f>
        <v/>
      </c>
      <c r="O255" s="16">
        <f>RAND()</f>
        <v/>
      </c>
      <c r="P255" s="16">
        <f>RAND()</f>
        <v/>
      </c>
    </row>
    <row r="256">
      <c r="A256" s="13" t="n">
        <v>252</v>
      </c>
      <c r="B256" s="17">
        <f>IF(N256&lt;$K$5,$H$5+SQRT(N256*($J$5-$H$5)*($I$5-$H$5)),$J$5-SQRT((1-N256)*($J$5-$H$5)*($J$5-$I$5)))</f>
        <v/>
      </c>
      <c r="C256" s="17">
        <f>IF(O256&lt;$K$6,$H$6+SQRT(O256*($J$6-$H$6)*($I$6-$H$6)),$J$6-SQRT((1-O256)*($J$6-$H$6)*($J$6-$I$6)))</f>
        <v/>
      </c>
      <c r="D256" s="17">
        <f>IF(P256&lt;$K$7,$H$7+SQRT(P256*($J$7-$H$7)*($I$7-$H$7)),$J$7-SQRT((1-P256)*($J$7-$H$7)*($J$7-$I$7)))</f>
        <v/>
      </c>
      <c r="E256" s="17">
        <f>SUM(B256:D256)</f>
        <v/>
      </c>
      <c r="N256" s="16">
        <f>RAND()</f>
        <v/>
      </c>
      <c r="O256" s="16">
        <f>RAND()</f>
        <v/>
      </c>
      <c r="P256" s="16">
        <f>RAND()</f>
        <v/>
      </c>
    </row>
    <row r="257">
      <c r="A257" s="13" t="n">
        <v>253</v>
      </c>
      <c r="B257" s="17">
        <f>IF(N257&lt;$K$5,$H$5+SQRT(N257*($J$5-$H$5)*($I$5-$H$5)),$J$5-SQRT((1-N257)*($J$5-$H$5)*($J$5-$I$5)))</f>
        <v/>
      </c>
      <c r="C257" s="17">
        <f>IF(O257&lt;$K$6,$H$6+SQRT(O257*($J$6-$H$6)*($I$6-$H$6)),$J$6-SQRT((1-O257)*($J$6-$H$6)*($J$6-$I$6)))</f>
        <v/>
      </c>
      <c r="D257" s="17">
        <f>IF(P257&lt;$K$7,$H$7+SQRT(P257*($J$7-$H$7)*($I$7-$H$7)),$J$7-SQRT((1-P257)*($J$7-$H$7)*($J$7-$I$7)))</f>
        <v/>
      </c>
      <c r="E257" s="17">
        <f>SUM(B257:D257)</f>
        <v/>
      </c>
      <c r="N257" s="16">
        <f>RAND()</f>
        <v/>
      </c>
      <c r="O257" s="16">
        <f>RAND()</f>
        <v/>
      </c>
      <c r="P257" s="16">
        <f>RAND()</f>
        <v/>
      </c>
    </row>
    <row r="258">
      <c r="A258" s="13" t="n">
        <v>254</v>
      </c>
      <c r="B258" s="17">
        <f>IF(N258&lt;$K$5,$H$5+SQRT(N258*($J$5-$H$5)*($I$5-$H$5)),$J$5-SQRT((1-N258)*($J$5-$H$5)*($J$5-$I$5)))</f>
        <v/>
      </c>
      <c r="C258" s="17">
        <f>IF(O258&lt;$K$6,$H$6+SQRT(O258*($J$6-$H$6)*($I$6-$H$6)),$J$6-SQRT((1-O258)*($J$6-$H$6)*($J$6-$I$6)))</f>
        <v/>
      </c>
      <c r="D258" s="17">
        <f>IF(P258&lt;$K$7,$H$7+SQRT(P258*($J$7-$H$7)*($I$7-$H$7)),$J$7-SQRT((1-P258)*($J$7-$H$7)*($J$7-$I$7)))</f>
        <v/>
      </c>
      <c r="E258" s="17">
        <f>SUM(B258:D258)</f>
        <v/>
      </c>
      <c r="N258" s="16">
        <f>RAND()</f>
        <v/>
      </c>
      <c r="O258" s="16">
        <f>RAND()</f>
        <v/>
      </c>
      <c r="P258" s="16">
        <f>RAND()</f>
        <v/>
      </c>
    </row>
    <row r="259">
      <c r="A259" s="13" t="n">
        <v>255</v>
      </c>
      <c r="B259" s="17">
        <f>IF(N259&lt;$K$5,$H$5+SQRT(N259*($J$5-$H$5)*($I$5-$H$5)),$J$5-SQRT((1-N259)*($J$5-$H$5)*($J$5-$I$5)))</f>
        <v/>
      </c>
      <c r="C259" s="17">
        <f>IF(O259&lt;$K$6,$H$6+SQRT(O259*($J$6-$H$6)*($I$6-$H$6)),$J$6-SQRT((1-O259)*($J$6-$H$6)*($J$6-$I$6)))</f>
        <v/>
      </c>
      <c r="D259" s="17">
        <f>IF(P259&lt;$K$7,$H$7+SQRT(P259*($J$7-$H$7)*($I$7-$H$7)),$J$7-SQRT((1-P259)*($J$7-$H$7)*($J$7-$I$7)))</f>
        <v/>
      </c>
      <c r="E259" s="17">
        <f>SUM(B259:D259)</f>
        <v/>
      </c>
      <c r="N259" s="16">
        <f>RAND()</f>
        <v/>
      </c>
      <c r="O259" s="16">
        <f>RAND()</f>
        <v/>
      </c>
      <c r="P259" s="16">
        <f>RAND()</f>
        <v/>
      </c>
    </row>
    <row r="260">
      <c r="A260" s="13" t="n">
        <v>256</v>
      </c>
      <c r="B260" s="17">
        <f>IF(N260&lt;$K$5,$H$5+SQRT(N260*($J$5-$H$5)*($I$5-$H$5)),$J$5-SQRT((1-N260)*($J$5-$H$5)*($J$5-$I$5)))</f>
        <v/>
      </c>
      <c r="C260" s="17">
        <f>IF(O260&lt;$K$6,$H$6+SQRT(O260*($J$6-$H$6)*($I$6-$H$6)),$J$6-SQRT((1-O260)*($J$6-$H$6)*($J$6-$I$6)))</f>
        <v/>
      </c>
      <c r="D260" s="17">
        <f>IF(P260&lt;$K$7,$H$7+SQRT(P260*($J$7-$H$7)*($I$7-$H$7)),$J$7-SQRT((1-P260)*($J$7-$H$7)*($J$7-$I$7)))</f>
        <v/>
      </c>
      <c r="E260" s="17">
        <f>SUM(B260:D260)</f>
        <v/>
      </c>
      <c r="N260" s="16">
        <f>RAND()</f>
        <v/>
      </c>
      <c r="O260" s="16">
        <f>RAND()</f>
        <v/>
      </c>
      <c r="P260" s="16">
        <f>RAND()</f>
        <v/>
      </c>
    </row>
    <row r="261">
      <c r="A261" s="13" t="n">
        <v>257</v>
      </c>
      <c r="B261" s="17">
        <f>IF(N261&lt;$K$5,$H$5+SQRT(N261*($J$5-$H$5)*($I$5-$H$5)),$J$5-SQRT((1-N261)*($J$5-$H$5)*($J$5-$I$5)))</f>
        <v/>
      </c>
      <c r="C261" s="17">
        <f>IF(O261&lt;$K$6,$H$6+SQRT(O261*($J$6-$H$6)*($I$6-$H$6)),$J$6-SQRT((1-O261)*($J$6-$H$6)*($J$6-$I$6)))</f>
        <v/>
      </c>
      <c r="D261" s="17">
        <f>IF(P261&lt;$K$7,$H$7+SQRT(P261*($J$7-$H$7)*($I$7-$H$7)),$J$7-SQRT((1-P261)*($J$7-$H$7)*($J$7-$I$7)))</f>
        <v/>
      </c>
      <c r="E261" s="17">
        <f>SUM(B261:D261)</f>
        <v/>
      </c>
      <c r="N261" s="16">
        <f>RAND()</f>
        <v/>
      </c>
      <c r="O261" s="16">
        <f>RAND()</f>
        <v/>
      </c>
      <c r="P261" s="16">
        <f>RAND()</f>
        <v/>
      </c>
    </row>
    <row r="262">
      <c r="A262" s="13" t="n">
        <v>258</v>
      </c>
      <c r="B262" s="17">
        <f>IF(N262&lt;$K$5,$H$5+SQRT(N262*($J$5-$H$5)*($I$5-$H$5)),$J$5-SQRT((1-N262)*($J$5-$H$5)*($J$5-$I$5)))</f>
        <v/>
      </c>
      <c r="C262" s="17">
        <f>IF(O262&lt;$K$6,$H$6+SQRT(O262*($J$6-$H$6)*($I$6-$H$6)),$J$6-SQRT((1-O262)*($J$6-$H$6)*($J$6-$I$6)))</f>
        <v/>
      </c>
      <c r="D262" s="17">
        <f>IF(P262&lt;$K$7,$H$7+SQRT(P262*($J$7-$H$7)*($I$7-$H$7)),$J$7-SQRT((1-P262)*($J$7-$H$7)*($J$7-$I$7)))</f>
        <v/>
      </c>
      <c r="E262" s="17">
        <f>SUM(B262:D262)</f>
        <v/>
      </c>
      <c r="N262" s="16">
        <f>RAND()</f>
        <v/>
      </c>
      <c r="O262" s="16">
        <f>RAND()</f>
        <v/>
      </c>
      <c r="P262" s="16">
        <f>RAND()</f>
        <v/>
      </c>
    </row>
    <row r="263">
      <c r="A263" s="13" t="n">
        <v>259</v>
      </c>
      <c r="B263" s="17">
        <f>IF(N263&lt;$K$5,$H$5+SQRT(N263*($J$5-$H$5)*($I$5-$H$5)),$J$5-SQRT((1-N263)*($J$5-$H$5)*($J$5-$I$5)))</f>
        <v/>
      </c>
      <c r="C263" s="17">
        <f>IF(O263&lt;$K$6,$H$6+SQRT(O263*($J$6-$H$6)*($I$6-$H$6)),$J$6-SQRT((1-O263)*($J$6-$H$6)*($J$6-$I$6)))</f>
        <v/>
      </c>
      <c r="D263" s="17">
        <f>IF(P263&lt;$K$7,$H$7+SQRT(P263*($J$7-$H$7)*($I$7-$H$7)),$J$7-SQRT((1-P263)*($J$7-$H$7)*($J$7-$I$7)))</f>
        <v/>
      </c>
      <c r="E263" s="17">
        <f>SUM(B263:D263)</f>
        <v/>
      </c>
      <c r="N263" s="16">
        <f>RAND()</f>
        <v/>
      </c>
      <c r="O263" s="16">
        <f>RAND()</f>
        <v/>
      </c>
      <c r="P263" s="16">
        <f>RAND()</f>
        <v/>
      </c>
    </row>
    <row r="264">
      <c r="A264" s="13" t="n">
        <v>260</v>
      </c>
      <c r="B264" s="17">
        <f>IF(N264&lt;$K$5,$H$5+SQRT(N264*($J$5-$H$5)*($I$5-$H$5)),$J$5-SQRT((1-N264)*($J$5-$H$5)*($J$5-$I$5)))</f>
        <v/>
      </c>
      <c r="C264" s="17">
        <f>IF(O264&lt;$K$6,$H$6+SQRT(O264*($J$6-$H$6)*($I$6-$H$6)),$J$6-SQRT((1-O264)*($J$6-$H$6)*($J$6-$I$6)))</f>
        <v/>
      </c>
      <c r="D264" s="17">
        <f>IF(P264&lt;$K$7,$H$7+SQRT(P264*($J$7-$H$7)*($I$7-$H$7)),$J$7-SQRT((1-P264)*($J$7-$H$7)*($J$7-$I$7)))</f>
        <v/>
      </c>
      <c r="E264" s="17">
        <f>SUM(B264:D264)</f>
        <v/>
      </c>
      <c r="N264" s="16">
        <f>RAND()</f>
        <v/>
      </c>
      <c r="O264" s="16">
        <f>RAND()</f>
        <v/>
      </c>
      <c r="P264" s="16">
        <f>RAND()</f>
        <v/>
      </c>
    </row>
    <row r="265">
      <c r="A265" s="13" t="n">
        <v>261</v>
      </c>
      <c r="B265" s="17">
        <f>IF(N265&lt;$K$5,$H$5+SQRT(N265*($J$5-$H$5)*($I$5-$H$5)),$J$5-SQRT((1-N265)*($J$5-$H$5)*($J$5-$I$5)))</f>
        <v/>
      </c>
      <c r="C265" s="17">
        <f>IF(O265&lt;$K$6,$H$6+SQRT(O265*($J$6-$H$6)*($I$6-$H$6)),$J$6-SQRT((1-O265)*($J$6-$H$6)*($J$6-$I$6)))</f>
        <v/>
      </c>
      <c r="D265" s="17">
        <f>IF(P265&lt;$K$7,$H$7+SQRT(P265*($J$7-$H$7)*($I$7-$H$7)),$J$7-SQRT((1-P265)*($J$7-$H$7)*($J$7-$I$7)))</f>
        <v/>
      </c>
      <c r="E265" s="17">
        <f>SUM(B265:D265)</f>
        <v/>
      </c>
      <c r="N265" s="16">
        <f>RAND()</f>
        <v/>
      </c>
      <c r="O265" s="16">
        <f>RAND()</f>
        <v/>
      </c>
      <c r="P265" s="16">
        <f>RAND()</f>
        <v/>
      </c>
    </row>
    <row r="266">
      <c r="A266" s="13" t="n">
        <v>262</v>
      </c>
      <c r="B266" s="17">
        <f>IF(N266&lt;$K$5,$H$5+SQRT(N266*($J$5-$H$5)*($I$5-$H$5)),$J$5-SQRT((1-N266)*($J$5-$H$5)*($J$5-$I$5)))</f>
        <v/>
      </c>
      <c r="C266" s="17">
        <f>IF(O266&lt;$K$6,$H$6+SQRT(O266*($J$6-$H$6)*($I$6-$H$6)),$J$6-SQRT((1-O266)*($J$6-$H$6)*($J$6-$I$6)))</f>
        <v/>
      </c>
      <c r="D266" s="17">
        <f>IF(P266&lt;$K$7,$H$7+SQRT(P266*($J$7-$H$7)*($I$7-$H$7)),$J$7-SQRT((1-P266)*($J$7-$H$7)*($J$7-$I$7)))</f>
        <v/>
      </c>
      <c r="E266" s="17">
        <f>SUM(B266:D266)</f>
        <v/>
      </c>
      <c r="N266" s="16">
        <f>RAND()</f>
        <v/>
      </c>
      <c r="O266" s="16">
        <f>RAND()</f>
        <v/>
      </c>
      <c r="P266" s="16">
        <f>RAND()</f>
        <v/>
      </c>
    </row>
    <row r="267">
      <c r="A267" s="13" t="n">
        <v>263</v>
      </c>
      <c r="B267" s="17">
        <f>IF(N267&lt;$K$5,$H$5+SQRT(N267*($J$5-$H$5)*($I$5-$H$5)),$J$5-SQRT((1-N267)*($J$5-$H$5)*($J$5-$I$5)))</f>
        <v/>
      </c>
      <c r="C267" s="17">
        <f>IF(O267&lt;$K$6,$H$6+SQRT(O267*($J$6-$H$6)*($I$6-$H$6)),$J$6-SQRT((1-O267)*($J$6-$H$6)*($J$6-$I$6)))</f>
        <v/>
      </c>
      <c r="D267" s="17">
        <f>IF(P267&lt;$K$7,$H$7+SQRT(P267*($J$7-$H$7)*($I$7-$H$7)),$J$7-SQRT((1-P267)*($J$7-$H$7)*($J$7-$I$7)))</f>
        <v/>
      </c>
      <c r="E267" s="17">
        <f>SUM(B267:D267)</f>
        <v/>
      </c>
      <c r="N267" s="16">
        <f>RAND()</f>
        <v/>
      </c>
      <c r="O267" s="16">
        <f>RAND()</f>
        <v/>
      </c>
      <c r="P267" s="16">
        <f>RAND()</f>
        <v/>
      </c>
    </row>
    <row r="268">
      <c r="A268" s="13" t="n">
        <v>264</v>
      </c>
      <c r="B268" s="17">
        <f>IF(N268&lt;$K$5,$H$5+SQRT(N268*($J$5-$H$5)*($I$5-$H$5)),$J$5-SQRT((1-N268)*($J$5-$H$5)*($J$5-$I$5)))</f>
        <v/>
      </c>
      <c r="C268" s="17">
        <f>IF(O268&lt;$K$6,$H$6+SQRT(O268*($J$6-$H$6)*($I$6-$H$6)),$J$6-SQRT((1-O268)*($J$6-$H$6)*($J$6-$I$6)))</f>
        <v/>
      </c>
      <c r="D268" s="17">
        <f>IF(P268&lt;$K$7,$H$7+SQRT(P268*($J$7-$H$7)*($I$7-$H$7)),$J$7-SQRT((1-P268)*($J$7-$H$7)*($J$7-$I$7)))</f>
        <v/>
      </c>
      <c r="E268" s="17">
        <f>SUM(B268:D268)</f>
        <v/>
      </c>
      <c r="N268" s="16">
        <f>RAND()</f>
        <v/>
      </c>
      <c r="O268" s="16">
        <f>RAND()</f>
        <v/>
      </c>
      <c r="P268" s="16">
        <f>RAND()</f>
        <v/>
      </c>
    </row>
    <row r="269">
      <c r="A269" s="13" t="n">
        <v>265</v>
      </c>
      <c r="B269" s="17">
        <f>IF(N269&lt;$K$5,$H$5+SQRT(N269*($J$5-$H$5)*($I$5-$H$5)),$J$5-SQRT((1-N269)*($J$5-$H$5)*($J$5-$I$5)))</f>
        <v/>
      </c>
      <c r="C269" s="17">
        <f>IF(O269&lt;$K$6,$H$6+SQRT(O269*($J$6-$H$6)*($I$6-$H$6)),$J$6-SQRT((1-O269)*($J$6-$H$6)*($J$6-$I$6)))</f>
        <v/>
      </c>
      <c r="D269" s="17">
        <f>IF(P269&lt;$K$7,$H$7+SQRT(P269*($J$7-$H$7)*($I$7-$H$7)),$J$7-SQRT((1-P269)*($J$7-$H$7)*($J$7-$I$7)))</f>
        <v/>
      </c>
      <c r="E269" s="17">
        <f>SUM(B269:D269)</f>
        <v/>
      </c>
      <c r="N269" s="16">
        <f>RAND()</f>
        <v/>
      </c>
      <c r="O269" s="16">
        <f>RAND()</f>
        <v/>
      </c>
      <c r="P269" s="16">
        <f>RAND()</f>
        <v/>
      </c>
    </row>
    <row r="270">
      <c r="A270" s="13" t="n">
        <v>266</v>
      </c>
      <c r="B270" s="17">
        <f>IF(N270&lt;$K$5,$H$5+SQRT(N270*($J$5-$H$5)*($I$5-$H$5)),$J$5-SQRT((1-N270)*($J$5-$H$5)*($J$5-$I$5)))</f>
        <v/>
      </c>
      <c r="C270" s="17">
        <f>IF(O270&lt;$K$6,$H$6+SQRT(O270*($J$6-$H$6)*($I$6-$H$6)),$J$6-SQRT((1-O270)*($J$6-$H$6)*($J$6-$I$6)))</f>
        <v/>
      </c>
      <c r="D270" s="17">
        <f>IF(P270&lt;$K$7,$H$7+SQRT(P270*($J$7-$H$7)*($I$7-$H$7)),$J$7-SQRT((1-P270)*($J$7-$H$7)*($J$7-$I$7)))</f>
        <v/>
      </c>
      <c r="E270" s="17">
        <f>SUM(B270:D270)</f>
        <v/>
      </c>
      <c r="N270" s="16">
        <f>RAND()</f>
        <v/>
      </c>
      <c r="O270" s="16">
        <f>RAND()</f>
        <v/>
      </c>
      <c r="P270" s="16">
        <f>RAND()</f>
        <v/>
      </c>
    </row>
    <row r="271">
      <c r="A271" s="13" t="n">
        <v>267</v>
      </c>
      <c r="B271" s="17">
        <f>IF(N271&lt;$K$5,$H$5+SQRT(N271*($J$5-$H$5)*($I$5-$H$5)),$J$5-SQRT((1-N271)*($J$5-$H$5)*($J$5-$I$5)))</f>
        <v/>
      </c>
      <c r="C271" s="17">
        <f>IF(O271&lt;$K$6,$H$6+SQRT(O271*($J$6-$H$6)*($I$6-$H$6)),$J$6-SQRT((1-O271)*($J$6-$H$6)*($J$6-$I$6)))</f>
        <v/>
      </c>
      <c r="D271" s="17">
        <f>IF(P271&lt;$K$7,$H$7+SQRT(P271*($J$7-$H$7)*($I$7-$H$7)),$J$7-SQRT((1-P271)*($J$7-$H$7)*($J$7-$I$7)))</f>
        <v/>
      </c>
      <c r="E271" s="17">
        <f>SUM(B271:D271)</f>
        <v/>
      </c>
      <c r="N271" s="16">
        <f>RAND()</f>
        <v/>
      </c>
      <c r="O271" s="16">
        <f>RAND()</f>
        <v/>
      </c>
      <c r="P271" s="16">
        <f>RAND()</f>
        <v/>
      </c>
    </row>
    <row r="272">
      <c r="A272" s="13" t="n">
        <v>268</v>
      </c>
      <c r="B272" s="17">
        <f>IF(N272&lt;$K$5,$H$5+SQRT(N272*($J$5-$H$5)*($I$5-$H$5)),$J$5-SQRT((1-N272)*($J$5-$H$5)*($J$5-$I$5)))</f>
        <v/>
      </c>
      <c r="C272" s="17">
        <f>IF(O272&lt;$K$6,$H$6+SQRT(O272*($J$6-$H$6)*($I$6-$H$6)),$J$6-SQRT((1-O272)*($J$6-$H$6)*($J$6-$I$6)))</f>
        <v/>
      </c>
      <c r="D272" s="17">
        <f>IF(P272&lt;$K$7,$H$7+SQRT(P272*($J$7-$H$7)*($I$7-$H$7)),$J$7-SQRT((1-P272)*($J$7-$H$7)*($J$7-$I$7)))</f>
        <v/>
      </c>
      <c r="E272" s="17">
        <f>SUM(B272:D272)</f>
        <v/>
      </c>
      <c r="N272" s="16">
        <f>RAND()</f>
        <v/>
      </c>
      <c r="O272" s="16">
        <f>RAND()</f>
        <v/>
      </c>
      <c r="P272" s="16">
        <f>RAND()</f>
        <v/>
      </c>
    </row>
    <row r="273">
      <c r="A273" s="13" t="n">
        <v>269</v>
      </c>
      <c r="B273" s="17">
        <f>IF(N273&lt;$K$5,$H$5+SQRT(N273*($J$5-$H$5)*($I$5-$H$5)),$J$5-SQRT((1-N273)*($J$5-$H$5)*($J$5-$I$5)))</f>
        <v/>
      </c>
      <c r="C273" s="17">
        <f>IF(O273&lt;$K$6,$H$6+SQRT(O273*($J$6-$H$6)*($I$6-$H$6)),$J$6-SQRT((1-O273)*($J$6-$H$6)*($J$6-$I$6)))</f>
        <v/>
      </c>
      <c r="D273" s="17">
        <f>IF(P273&lt;$K$7,$H$7+SQRT(P273*($J$7-$H$7)*($I$7-$H$7)),$J$7-SQRT((1-P273)*($J$7-$H$7)*($J$7-$I$7)))</f>
        <v/>
      </c>
      <c r="E273" s="17">
        <f>SUM(B273:D273)</f>
        <v/>
      </c>
      <c r="N273" s="16">
        <f>RAND()</f>
        <v/>
      </c>
      <c r="O273" s="16">
        <f>RAND()</f>
        <v/>
      </c>
      <c r="P273" s="16">
        <f>RAND()</f>
        <v/>
      </c>
    </row>
    <row r="274">
      <c r="A274" s="13" t="n">
        <v>270</v>
      </c>
      <c r="B274" s="17">
        <f>IF(N274&lt;$K$5,$H$5+SQRT(N274*($J$5-$H$5)*($I$5-$H$5)),$J$5-SQRT((1-N274)*($J$5-$H$5)*($J$5-$I$5)))</f>
        <v/>
      </c>
      <c r="C274" s="17">
        <f>IF(O274&lt;$K$6,$H$6+SQRT(O274*($J$6-$H$6)*($I$6-$H$6)),$J$6-SQRT((1-O274)*($J$6-$H$6)*($J$6-$I$6)))</f>
        <v/>
      </c>
      <c r="D274" s="17">
        <f>IF(P274&lt;$K$7,$H$7+SQRT(P274*($J$7-$H$7)*($I$7-$H$7)),$J$7-SQRT((1-P274)*($J$7-$H$7)*($J$7-$I$7)))</f>
        <v/>
      </c>
      <c r="E274" s="17">
        <f>SUM(B274:D274)</f>
        <v/>
      </c>
      <c r="N274" s="16">
        <f>RAND()</f>
        <v/>
      </c>
      <c r="O274" s="16">
        <f>RAND()</f>
        <v/>
      </c>
      <c r="P274" s="16">
        <f>RAND()</f>
        <v/>
      </c>
    </row>
    <row r="275">
      <c r="A275" s="13" t="n">
        <v>271</v>
      </c>
      <c r="B275" s="17">
        <f>IF(N275&lt;$K$5,$H$5+SQRT(N275*($J$5-$H$5)*($I$5-$H$5)),$J$5-SQRT((1-N275)*($J$5-$H$5)*($J$5-$I$5)))</f>
        <v/>
      </c>
      <c r="C275" s="17">
        <f>IF(O275&lt;$K$6,$H$6+SQRT(O275*($J$6-$H$6)*($I$6-$H$6)),$J$6-SQRT((1-O275)*($J$6-$H$6)*($J$6-$I$6)))</f>
        <v/>
      </c>
      <c r="D275" s="17">
        <f>IF(P275&lt;$K$7,$H$7+SQRT(P275*($J$7-$H$7)*($I$7-$H$7)),$J$7-SQRT((1-P275)*($J$7-$H$7)*($J$7-$I$7)))</f>
        <v/>
      </c>
      <c r="E275" s="17">
        <f>SUM(B275:D275)</f>
        <v/>
      </c>
      <c r="N275" s="16">
        <f>RAND()</f>
        <v/>
      </c>
      <c r="O275" s="16">
        <f>RAND()</f>
        <v/>
      </c>
      <c r="P275" s="16">
        <f>RAND()</f>
        <v/>
      </c>
    </row>
    <row r="276">
      <c r="A276" s="13" t="n">
        <v>272</v>
      </c>
      <c r="B276" s="17">
        <f>IF(N276&lt;$K$5,$H$5+SQRT(N276*($J$5-$H$5)*($I$5-$H$5)),$J$5-SQRT((1-N276)*($J$5-$H$5)*($J$5-$I$5)))</f>
        <v/>
      </c>
      <c r="C276" s="17">
        <f>IF(O276&lt;$K$6,$H$6+SQRT(O276*($J$6-$H$6)*($I$6-$H$6)),$J$6-SQRT((1-O276)*($J$6-$H$6)*($J$6-$I$6)))</f>
        <v/>
      </c>
      <c r="D276" s="17">
        <f>IF(P276&lt;$K$7,$H$7+SQRT(P276*($J$7-$H$7)*($I$7-$H$7)),$J$7-SQRT((1-P276)*($J$7-$H$7)*($J$7-$I$7)))</f>
        <v/>
      </c>
      <c r="E276" s="17">
        <f>SUM(B276:D276)</f>
        <v/>
      </c>
      <c r="N276" s="16">
        <f>RAND()</f>
        <v/>
      </c>
      <c r="O276" s="16">
        <f>RAND()</f>
        <v/>
      </c>
      <c r="P276" s="16">
        <f>RAND()</f>
        <v/>
      </c>
    </row>
    <row r="277">
      <c r="A277" s="13" t="n">
        <v>273</v>
      </c>
      <c r="B277" s="17">
        <f>IF(N277&lt;$K$5,$H$5+SQRT(N277*($J$5-$H$5)*($I$5-$H$5)),$J$5-SQRT((1-N277)*($J$5-$H$5)*($J$5-$I$5)))</f>
        <v/>
      </c>
      <c r="C277" s="17">
        <f>IF(O277&lt;$K$6,$H$6+SQRT(O277*($J$6-$H$6)*($I$6-$H$6)),$J$6-SQRT((1-O277)*($J$6-$H$6)*($J$6-$I$6)))</f>
        <v/>
      </c>
      <c r="D277" s="17">
        <f>IF(P277&lt;$K$7,$H$7+SQRT(P277*($J$7-$H$7)*($I$7-$H$7)),$J$7-SQRT((1-P277)*($J$7-$H$7)*($J$7-$I$7)))</f>
        <v/>
      </c>
      <c r="E277" s="17">
        <f>SUM(B277:D277)</f>
        <v/>
      </c>
      <c r="N277" s="16">
        <f>RAND()</f>
        <v/>
      </c>
      <c r="O277" s="16">
        <f>RAND()</f>
        <v/>
      </c>
      <c r="P277" s="16">
        <f>RAND()</f>
        <v/>
      </c>
    </row>
    <row r="278">
      <c r="A278" s="13" t="n">
        <v>274</v>
      </c>
      <c r="B278" s="17">
        <f>IF(N278&lt;$K$5,$H$5+SQRT(N278*($J$5-$H$5)*($I$5-$H$5)),$J$5-SQRT((1-N278)*($J$5-$H$5)*($J$5-$I$5)))</f>
        <v/>
      </c>
      <c r="C278" s="17">
        <f>IF(O278&lt;$K$6,$H$6+SQRT(O278*($J$6-$H$6)*($I$6-$H$6)),$J$6-SQRT((1-O278)*($J$6-$H$6)*($J$6-$I$6)))</f>
        <v/>
      </c>
      <c r="D278" s="17">
        <f>IF(P278&lt;$K$7,$H$7+SQRT(P278*($J$7-$H$7)*($I$7-$H$7)),$J$7-SQRT((1-P278)*($J$7-$H$7)*($J$7-$I$7)))</f>
        <v/>
      </c>
      <c r="E278" s="17">
        <f>SUM(B278:D278)</f>
        <v/>
      </c>
      <c r="N278" s="16">
        <f>RAND()</f>
        <v/>
      </c>
      <c r="O278" s="16">
        <f>RAND()</f>
        <v/>
      </c>
      <c r="P278" s="16">
        <f>RAND()</f>
        <v/>
      </c>
    </row>
    <row r="279">
      <c r="A279" s="13" t="n">
        <v>275</v>
      </c>
      <c r="B279" s="17">
        <f>IF(N279&lt;$K$5,$H$5+SQRT(N279*($J$5-$H$5)*($I$5-$H$5)),$J$5-SQRT((1-N279)*($J$5-$H$5)*($J$5-$I$5)))</f>
        <v/>
      </c>
      <c r="C279" s="17">
        <f>IF(O279&lt;$K$6,$H$6+SQRT(O279*($J$6-$H$6)*($I$6-$H$6)),$J$6-SQRT((1-O279)*($J$6-$H$6)*($J$6-$I$6)))</f>
        <v/>
      </c>
      <c r="D279" s="17">
        <f>IF(P279&lt;$K$7,$H$7+SQRT(P279*($J$7-$H$7)*($I$7-$H$7)),$J$7-SQRT((1-P279)*($J$7-$H$7)*($J$7-$I$7)))</f>
        <v/>
      </c>
      <c r="E279" s="17">
        <f>SUM(B279:D279)</f>
        <v/>
      </c>
      <c r="N279" s="16">
        <f>RAND()</f>
        <v/>
      </c>
      <c r="O279" s="16">
        <f>RAND()</f>
        <v/>
      </c>
      <c r="P279" s="16">
        <f>RAND()</f>
        <v/>
      </c>
    </row>
    <row r="280">
      <c r="A280" s="13" t="n">
        <v>276</v>
      </c>
      <c r="B280" s="17">
        <f>IF(N280&lt;$K$5,$H$5+SQRT(N280*($J$5-$H$5)*($I$5-$H$5)),$J$5-SQRT((1-N280)*($J$5-$H$5)*($J$5-$I$5)))</f>
        <v/>
      </c>
      <c r="C280" s="17">
        <f>IF(O280&lt;$K$6,$H$6+SQRT(O280*($J$6-$H$6)*($I$6-$H$6)),$J$6-SQRT((1-O280)*($J$6-$H$6)*($J$6-$I$6)))</f>
        <v/>
      </c>
      <c r="D280" s="17">
        <f>IF(P280&lt;$K$7,$H$7+SQRT(P280*($J$7-$H$7)*($I$7-$H$7)),$J$7-SQRT((1-P280)*($J$7-$H$7)*($J$7-$I$7)))</f>
        <v/>
      </c>
      <c r="E280" s="17">
        <f>SUM(B280:D280)</f>
        <v/>
      </c>
      <c r="N280" s="16">
        <f>RAND()</f>
        <v/>
      </c>
      <c r="O280" s="16">
        <f>RAND()</f>
        <v/>
      </c>
      <c r="P280" s="16">
        <f>RAND()</f>
        <v/>
      </c>
    </row>
    <row r="281">
      <c r="A281" s="13" t="n">
        <v>277</v>
      </c>
      <c r="B281" s="17">
        <f>IF(N281&lt;$K$5,$H$5+SQRT(N281*($J$5-$H$5)*($I$5-$H$5)),$J$5-SQRT((1-N281)*($J$5-$H$5)*($J$5-$I$5)))</f>
        <v/>
      </c>
      <c r="C281" s="17">
        <f>IF(O281&lt;$K$6,$H$6+SQRT(O281*($J$6-$H$6)*($I$6-$H$6)),$J$6-SQRT((1-O281)*($J$6-$H$6)*($J$6-$I$6)))</f>
        <v/>
      </c>
      <c r="D281" s="17">
        <f>IF(P281&lt;$K$7,$H$7+SQRT(P281*($J$7-$H$7)*($I$7-$H$7)),$J$7-SQRT((1-P281)*($J$7-$H$7)*($J$7-$I$7)))</f>
        <v/>
      </c>
      <c r="E281" s="17">
        <f>SUM(B281:D281)</f>
        <v/>
      </c>
      <c r="N281" s="16">
        <f>RAND()</f>
        <v/>
      </c>
      <c r="O281" s="16">
        <f>RAND()</f>
        <v/>
      </c>
      <c r="P281" s="16">
        <f>RAND()</f>
        <v/>
      </c>
    </row>
    <row r="282">
      <c r="A282" s="13" t="n">
        <v>278</v>
      </c>
      <c r="B282" s="17">
        <f>IF(N282&lt;$K$5,$H$5+SQRT(N282*($J$5-$H$5)*($I$5-$H$5)),$J$5-SQRT((1-N282)*($J$5-$H$5)*($J$5-$I$5)))</f>
        <v/>
      </c>
      <c r="C282" s="17">
        <f>IF(O282&lt;$K$6,$H$6+SQRT(O282*($J$6-$H$6)*($I$6-$H$6)),$J$6-SQRT((1-O282)*($J$6-$H$6)*($J$6-$I$6)))</f>
        <v/>
      </c>
      <c r="D282" s="17">
        <f>IF(P282&lt;$K$7,$H$7+SQRT(P282*($J$7-$H$7)*($I$7-$H$7)),$J$7-SQRT((1-P282)*($J$7-$H$7)*($J$7-$I$7)))</f>
        <v/>
      </c>
      <c r="E282" s="17">
        <f>SUM(B282:D282)</f>
        <v/>
      </c>
      <c r="N282" s="16">
        <f>RAND()</f>
        <v/>
      </c>
      <c r="O282" s="16">
        <f>RAND()</f>
        <v/>
      </c>
      <c r="P282" s="16">
        <f>RAND()</f>
        <v/>
      </c>
    </row>
    <row r="283">
      <c r="A283" s="13" t="n">
        <v>279</v>
      </c>
      <c r="B283" s="17">
        <f>IF(N283&lt;$K$5,$H$5+SQRT(N283*($J$5-$H$5)*($I$5-$H$5)),$J$5-SQRT((1-N283)*($J$5-$H$5)*($J$5-$I$5)))</f>
        <v/>
      </c>
      <c r="C283" s="17">
        <f>IF(O283&lt;$K$6,$H$6+SQRT(O283*($J$6-$H$6)*($I$6-$H$6)),$J$6-SQRT((1-O283)*($J$6-$H$6)*($J$6-$I$6)))</f>
        <v/>
      </c>
      <c r="D283" s="17">
        <f>IF(P283&lt;$K$7,$H$7+SQRT(P283*($J$7-$H$7)*($I$7-$H$7)),$J$7-SQRT((1-P283)*($J$7-$H$7)*($J$7-$I$7)))</f>
        <v/>
      </c>
      <c r="E283" s="17">
        <f>SUM(B283:D283)</f>
        <v/>
      </c>
      <c r="N283" s="16">
        <f>RAND()</f>
        <v/>
      </c>
      <c r="O283" s="16">
        <f>RAND()</f>
        <v/>
      </c>
      <c r="P283" s="16">
        <f>RAND()</f>
        <v/>
      </c>
    </row>
    <row r="284">
      <c r="A284" s="13" t="n">
        <v>280</v>
      </c>
      <c r="B284" s="17">
        <f>IF(N284&lt;$K$5,$H$5+SQRT(N284*($J$5-$H$5)*($I$5-$H$5)),$J$5-SQRT((1-N284)*($J$5-$H$5)*($J$5-$I$5)))</f>
        <v/>
      </c>
      <c r="C284" s="17">
        <f>IF(O284&lt;$K$6,$H$6+SQRT(O284*($J$6-$H$6)*($I$6-$H$6)),$J$6-SQRT((1-O284)*($J$6-$H$6)*($J$6-$I$6)))</f>
        <v/>
      </c>
      <c r="D284" s="17">
        <f>IF(P284&lt;$K$7,$H$7+SQRT(P284*($J$7-$H$7)*($I$7-$H$7)),$J$7-SQRT((1-P284)*($J$7-$H$7)*($J$7-$I$7)))</f>
        <v/>
      </c>
      <c r="E284" s="17">
        <f>SUM(B284:D284)</f>
        <v/>
      </c>
      <c r="N284" s="16">
        <f>RAND()</f>
        <v/>
      </c>
      <c r="O284" s="16">
        <f>RAND()</f>
        <v/>
      </c>
      <c r="P284" s="16">
        <f>RAND()</f>
        <v/>
      </c>
    </row>
    <row r="285">
      <c r="A285" s="13" t="n">
        <v>281</v>
      </c>
      <c r="B285" s="17">
        <f>IF(N285&lt;$K$5,$H$5+SQRT(N285*($J$5-$H$5)*($I$5-$H$5)),$J$5-SQRT((1-N285)*($J$5-$H$5)*($J$5-$I$5)))</f>
        <v/>
      </c>
      <c r="C285" s="17">
        <f>IF(O285&lt;$K$6,$H$6+SQRT(O285*($J$6-$H$6)*($I$6-$H$6)),$J$6-SQRT((1-O285)*($J$6-$H$6)*($J$6-$I$6)))</f>
        <v/>
      </c>
      <c r="D285" s="17">
        <f>IF(P285&lt;$K$7,$H$7+SQRT(P285*($J$7-$H$7)*($I$7-$H$7)),$J$7-SQRT((1-P285)*($J$7-$H$7)*($J$7-$I$7)))</f>
        <v/>
      </c>
      <c r="E285" s="17">
        <f>SUM(B285:D285)</f>
        <v/>
      </c>
      <c r="N285" s="16">
        <f>RAND()</f>
        <v/>
      </c>
      <c r="O285" s="16">
        <f>RAND()</f>
        <v/>
      </c>
      <c r="P285" s="16">
        <f>RAND()</f>
        <v/>
      </c>
    </row>
    <row r="286">
      <c r="A286" s="13" t="n">
        <v>282</v>
      </c>
      <c r="B286" s="17">
        <f>IF(N286&lt;$K$5,$H$5+SQRT(N286*($J$5-$H$5)*($I$5-$H$5)),$J$5-SQRT((1-N286)*($J$5-$H$5)*($J$5-$I$5)))</f>
        <v/>
      </c>
      <c r="C286" s="17">
        <f>IF(O286&lt;$K$6,$H$6+SQRT(O286*($J$6-$H$6)*($I$6-$H$6)),$J$6-SQRT((1-O286)*($J$6-$H$6)*($J$6-$I$6)))</f>
        <v/>
      </c>
      <c r="D286" s="17">
        <f>IF(P286&lt;$K$7,$H$7+SQRT(P286*($J$7-$H$7)*($I$7-$H$7)),$J$7-SQRT((1-P286)*($J$7-$H$7)*($J$7-$I$7)))</f>
        <v/>
      </c>
      <c r="E286" s="17">
        <f>SUM(B286:D286)</f>
        <v/>
      </c>
      <c r="N286" s="16">
        <f>RAND()</f>
        <v/>
      </c>
      <c r="O286" s="16">
        <f>RAND()</f>
        <v/>
      </c>
      <c r="P286" s="16">
        <f>RAND()</f>
        <v/>
      </c>
    </row>
    <row r="287">
      <c r="A287" s="13" t="n">
        <v>283</v>
      </c>
      <c r="B287" s="17">
        <f>IF(N287&lt;$K$5,$H$5+SQRT(N287*($J$5-$H$5)*($I$5-$H$5)),$J$5-SQRT((1-N287)*($J$5-$H$5)*($J$5-$I$5)))</f>
        <v/>
      </c>
      <c r="C287" s="17">
        <f>IF(O287&lt;$K$6,$H$6+SQRT(O287*($J$6-$H$6)*($I$6-$H$6)),$J$6-SQRT((1-O287)*($J$6-$H$6)*($J$6-$I$6)))</f>
        <v/>
      </c>
      <c r="D287" s="17">
        <f>IF(P287&lt;$K$7,$H$7+SQRT(P287*($J$7-$H$7)*($I$7-$H$7)),$J$7-SQRT((1-P287)*($J$7-$H$7)*($J$7-$I$7)))</f>
        <v/>
      </c>
      <c r="E287" s="17">
        <f>SUM(B287:D287)</f>
        <v/>
      </c>
      <c r="N287" s="16">
        <f>RAND()</f>
        <v/>
      </c>
      <c r="O287" s="16">
        <f>RAND()</f>
        <v/>
      </c>
      <c r="P287" s="16">
        <f>RAND()</f>
        <v/>
      </c>
    </row>
    <row r="288">
      <c r="A288" s="13" t="n">
        <v>284</v>
      </c>
      <c r="B288" s="17">
        <f>IF(N288&lt;$K$5,$H$5+SQRT(N288*($J$5-$H$5)*($I$5-$H$5)),$J$5-SQRT((1-N288)*($J$5-$H$5)*($J$5-$I$5)))</f>
        <v/>
      </c>
      <c r="C288" s="17">
        <f>IF(O288&lt;$K$6,$H$6+SQRT(O288*($J$6-$H$6)*($I$6-$H$6)),$J$6-SQRT((1-O288)*($J$6-$H$6)*($J$6-$I$6)))</f>
        <v/>
      </c>
      <c r="D288" s="17">
        <f>IF(P288&lt;$K$7,$H$7+SQRT(P288*($J$7-$H$7)*($I$7-$H$7)),$J$7-SQRT((1-P288)*($J$7-$H$7)*($J$7-$I$7)))</f>
        <v/>
      </c>
      <c r="E288" s="17">
        <f>SUM(B288:D288)</f>
        <v/>
      </c>
      <c r="N288" s="16">
        <f>RAND()</f>
        <v/>
      </c>
      <c r="O288" s="16">
        <f>RAND()</f>
        <v/>
      </c>
      <c r="P288" s="16">
        <f>RAND()</f>
        <v/>
      </c>
    </row>
    <row r="289">
      <c r="A289" s="13" t="n">
        <v>285</v>
      </c>
      <c r="B289" s="17">
        <f>IF(N289&lt;$K$5,$H$5+SQRT(N289*($J$5-$H$5)*($I$5-$H$5)),$J$5-SQRT((1-N289)*($J$5-$H$5)*($J$5-$I$5)))</f>
        <v/>
      </c>
      <c r="C289" s="17">
        <f>IF(O289&lt;$K$6,$H$6+SQRT(O289*($J$6-$H$6)*($I$6-$H$6)),$J$6-SQRT((1-O289)*($J$6-$H$6)*($J$6-$I$6)))</f>
        <v/>
      </c>
      <c r="D289" s="17">
        <f>IF(P289&lt;$K$7,$H$7+SQRT(P289*($J$7-$H$7)*($I$7-$H$7)),$J$7-SQRT((1-P289)*($J$7-$H$7)*($J$7-$I$7)))</f>
        <v/>
      </c>
      <c r="E289" s="17">
        <f>SUM(B289:D289)</f>
        <v/>
      </c>
      <c r="N289" s="16">
        <f>RAND()</f>
        <v/>
      </c>
      <c r="O289" s="16">
        <f>RAND()</f>
        <v/>
      </c>
      <c r="P289" s="16">
        <f>RAND()</f>
        <v/>
      </c>
    </row>
    <row r="290">
      <c r="A290" s="13" t="n">
        <v>286</v>
      </c>
      <c r="B290" s="17">
        <f>IF(N290&lt;$K$5,$H$5+SQRT(N290*($J$5-$H$5)*($I$5-$H$5)),$J$5-SQRT((1-N290)*($J$5-$H$5)*($J$5-$I$5)))</f>
        <v/>
      </c>
      <c r="C290" s="17">
        <f>IF(O290&lt;$K$6,$H$6+SQRT(O290*($J$6-$H$6)*($I$6-$H$6)),$J$6-SQRT((1-O290)*($J$6-$H$6)*($J$6-$I$6)))</f>
        <v/>
      </c>
      <c r="D290" s="17">
        <f>IF(P290&lt;$K$7,$H$7+SQRT(P290*($J$7-$H$7)*($I$7-$H$7)),$J$7-SQRT((1-P290)*($J$7-$H$7)*($J$7-$I$7)))</f>
        <v/>
      </c>
      <c r="E290" s="17">
        <f>SUM(B290:D290)</f>
        <v/>
      </c>
      <c r="N290" s="16">
        <f>RAND()</f>
        <v/>
      </c>
      <c r="O290" s="16">
        <f>RAND()</f>
        <v/>
      </c>
      <c r="P290" s="16">
        <f>RAND()</f>
        <v/>
      </c>
    </row>
    <row r="291">
      <c r="A291" s="13" t="n">
        <v>287</v>
      </c>
      <c r="B291" s="17">
        <f>IF(N291&lt;$K$5,$H$5+SQRT(N291*($J$5-$H$5)*($I$5-$H$5)),$J$5-SQRT((1-N291)*($J$5-$H$5)*($J$5-$I$5)))</f>
        <v/>
      </c>
      <c r="C291" s="17">
        <f>IF(O291&lt;$K$6,$H$6+SQRT(O291*($J$6-$H$6)*($I$6-$H$6)),$J$6-SQRT((1-O291)*($J$6-$H$6)*($J$6-$I$6)))</f>
        <v/>
      </c>
      <c r="D291" s="17">
        <f>IF(P291&lt;$K$7,$H$7+SQRT(P291*($J$7-$H$7)*($I$7-$H$7)),$J$7-SQRT((1-P291)*($J$7-$H$7)*($J$7-$I$7)))</f>
        <v/>
      </c>
      <c r="E291" s="17">
        <f>SUM(B291:D291)</f>
        <v/>
      </c>
      <c r="N291" s="16">
        <f>RAND()</f>
        <v/>
      </c>
      <c r="O291" s="16">
        <f>RAND()</f>
        <v/>
      </c>
      <c r="P291" s="16">
        <f>RAND()</f>
        <v/>
      </c>
    </row>
    <row r="292">
      <c r="A292" s="13" t="n">
        <v>288</v>
      </c>
      <c r="B292" s="17">
        <f>IF(N292&lt;$K$5,$H$5+SQRT(N292*($J$5-$H$5)*($I$5-$H$5)),$J$5-SQRT((1-N292)*($J$5-$H$5)*($J$5-$I$5)))</f>
        <v/>
      </c>
      <c r="C292" s="17">
        <f>IF(O292&lt;$K$6,$H$6+SQRT(O292*($J$6-$H$6)*($I$6-$H$6)),$J$6-SQRT((1-O292)*($J$6-$H$6)*($J$6-$I$6)))</f>
        <v/>
      </c>
      <c r="D292" s="17">
        <f>IF(P292&lt;$K$7,$H$7+SQRT(P292*($J$7-$H$7)*($I$7-$H$7)),$J$7-SQRT((1-P292)*($J$7-$H$7)*($J$7-$I$7)))</f>
        <v/>
      </c>
      <c r="E292" s="17">
        <f>SUM(B292:D292)</f>
        <v/>
      </c>
      <c r="N292" s="16">
        <f>RAND()</f>
        <v/>
      </c>
      <c r="O292" s="16">
        <f>RAND()</f>
        <v/>
      </c>
      <c r="P292" s="16">
        <f>RAND()</f>
        <v/>
      </c>
    </row>
    <row r="293">
      <c r="A293" s="13" t="n">
        <v>289</v>
      </c>
      <c r="B293" s="17">
        <f>IF(N293&lt;$K$5,$H$5+SQRT(N293*($J$5-$H$5)*($I$5-$H$5)),$J$5-SQRT((1-N293)*($J$5-$H$5)*($J$5-$I$5)))</f>
        <v/>
      </c>
      <c r="C293" s="17">
        <f>IF(O293&lt;$K$6,$H$6+SQRT(O293*($J$6-$H$6)*($I$6-$H$6)),$J$6-SQRT((1-O293)*($J$6-$H$6)*($J$6-$I$6)))</f>
        <v/>
      </c>
      <c r="D293" s="17">
        <f>IF(P293&lt;$K$7,$H$7+SQRT(P293*($J$7-$H$7)*($I$7-$H$7)),$J$7-SQRT((1-P293)*($J$7-$H$7)*($J$7-$I$7)))</f>
        <v/>
      </c>
      <c r="E293" s="17">
        <f>SUM(B293:D293)</f>
        <v/>
      </c>
      <c r="N293" s="16">
        <f>RAND()</f>
        <v/>
      </c>
      <c r="O293" s="16">
        <f>RAND()</f>
        <v/>
      </c>
      <c r="P293" s="16">
        <f>RAND()</f>
        <v/>
      </c>
    </row>
    <row r="294">
      <c r="A294" s="13" t="n">
        <v>290</v>
      </c>
      <c r="B294" s="17">
        <f>IF(N294&lt;$K$5,$H$5+SQRT(N294*($J$5-$H$5)*($I$5-$H$5)),$J$5-SQRT((1-N294)*($J$5-$H$5)*($J$5-$I$5)))</f>
        <v/>
      </c>
      <c r="C294" s="17">
        <f>IF(O294&lt;$K$6,$H$6+SQRT(O294*($J$6-$H$6)*($I$6-$H$6)),$J$6-SQRT((1-O294)*($J$6-$H$6)*($J$6-$I$6)))</f>
        <v/>
      </c>
      <c r="D294" s="17">
        <f>IF(P294&lt;$K$7,$H$7+SQRT(P294*($J$7-$H$7)*($I$7-$H$7)),$J$7-SQRT((1-P294)*($J$7-$H$7)*($J$7-$I$7)))</f>
        <v/>
      </c>
      <c r="E294" s="17">
        <f>SUM(B294:D294)</f>
        <v/>
      </c>
      <c r="N294" s="16">
        <f>RAND()</f>
        <v/>
      </c>
      <c r="O294" s="16">
        <f>RAND()</f>
        <v/>
      </c>
      <c r="P294" s="16">
        <f>RAND()</f>
        <v/>
      </c>
    </row>
    <row r="295">
      <c r="A295" s="13" t="n">
        <v>291</v>
      </c>
      <c r="B295" s="17">
        <f>IF(N295&lt;$K$5,$H$5+SQRT(N295*($J$5-$H$5)*($I$5-$H$5)),$J$5-SQRT((1-N295)*($J$5-$H$5)*($J$5-$I$5)))</f>
        <v/>
      </c>
      <c r="C295" s="17">
        <f>IF(O295&lt;$K$6,$H$6+SQRT(O295*($J$6-$H$6)*($I$6-$H$6)),$J$6-SQRT((1-O295)*($J$6-$H$6)*($J$6-$I$6)))</f>
        <v/>
      </c>
      <c r="D295" s="17">
        <f>IF(P295&lt;$K$7,$H$7+SQRT(P295*($J$7-$H$7)*($I$7-$H$7)),$J$7-SQRT((1-P295)*($J$7-$H$7)*($J$7-$I$7)))</f>
        <v/>
      </c>
      <c r="E295" s="17">
        <f>SUM(B295:D295)</f>
        <v/>
      </c>
      <c r="N295" s="16">
        <f>RAND()</f>
        <v/>
      </c>
      <c r="O295" s="16">
        <f>RAND()</f>
        <v/>
      </c>
      <c r="P295" s="16">
        <f>RAND()</f>
        <v/>
      </c>
    </row>
    <row r="296">
      <c r="A296" s="13" t="n">
        <v>292</v>
      </c>
      <c r="B296" s="17">
        <f>IF(N296&lt;$K$5,$H$5+SQRT(N296*($J$5-$H$5)*($I$5-$H$5)),$J$5-SQRT((1-N296)*($J$5-$H$5)*($J$5-$I$5)))</f>
        <v/>
      </c>
      <c r="C296" s="17">
        <f>IF(O296&lt;$K$6,$H$6+SQRT(O296*($J$6-$H$6)*($I$6-$H$6)),$J$6-SQRT((1-O296)*($J$6-$H$6)*($J$6-$I$6)))</f>
        <v/>
      </c>
      <c r="D296" s="17">
        <f>IF(P296&lt;$K$7,$H$7+SQRT(P296*($J$7-$H$7)*($I$7-$H$7)),$J$7-SQRT((1-P296)*($J$7-$H$7)*($J$7-$I$7)))</f>
        <v/>
      </c>
      <c r="E296" s="17">
        <f>SUM(B296:D296)</f>
        <v/>
      </c>
      <c r="N296" s="16">
        <f>RAND()</f>
        <v/>
      </c>
      <c r="O296" s="16">
        <f>RAND()</f>
        <v/>
      </c>
      <c r="P296" s="16">
        <f>RAND()</f>
        <v/>
      </c>
    </row>
    <row r="297">
      <c r="A297" s="13" t="n">
        <v>293</v>
      </c>
      <c r="B297" s="17">
        <f>IF(N297&lt;$K$5,$H$5+SQRT(N297*($J$5-$H$5)*($I$5-$H$5)),$J$5-SQRT((1-N297)*($J$5-$H$5)*($J$5-$I$5)))</f>
        <v/>
      </c>
      <c r="C297" s="17">
        <f>IF(O297&lt;$K$6,$H$6+SQRT(O297*($J$6-$H$6)*($I$6-$H$6)),$J$6-SQRT((1-O297)*($J$6-$H$6)*($J$6-$I$6)))</f>
        <v/>
      </c>
      <c r="D297" s="17">
        <f>IF(P297&lt;$K$7,$H$7+SQRT(P297*($J$7-$H$7)*($I$7-$H$7)),$J$7-SQRT((1-P297)*($J$7-$H$7)*($J$7-$I$7)))</f>
        <v/>
      </c>
      <c r="E297" s="17">
        <f>SUM(B297:D297)</f>
        <v/>
      </c>
      <c r="N297" s="16">
        <f>RAND()</f>
        <v/>
      </c>
      <c r="O297" s="16">
        <f>RAND()</f>
        <v/>
      </c>
      <c r="P297" s="16">
        <f>RAND()</f>
        <v/>
      </c>
    </row>
    <row r="298">
      <c r="A298" s="13" t="n">
        <v>294</v>
      </c>
      <c r="B298" s="17">
        <f>IF(N298&lt;$K$5,$H$5+SQRT(N298*($J$5-$H$5)*($I$5-$H$5)),$J$5-SQRT((1-N298)*($J$5-$H$5)*($J$5-$I$5)))</f>
        <v/>
      </c>
      <c r="C298" s="17">
        <f>IF(O298&lt;$K$6,$H$6+SQRT(O298*($J$6-$H$6)*($I$6-$H$6)),$J$6-SQRT((1-O298)*($J$6-$H$6)*($J$6-$I$6)))</f>
        <v/>
      </c>
      <c r="D298" s="17">
        <f>IF(P298&lt;$K$7,$H$7+SQRT(P298*($J$7-$H$7)*($I$7-$H$7)),$J$7-SQRT((1-P298)*($J$7-$H$7)*($J$7-$I$7)))</f>
        <v/>
      </c>
      <c r="E298" s="17">
        <f>SUM(B298:D298)</f>
        <v/>
      </c>
      <c r="N298" s="16">
        <f>RAND()</f>
        <v/>
      </c>
      <c r="O298" s="16">
        <f>RAND()</f>
        <v/>
      </c>
      <c r="P298" s="16">
        <f>RAND()</f>
        <v/>
      </c>
    </row>
    <row r="299">
      <c r="A299" s="13" t="n">
        <v>295</v>
      </c>
      <c r="B299" s="17">
        <f>IF(N299&lt;$K$5,$H$5+SQRT(N299*($J$5-$H$5)*($I$5-$H$5)),$J$5-SQRT((1-N299)*($J$5-$H$5)*($J$5-$I$5)))</f>
        <v/>
      </c>
      <c r="C299" s="17">
        <f>IF(O299&lt;$K$6,$H$6+SQRT(O299*($J$6-$H$6)*($I$6-$H$6)),$J$6-SQRT((1-O299)*($J$6-$H$6)*($J$6-$I$6)))</f>
        <v/>
      </c>
      <c r="D299" s="17">
        <f>IF(P299&lt;$K$7,$H$7+SQRT(P299*($J$7-$H$7)*($I$7-$H$7)),$J$7-SQRT((1-P299)*($J$7-$H$7)*($J$7-$I$7)))</f>
        <v/>
      </c>
      <c r="E299" s="17">
        <f>SUM(B299:D299)</f>
        <v/>
      </c>
      <c r="N299" s="16">
        <f>RAND()</f>
        <v/>
      </c>
      <c r="O299" s="16">
        <f>RAND()</f>
        <v/>
      </c>
      <c r="P299" s="16">
        <f>RAND()</f>
        <v/>
      </c>
    </row>
    <row r="300">
      <c r="A300" s="13" t="n">
        <v>296</v>
      </c>
      <c r="B300" s="17">
        <f>IF(N300&lt;$K$5,$H$5+SQRT(N300*($J$5-$H$5)*($I$5-$H$5)),$J$5-SQRT((1-N300)*($J$5-$H$5)*($J$5-$I$5)))</f>
        <v/>
      </c>
      <c r="C300" s="17">
        <f>IF(O300&lt;$K$6,$H$6+SQRT(O300*($J$6-$H$6)*($I$6-$H$6)),$J$6-SQRT((1-O300)*($J$6-$H$6)*($J$6-$I$6)))</f>
        <v/>
      </c>
      <c r="D300" s="17">
        <f>IF(P300&lt;$K$7,$H$7+SQRT(P300*($J$7-$H$7)*($I$7-$H$7)),$J$7-SQRT((1-P300)*($J$7-$H$7)*($J$7-$I$7)))</f>
        <v/>
      </c>
      <c r="E300" s="17">
        <f>SUM(B300:D300)</f>
        <v/>
      </c>
      <c r="N300" s="16">
        <f>RAND()</f>
        <v/>
      </c>
      <c r="O300" s="16">
        <f>RAND()</f>
        <v/>
      </c>
      <c r="P300" s="16">
        <f>RAND()</f>
        <v/>
      </c>
    </row>
    <row r="301">
      <c r="A301" s="13" t="n">
        <v>297</v>
      </c>
      <c r="B301" s="17">
        <f>IF(N301&lt;$K$5,$H$5+SQRT(N301*($J$5-$H$5)*($I$5-$H$5)),$J$5-SQRT((1-N301)*($J$5-$H$5)*($J$5-$I$5)))</f>
        <v/>
      </c>
      <c r="C301" s="17">
        <f>IF(O301&lt;$K$6,$H$6+SQRT(O301*($J$6-$H$6)*($I$6-$H$6)),$J$6-SQRT((1-O301)*($J$6-$H$6)*($J$6-$I$6)))</f>
        <v/>
      </c>
      <c r="D301" s="17">
        <f>IF(P301&lt;$K$7,$H$7+SQRT(P301*($J$7-$H$7)*($I$7-$H$7)),$J$7-SQRT((1-P301)*($J$7-$H$7)*($J$7-$I$7)))</f>
        <v/>
      </c>
      <c r="E301" s="17">
        <f>SUM(B301:D301)</f>
        <v/>
      </c>
      <c r="N301" s="16">
        <f>RAND()</f>
        <v/>
      </c>
      <c r="O301" s="16">
        <f>RAND()</f>
        <v/>
      </c>
      <c r="P301" s="16">
        <f>RAND()</f>
        <v/>
      </c>
    </row>
    <row r="302">
      <c r="A302" s="13" t="n">
        <v>298</v>
      </c>
      <c r="B302" s="17">
        <f>IF(N302&lt;$K$5,$H$5+SQRT(N302*($J$5-$H$5)*($I$5-$H$5)),$J$5-SQRT((1-N302)*($J$5-$H$5)*($J$5-$I$5)))</f>
        <v/>
      </c>
      <c r="C302" s="17">
        <f>IF(O302&lt;$K$6,$H$6+SQRT(O302*($J$6-$H$6)*($I$6-$H$6)),$J$6-SQRT((1-O302)*($J$6-$H$6)*($J$6-$I$6)))</f>
        <v/>
      </c>
      <c r="D302" s="17">
        <f>IF(P302&lt;$K$7,$H$7+SQRT(P302*($J$7-$H$7)*($I$7-$H$7)),$J$7-SQRT((1-P302)*($J$7-$H$7)*($J$7-$I$7)))</f>
        <v/>
      </c>
      <c r="E302" s="17">
        <f>SUM(B302:D302)</f>
        <v/>
      </c>
      <c r="N302" s="16">
        <f>RAND()</f>
        <v/>
      </c>
      <c r="O302" s="16">
        <f>RAND()</f>
        <v/>
      </c>
      <c r="P302" s="16">
        <f>RAND()</f>
        <v/>
      </c>
    </row>
    <row r="303">
      <c r="A303" s="13" t="n">
        <v>299</v>
      </c>
      <c r="B303" s="17">
        <f>IF(N303&lt;$K$5,$H$5+SQRT(N303*($J$5-$H$5)*($I$5-$H$5)),$J$5-SQRT((1-N303)*($J$5-$H$5)*($J$5-$I$5)))</f>
        <v/>
      </c>
      <c r="C303" s="17">
        <f>IF(O303&lt;$K$6,$H$6+SQRT(O303*($J$6-$H$6)*($I$6-$H$6)),$J$6-SQRT((1-O303)*($J$6-$H$6)*($J$6-$I$6)))</f>
        <v/>
      </c>
      <c r="D303" s="17">
        <f>IF(P303&lt;$K$7,$H$7+SQRT(P303*($J$7-$H$7)*($I$7-$H$7)),$J$7-SQRT((1-P303)*($J$7-$H$7)*($J$7-$I$7)))</f>
        <v/>
      </c>
      <c r="E303" s="17">
        <f>SUM(B303:D303)</f>
        <v/>
      </c>
      <c r="N303" s="16">
        <f>RAND()</f>
        <v/>
      </c>
      <c r="O303" s="16">
        <f>RAND()</f>
        <v/>
      </c>
      <c r="P303" s="16">
        <f>RAND()</f>
        <v/>
      </c>
    </row>
    <row r="304">
      <c r="A304" s="13" t="n">
        <v>300</v>
      </c>
      <c r="B304" s="17">
        <f>IF(N304&lt;$K$5,$H$5+SQRT(N304*($J$5-$H$5)*($I$5-$H$5)),$J$5-SQRT((1-N304)*($J$5-$H$5)*($J$5-$I$5)))</f>
        <v/>
      </c>
      <c r="C304" s="17">
        <f>IF(O304&lt;$K$6,$H$6+SQRT(O304*($J$6-$H$6)*($I$6-$H$6)),$J$6-SQRT((1-O304)*($J$6-$H$6)*($J$6-$I$6)))</f>
        <v/>
      </c>
      <c r="D304" s="17">
        <f>IF(P304&lt;$K$7,$H$7+SQRT(P304*($J$7-$H$7)*($I$7-$H$7)),$J$7-SQRT((1-P304)*($J$7-$H$7)*($J$7-$I$7)))</f>
        <v/>
      </c>
      <c r="E304" s="17">
        <f>SUM(B304:D304)</f>
        <v/>
      </c>
      <c r="N304" s="16">
        <f>RAND()</f>
        <v/>
      </c>
      <c r="O304" s="16">
        <f>RAND()</f>
        <v/>
      </c>
      <c r="P304" s="16">
        <f>RAND()</f>
        <v/>
      </c>
    </row>
    <row r="305">
      <c r="A305" s="13" t="n">
        <v>301</v>
      </c>
      <c r="B305" s="17">
        <f>IF(N305&lt;$K$5,$H$5+SQRT(N305*($J$5-$H$5)*($I$5-$H$5)),$J$5-SQRT((1-N305)*($J$5-$H$5)*($J$5-$I$5)))</f>
        <v/>
      </c>
      <c r="C305" s="17">
        <f>IF(O305&lt;$K$6,$H$6+SQRT(O305*($J$6-$H$6)*($I$6-$H$6)),$J$6-SQRT((1-O305)*($J$6-$H$6)*($J$6-$I$6)))</f>
        <v/>
      </c>
      <c r="D305" s="17">
        <f>IF(P305&lt;$K$7,$H$7+SQRT(P305*($J$7-$H$7)*($I$7-$H$7)),$J$7-SQRT((1-P305)*($J$7-$H$7)*($J$7-$I$7)))</f>
        <v/>
      </c>
      <c r="E305" s="17">
        <f>SUM(B305:D305)</f>
        <v/>
      </c>
      <c r="N305" s="16">
        <f>RAND()</f>
        <v/>
      </c>
      <c r="O305" s="16">
        <f>RAND()</f>
        <v/>
      </c>
      <c r="P305" s="16">
        <f>RAND()</f>
        <v/>
      </c>
    </row>
    <row r="306">
      <c r="A306" s="13" t="n">
        <v>302</v>
      </c>
      <c r="B306" s="17">
        <f>IF(N306&lt;$K$5,$H$5+SQRT(N306*($J$5-$H$5)*($I$5-$H$5)),$J$5-SQRT((1-N306)*($J$5-$H$5)*($J$5-$I$5)))</f>
        <v/>
      </c>
      <c r="C306" s="17">
        <f>IF(O306&lt;$K$6,$H$6+SQRT(O306*($J$6-$H$6)*($I$6-$H$6)),$J$6-SQRT((1-O306)*($J$6-$H$6)*($J$6-$I$6)))</f>
        <v/>
      </c>
      <c r="D306" s="17">
        <f>IF(P306&lt;$K$7,$H$7+SQRT(P306*($J$7-$H$7)*($I$7-$H$7)),$J$7-SQRT((1-P306)*($J$7-$H$7)*($J$7-$I$7)))</f>
        <v/>
      </c>
      <c r="E306" s="17">
        <f>SUM(B306:D306)</f>
        <v/>
      </c>
      <c r="N306" s="16">
        <f>RAND()</f>
        <v/>
      </c>
      <c r="O306" s="16">
        <f>RAND()</f>
        <v/>
      </c>
      <c r="P306" s="16">
        <f>RAND()</f>
        <v/>
      </c>
    </row>
    <row r="307">
      <c r="A307" s="13" t="n">
        <v>303</v>
      </c>
      <c r="B307" s="17">
        <f>IF(N307&lt;$K$5,$H$5+SQRT(N307*($J$5-$H$5)*($I$5-$H$5)),$J$5-SQRT((1-N307)*($J$5-$H$5)*($J$5-$I$5)))</f>
        <v/>
      </c>
      <c r="C307" s="17">
        <f>IF(O307&lt;$K$6,$H$6+SQRT(O307*($J$6-$H$6)*($I$6-$H$6)),$J$6-SQRT((1-O307)*($J$6-$H$6)*($J$6-$I$6)))</f>
        <v/>
      </c>
      <c r="D307" s="17">
        <f>IF(P307&lt;$K$7,$H$7+SQRT(P307*($J$7-$H$7)*($I$7-$H$7)),$J$7-SQRT((1-P307)*($J$7-$H$7)*($J$7-$I$7)))</f>
        <v/>
      </c>
      <c r="E307" s="17">
        <f>SUM(B307:D307)</f>
        <v/>
      </c>
      <c r="N307" s="16">
        <f>RAND()</f>
        <v/>
      </c>
      <c r="O307" s="16">
        <f>RAND()</f>
        <v/>
      </c>
      <c r="P307" s="16">
        <f>RAND()</f>
        <v/>
      </c>
    </row>
    <row r="308">
      <c r="A308" s="13" t="n">
        <v>304</v>
      </c>
      <c r="B308" s="17">
        <f>IF(N308&lt;$K$5,$H$5+SQRT(N308*($J$5-$H$5)*($I$5-$H$5)),$J$5-SQRT((1-N308)*($J$5-$H$5)*($J$5-$I$5)))</f>
        <v/>
      </c>
      <c r="C308" s="17">
        <f>IF(O308&lt;$K$6,$H$6+SQRT(O308*($J$6-$H$6)*($I$6-$H$6)),$J$6-SQRT((1-O308)*($J$6-$H$6)*($J$6-$I$6)))</f>
        <v/>
      </c>
      <c r="D308" s="17">
        <f>IF(P308&lt;$K$7,$H$7+SQRT(P308*($J$7-$H$7)*($I$7-$H$7)),$J$7-SQRT((1-P308)*($J$7-$H$7)*($J$7-$I$7)))</f>
        <v/>
      </c>
      <c r="E308" s="17">
        <f>SUM(B308:D308)</f>
        <v/>
      </c>
      <c r="N308" s="16">
        <f>RAND()</f>
        <v/>
      </c>
      <c r="O308" s="16">
        <f>RAND()</f>
        <v/>
      </c>
      <c r="P308" s="16">
        <f>RAND()</f>
        <v/>
      </c>
    </row>
    <row r="309">
      <c r="A309" s="13" t="n">
        <v>305</v>
      </c>
      <c r="B309" s="17">
        <f>IF(N309&lt;$K$5,$H$5+SQRT(N309*($J$5-$H$5)*($I$5-$H$5)),$J$5-SQRT((1-N309)*($J$5-$H$5)*($J$5-$I$5)))</f>
        <v/>
      </c>
      <c r="C309" s="17">
        <f>IF(O309&lt;$K$6,$H$6+SQRT(O309*($J$6-$H$6)*($I$6-$H$6)),$J$6-SQRT((1-O309)*($J$6-$H$6)*($J$6-$I$6)))</f>
        <v/>
      </c>
      <c r="D309" s="17">
        <f>IF(P309&lt;$K$7,$H$7+SQRT(P309*($J$7-$H$7)*($I$7-$H$7)),$J$7-SQRT((1-P309)*($J$7-$H$7)*($J$7-$I$7)))</f>
        <v/>
      </c>
      <c r="E309" s="17">
        <f>SUM(B309:D309)</f>
        <v/>
      </c>
      <c r="N309" s="16">
        <f>RAND()</f>
        <v/>
      </c>
      <c r="O309" s="16">
        <f>RAND()</f>
        <v/>
      </c>
      <c r="P309" s="16">
        <f>RAND()</f>
        <v/>
      </c>
    </row>
    <row r="310">
      <c r="A310" s="13" t="n">
        <v>306</v>
      </c>
      <c r="B310" s="17">
        <f>IF(N310&lt;$K$5,$H$5+SQRT(N310*($J$5-$H$5)*($I$5-$H$5)),$J$5-SQRT((1-N310)*($J$5-$H$5)*($J$5-$I$5)))</f>
        <v/>
      </c>
      <c r="C310" s="17">
        <f>IF(O310&lt;$K$6,$H$6+SQRT(O310*($J$6-$H$6)*($I$6-$H$6)),$J$6-SQRT((1-O310)*($J$6-$H$6)*($J$6-$I$6)))</f>
        <v/>
      </c>
      <c r="D310" s="17">
        <f>IF(P310&lt;$K$7,$H$7+SQRT(P310*($J$7-$H$7)*($I$7-$H$7)),$J$7-SQRT((1-P310)*($J$7-$H$7)*($J$7-$I$7)))</f>
        <v/>
      </c>
      <c r="E310" s="17">
        <f>SUM(B310:D310)</f>
        <v/>
      </c>
      <c r="N310" s="16">
        <f>RAND()</f>
        <v/>
      </c>
      <c r="O310" s="16">
        <f>RAND()</f>
        <v/>
      </c>
      <c r="P310" s="16">
        <f>RAND()</f>
        <v/>
      </c>
    </row>
    <row r="311">
      <c r="A311" s="13" t="n">
        <v>307</v>
      </c>
      <c r="B311" s="17">
        <f>IF(N311&lt;$K$5,$H$5+SQRT(N311*($J$5-$H$5)*($I$5-$H$5)),$J$5-SQRT((1-N311)*($J$5-$H$5)*($J$5-$I$5)))</f>
        <v/>
      </c>
      <c r="C311" s="17">
        <f>IF(O311&lt;$K$6,$H$6+SQRT(O311*($J$6-$H$6)*($I$6-$H$6)),$J$6-SQRT((1-O311)*($J$6-$H$6)*($J$6-$I$6)))</f>
        <v/>
      </c>
      <c r="D311" s="17">
        <f>IF(P311&lt;$K$7,$H$7+SQRT(P311*($J$7-$H$7)*($I$7-$H$7)),$J$7-SQRT((1-P311)*($J$7-$H$7)*($J$7-$I$7)))</f>
        <v/>
      </c>
      <c r="E311" s="17">
        <f>SUM(B311:D311)</f>
        <v/>
      </c>
      <c r="N311" s="16">
        <f>RAND()</f>
        <v/>
      </c>
      <c r="O311" s="16">
        <f>RAND()</f>
        <v/>
      </c>
      <c r="P311" s="16">
        <f>RAND()</f>
        <v/>
      </c>
    </row>
    <row r="312">
      <c r="A312" s="13" t="n">
        <v>308</v>
      </c>
      <c r="B312" s="17">
        <f>IF(N312&lt;$K$5,$H$5+SQRT(N312*($J$5-$H$5)*($I$5-$H$5)),$J$5-SQRT((1-N312)*($J$5-$H$5)*($J$5-$I$5)))</f>
        <v/>
      </c>
      <c r="C312" s="17">
        <f>IF(O312&lt;$K$6,$H$6+SQRT(O312*($J$6-$H$6)*($I$6-$H$6)),$J$6-SQRT((1-O312)*($J$6-$H$6)*($J$6-$I$6)))</f>
        <v/>
      </c>
      <c r="D312" s="17">
        <f>IF(P312&lt;$K$7,$H$7+SQRT(P312*($J$7-$H$7)*($I$7-$H$7)),$J$7-SQRT((1-P312)*($J$7-$H$7)*($J$7-$I$7)))</f>
        <v/>
      </c>
      <c r="E312" s="17">
        <f>SUM(B312:D312)</f>
        <v/>
      </c>
      <c r="N312" s="16">
        <f>RAND()</f>
        <v/>
      </c>
      <c r="O312" s="16">
        <f>RAND()</f>
        <v/>
      </c>
      <c r="P312" s="16">
        <f>RAND()</f>
        <v/>
      </c>
    </row>
    <row r="313">
      <c r="A313" s="13" t="n">
        <v>309</v>
      </c>
      <c r="B313" s="17">
        <f>IF(N313&lt;$K$5,$H$5+SQRT(N313*($J$5-$H$5)*($I$5-$H$5)),$J$5-SQRT((1-N313)*($J$5-$H$5)*($J$5-$I$5)))</f>
        <v/>
      </c>
      <c r="C313" s="17">
        <f>IF(O313&lt;$K$6,$H$6+SQRT(O313*($J$6-$H$6)*($I$6-$H$6)),$J$6-SQRT((1-O313)*($J$6-$H$6)*($J$6-$I$6)))</f>
        <v/>
      </c>
      <c r="D313" s="17">
        <f>IF(P313&lt;$K$7,$H$7+SQRT(P313*($J$7-$H$7)*($I$7-$H$7)),$J$7-SQRT((1-P313)*($J$7-$H$7)*($J$7-$I$7)))</f>
        <v/>
      </c>
      <c r="E313" s="17">
        <f>SUM(B313:D313)</f>
        <v/>
      </c>
      <c r="N313" s="16">
        <f>RAND()</f>
        <v/>
      </c>
      <c r="O313" s="16">
        <f>RAND()</f>
        <v/>
      </c>
      <c r="P313" s="16">
        <f>RAND()</f>
        <v/>
      </c>
    </row>
    <row r="314">
      <c r="A314" s="13" t="n">
        <v>310</v>
      </c>
      <c r="B314" s="17">
        <f>IF(N314&lt;$K$5,$H$5+SQRT(N314*($J$5-$H$5)*($I$5-$H$5)),$J$5-SQRT((1-N314)*($J$5-$H$5)*($J$5-$I$5)))</f>
        <v/>
      </c>
      <c r="C314" s="17">
        <f>IF(O314&lt;$K$6,$H$6+SQRT(O314*($J$6-$H$6)*($I$6-$H$6)),$J$6-SQRT((1-O314)*($J$6-$H$6)*($J$6-$I$6)))</f>
        <v/>
      </c>
      <c r="D314" s="17">
        <f>IF(P314&lt;$K$7,$H$7+SQRT(P314*($J$7-$H$7)*($I$7-$H$7)),$J$7-SQRT((1-P314)*($J$7-$H$7)*($J$7-$I$7)))</f>
        <v/>
      </c>
      <c r="E314" s="17">
        <f>SUM(B314:D314)</f>
        <v/>
      </c>
      <c r="N314" s="16">
        <f>RAND()</f>
        <v/>
      </c>
      <c r="O314" s="16">
        <f>RAND()</f>
        <v/>
      </c>
      <c r="P314" s="16">
        <f>RAND()</f>
        <v/>
      </c>
    </row>
    <row r="315">
      <c r="A315" s="13" t="n">
        <v>311</v>
      </c>
      <c r="B315" s="17">
        <f>IF(N315&lt;$K$5,$H$5+SQRT(N315*($J$5-$H$5)*($I$5-$H$5)),$J$5-SQRT((1-N315)*($J$5-$H$5)*($J$5-$I$5)))</f>
        <v/>
      </c>
      <c r="C315" s="17">
        <f>IF(O315&lt;$K$6,$H$6+SQRT(O315*($J$6-$H$6)*($I$6-$H$6)),$J$6-SQRT((1-O315)*($J$6-$H$6)*($J$6-$I$6)))</f>
        <v/>
      </c>
      <c r="D315" s="17">
        <f>IF(P315&lt;$K$7,$H$7+SQRT(P315*($J$7-$H$7)*($I$7-$H$7)),$J$7-SQRT((1-P315)*($J$7-$H$7)*($J$7-$I$7)))</f>
        <v/>
      </c>
      <c r="E315" s="17">
        <f>SUM(B315:D315)</f>
        <v/>
      </c>
      <c r="N315" s="16">
        <f>RAND()</f>
        <v/>
      </c>
      <c r="O315" s="16">
        <f>RAND()</f>
        <v/>
      </c>
      <c r="P315" s="16">
        <f>RAND()</f>
        <v/>
      </c>
    </row>
    <row r="316">
      <c r="A316" s="13" t="n">
        <v>312</v>
      </c>
      <c r="B316" s="17">
        <f>IF(N316&lt;$K$5,$H$5+SQRT(N316*($J$5-$H$5)*($I$5-$H$5)),$J$5-SQRT((1-N316)*($J$5-$H$5)*($J$5-$I$5)))</f>
        <v/>
      </c>
      <c r="C316" s="17">
        <f>IF(O316&lt;$K$6,$H$6+SQRT(O316*($J$6-$H$6)*($I$6-$H$6)),$J$6-SQRT((1-O316)*($J$6-$H$6)*($J$6-$I$6)))</f>
        <v/>
      </c>
      <c r="D316" s="17">
        <f>IF(P316&lt;$K$7,$H$7+SQRT(P316*($J$7-$H$7)*($I$7-$H$7)),$J$7-SQRT((1-P316)*($J$7-$H$7)*($J$7-$I$7)))</f>
        <v/>
      </c>
      <c r="E316" s="17">
        <f>SUM(B316:D316)</f>
        <v/>
      </c>
      <c r="N316" s="16">
        <f>RAND()</f>
        <v/>
      </c>
      <c r="O316" s="16">
        <f>RAND()</f>
        <v/>
      </c>
      <c r="P316" s="16">
        <f>RAND()</f>
        <v/>
      </c>
    </row>
    <row r="317">
      <c r="A317" s="13" t="n">
        <v>313</v>
      </c>
      <c r="B317" s="17">
        <f>IF(N317&lt;$K$5,$H$5+SQRT(N317*($J$5-$H$5)*($I$5-$H$5)),$J$5-SQRT((1-N317)*($J$5-$H$5)*($J$5-$I$5)))</f>
        <v/>
      </c>
      <c r="C317" s="17">
        <f>IF(O317&lt;$K$6,$H$6+SQRT(O317*($J$6-$H$6)*($I$6-$H$6)),$J$6-SQRT((1-O317)*($J$6-$H$6)*($J$6-$I$6)))</f>
        <v/>
      </c>
      <c r="D317" s="17">
        <f>IF(P317&lt;$K$7,$H$7+SQRT(P317*($J$7-$H$7)*($I$7-$H$7)),$J$7-SQRT((1-P317)*($J$7-$H$7)*($J$7-$I$7)))</f>
        <v/>
      </c>
      <c r="E317" s="17">
        <f>SUM(B317:D317)</f>
        <v/>
      </c>
      <c r="N317" s="16">
        <f>RAND()</f>
        <v/>
      </c>
      <c r="O317" s="16">
        <f>RAND()</f>
        <v/>
      </c>
      <c r="P317" s="16">
        <f>RAND()</f>
        <v/>
      </c>
    </row>
    <row r="318">
      <c r="A318" s="13" t="n">
        <v>314</v>
      </c>
      <c r="B318" s="17">
        <f>IF(N318&lt;$K$5,$H$5+SQRT(N318*($J$5-$H$5)*($I$5-$H$5)),$J$5-SQRT((1-N318)*($J$5-$H$5)*($J$5-$I$5)))</f>
        <v/>
      </c>
      <c r="C318" s="17">
        <f>IF(O318&lt;$K$6,$H$6+SQRT(O318*($J$6-$H$6)*($I$6-$H$6)),$J$6-SQRT((1-O318)*($J$6-$H$6)*($J$6-$I$6)))</f>
        <v/>
      </c>
      <c r="D318" s="17">
        <f>IF(P318&lt;$K$7,$H$7+SQRT(P318*($J$7-$H$7)*($I$7-$H$7)),$J$7-SQRT((1-P318)*($J$7-$H$7)*($J$7-$I$7)))</f>
        <v/>
      </c>
      <c r="E318" s="17">
        <f>SUM(B318:D318)</f>
        <v/>
      </c>
      <c r="N318" s="16">
        <f>RAND()</f>
        <v/>
      </c>
      <c r="O318" s="16">
        <f>RAND()</f>
        <v/>
      </c>
      <c r="P318" s="16">
        <f>RAND()</f>
        <v/>
      </c>
    </row>
    <row r="319">
      <c r="A319" s="13" t="n">
        <v>315</v>
      </c>
      <c r="B319" s="17">
        <f>IF(N319&lt;$K$5,$H$5+SQRT(N319*($J$5-$H$5)*($I$5-$H$5)),$J$5-SQRT((1-N319)*($J$5-$H$5)*($J$5-$I$5)))</f>
        <v/>
      </c>
      <c r="C319" s="17">
        <f>IF(O319&lt;$K$6,$H$6+SQRT(O319*($J$6-$H$6)*($I$6-$H$6)),$J$6-SQRT((1-O319)*($J$6-$H$6)*($J$6-$I$6)))</f>
        <v/>
      </c>
      <c r="D319" s="17">
        <f>IF(P319&lt;$K$7,$H$7+SQRT(P319*($J$7-$H$7)*($I$7-$H$7)),$J$7-SQRT((1-P319)*($J$7-$H$7)*($J$7-$I$7)))</f>
        <v/>
      </c>
      <c r="E319" s="17">
        <f>SUM(B319:D319)</f>
        <v/>
      </c>
      <c r="N319" s="16">
        <f>RAND()</f>
        <v/>
      </c>
      <c r="O319" s="16">
        <f>RAND()</f>
        <v/>
      </c>
      <c r="P319" s="16">
        <f>RAND()</f>
        <v/>
      </c>
    </row>
    <row r="320">
      <c r="A320" s="13" t="n">
        <v>316</v>
      </c>
      <c r="B320" s="17">
        <f>IF(N320&lt;$K$5,$H$5+SQRT(N320*($J$5-$H$5)*($I$5-$H$5)),$J$5-SQRT((1-N320)*($J$5-$H$5)*($J$5-$I$5)))</f>
        <v/>
      </c>
      <c r="C320" s="17">
        <f>IF(O320&lt;$K$6,$H$6+SQRT(O320*($J$6-$H$6)*($I$6-$H$6)),$J$6-SQRT((1-O320)*($J$6-$H$6)*($J$6-$I$6)))</f>
        <v/>
      </c>
      <c r="D320" s="17">
        <f>IF(P320&lt;$K$7,$H$7+SQRT(P320*($J$7-$H$7)*($I$7-$H$7)),$J$7-SQRT((1-P320)*($J$7-$H$7)*($J$7-$I$7)))</f>
        <v/>
      </c>
      <c r="E320" s="17">
        <f>SUM(B320:D320)</f>
        <v/>
      </c>
      <c r="N320" s="16">
        <f>RAND()</f>
        <v/>
      </c>
      <c r="O320" s="16">
        <f>RAND()</f>
        <v/>
      </c>
      <c r="P320" s="16">
        <f>RAND()</f>
        <v/>
      </c>
    </row>
    <row r="321">
      <c r="A321" s="13" t="n">
        <v>317</v>
      </c>
      <c r="B321" s="17">
        <f>IF(N321&lt;$K$5,$H$5+SQRT(N321*($J$5-$H$5)*($I$5-$H$5)),$J$5-SQRT((1-N321)*($J$5-$H$5)*($J$5-$I$5)))</f>
        <v/>
      </c>
      <c r="C321" s="17">
        <f>IF(O321&lt;$K$6,$H$6+SQRT(O321*($J$6-$H$6)*($I$6-$H$6)),$J$6-SQRT((1-O321)*($J$6-$H$6)*($J$6-$I$6)))</f>
        <v/>
      </c>
      <c r="D321" s="17">
        <f>IF(P321&lt;$K$7,$H$7+SQRT(P321*($J$7-$H$7)*($I$7-$H$7)),$J$7-SQRT((1-P321)*($J$7-$H$7)*($J$7-$I$7)))</f>
        <v/>
      </c>
      <c r="E321" s="17">
        <f>SUM(B321:D321)</f>
        <v/>
      </c>
      <c r="N321" s="16">
        <f>RAND()</f>
        <v/>
      </c>
      <c r="O321" s="16">
        <f>RAND()</f>
        <v/>
      </c>
      <c r="P321" s="16">
        <f>RAND()</f>
        <v/>
      </c>
    </row>
    <row r="322">
      <c r="A322" s="13" t="n">
        <v>318</v>
      </c>
      <c r="B322" s="17">
        <f>IF(N322&lt;$K$5,$H$5+SQRT(N322*($J$5-$H$5)*($I$5-$H$5)),$J$5-SQRT((1-N322)*($J$5-$H$5)*($J$5-$I$5)))</f>
        <v/>
      </c>
      <c r="C322" s="17">
        <f>IF(O322&lt;$K$6,$H$6+SQRT(O322*($J$6-$H$6)*($I$6-$H$6)),$J$6-SQRT((1-O322)*($J$6-$H$6)*($J$6-$I$6)))</f>
        <v/>
      </c>
      <c r="D322" s="17">
        <f>IF(P322&lt;$K$7,$H$7+SQRT(P322*($J$7-$H$7)*($I$7-$H$7)),$J$7-SQRT((1-P322)*($J$7-$H$7)*($J$7-$I$7)))</f>
        <v/>
      </c>
      <c r="E322" s="17">
        <f>SUM(B322:D322)</f>
        <v/>
      </c>
      <c r="N322" s="16">
        <f>RAND()</f>
        <v/>
      </c>
      <c r="O322" s="16">
        <f>RAND()</f>
        <v/>
      </c>
      <c r="P322" s="16">
        <f>RAND()</f>
        <v/>
      </c>
    </row>
    <row r="323">
      <c r="A323" s="13" t="n">
        <v>319</v>
      </c>
      <c r="B323" s="17">
        <f>IF(N323&lt;$K$5,$H$5+SQRT(N323*($J$5-$H$5)*($I$5-$H$5)),$J$5-SQRT((1-N323)*($J$5-$H$5)*($J$5-$I$5)))</f>
        <v/>
      </c>
      <c r="C323" s="17">
        <f>IF(O323&lt;$K$6,$H$6+SQRT(O323*($J$6-$H$6)*($I$6-$H$6)),$J$6-SQRT((1-O323)*($J$6-$H$6)*($J$6-$I$6)))</f>
        <v/>
      </c>
      <c r="D323" s="17">
        <f>IF(P323&lt;$K$7,$H$7+SQRT(P323*($J$7-$H$7)*($I$7-$H$7)),$J$7-SQRT((1-P323)*($J$7-$H$7)*($J$7-$I$7)))</f>
        <v/>
      </c>
      <c r="E323" s="17">
        <f>SUM(B323:D323)</f>
        <v/>
      </c>
      <c r="N323" s="16">
        <f>RAND()</f>
        <v/>
      </c>
      <c r="O323" s="16">
        <f>RAND()</f>
        <v/>
      </c>
      <c r="P323" s="16">
        <f>RAND()</f>
        <v/>
      </c>
    </row>
    <row r="324">
      <c r="A324" s="13" t="n">
        <v>320</v>
      </c>
      <c r="B324" s="17">
        <f>IF(N324&lt;$K$5,$H$5+SQRT(N324*($J$5-$H$5)*($I$5-$H$5)),$J$5-SQRT((1-N324)*($J$5-$H$5)*($J$5-$I$5)))</f>
        <v/>
      </c>
      <c r="C324" s="17">
        <f>IF(O324&lt;$K$6,$H$6+SQRT(O324*($J$6-$H$6)*($I$6-$H$6)),$J$6-SQRT((1-O324)*($J$6-$H$6)*($J$6-$I$6)))</f>
        <v/>
      </c>
      <c r="D324" s="17">
        <f>IF(P324&lt;$K$7,$H$7+SQRT(P324*($J$7-$H$7)*($I$7-$H$7)),$J$7-SQRT((1-P324)*($J$7-$H$7)*($J$7-$I$7)))</f>
        <v/>
      </c>
      <c r="E324" s="17">
        <f>SUM(B324:D324)</f>
        <v/>
      </c>
      <c r="N324" s="16">
        <f>RAND()</f>
        <v/>
      </c>
      <c r="O324" s="16">
        <f>RAND()</f>
        <v/>
      </c>
      <c r="P324" s="16">
        <f>RAND()</f>
        <v/>
      </c>
    </row>
    <row r="325">
      <c r="A325" s="13" t="n">
        <v>321</v>
      </c>
      <c r="B325" s="17">
        <f>IF(N325&lt;$K$5,$H$5+SQRT(N325*($J$5-$H$5)*($I$5-$H$5)),$J$5-SQRT((1-N325)*($J$5-$H$5)*($J$5-$I$5)))</f>
        <v/>
      </c>
      <c r="C325" s="17">
        <f>IF(O325&lt;$K$6,$H$6+SQRT(O325*($J$6-$H$6)*($I$6-$H$6)),$J$6-SQRT((1-O325)*($J$6-$H$6)*($J$6-$I$6)))</f>
        <v/>
      </c>
      <c r="D325" s="17">
        <f>IF(P325&lt;$K$7,$H$7+SQRT(P325*($J$7-$H$7)*($I$7-$H$7)),$J$7-SQRT((1-P325)*($J$7-$H$7)*($J$7-$I$7)))</f>
        <v/>
      </c>
      <c r="E325" s="17">
        <f>SUM(B325:D325)</f>
        <v/>
      </c>
      <c r="N325" s="16">
        <f>RAND()</f>
        <v/>
      </c>
      <c r="O325" s="16">
        <f>RAND()</f>
        <v/>
      </c>
      <c r="P325" s="16">
        <f>RAND()</f>
        <v/>
      </c>
    </row>
    <row r="326">
      <c r="A326" s="13" t="n">
        <v>322</v>
      </c>
      <c r="B326" s="17">
        <f>IF(N326&lt;$K$5,$H$5+SQRT(N326*($J$5-$H$5)*($I$5-$H$5)),$J$5-SQRT((1-N326)*($J$5-$H$5)*($J$5-$I$5)))</f>
        <v/>
      </c>
      <c r="C326" s="17">
        <f>IF(O326&lt;$K$6,$H$6+SQRT(O326*($J$6-$H$6)*($I$6-$H$6)),$J$6-SQRT((1-O326)*($J$6-$H$6)*($J$6-$I$6)))</f>
        <v/>
      </c>
      <c r="D326" s="17">
        <f>IF(P326&lt;$K$7,$H$7+SQRT(P326*($J$7-$H$7)*($I$7-$H$7)),$J$7-SQRT((1-P326)*($J$7-$H$7)*($J$7-$I$7)))</f>
        <v/>
      </c>
      <c r="E326" s="17">
        <f>SUM(B326:D326)</f>
        <v/>
      </c>
      <c r="N326" s="16">
        <f>RAND()</f>
        <v/>
      </c>
      <c r="O326" s="16">
        <f>RAND()</f>
        <v/>
      </c>
      <c r="P326" s="16">
        <f>RAND()</f>
        <v/>
      </c>
    </row>
    <row r="327">
      <c r="A327" s="13" t="n">
        <v>323</v>
      </c>
      <c r="B327" s="17">
        <f>IF(N327&lt;$K$5,$H$5+SQRT(N327*($J$5-$H$5)*($I$5-$H$5)),$J$5-SQRT((1-N327)*($J$5-$H$5)*($J$5-$I$5)))</f>
        <v/>
      </c>
      <c r="C327" s="17">
        <f>IF(O327&lt;$K$6,$H$6+SQRT(O327*($J$6-$H$6)*($I$6-$H$6)),$J$6-SQRT((1-O327)*($J$6-$H$6)*($J$6-$I$6)))</f>
        <v/>
      </c>
      <c r="D327" s="17">
        <f>IF(P327&lt;$K$7,$H$7+SQRT(P327*($J$7-$H$7)*($I$7-$H$7)),$J$7-SQRT((1-P327)*($J$7-$H$7)*($J$7-$I$7)))</f>
        <v/>
      </c>
      <c r="E327" s="17">
        <f>SUM(B327:D327)</f>
        <v/>
      </c>
      <c r="N327" s="16">
        <f>RAND()</f>
        <v/>
      </c>
      <c r="O327" s="16">
        <f>RAND()</f>
        <v/>
      </c>
      <c r="P327" s="16">
        <f>RAND()</f>
        <v/>
      </c>
    </row>
    <row r="328">
      <c r="A328" s="13" t="n">
        <v>324</v>
      </c>
      <c r="B328" s="17">
        <f>IF(N328&lt;$K$5,$H$5+SQRT(N328*($J$5-$H$5)*($I$5-$H$5)),$J$5-SQRT((1-N328)*($J$5-$H$5)*($J$5-$I$5)))</f>
        <v/>
      </c>
      <c r="C328" s="17">
        <f>IF(O328&lt;$K$6,$H$6+SQRT(O328*($J$6-$H$6)*($I$6-$H$6)),$J$6-SQRT((1-O328)*($J$6-$H$6)*($J$6-$I$6)))</f>
        <v/>
      </c>
      <c r="D328" s="17">
        <f>IF(P328&lt;$K$7,$H$7+SQRT(P328*($J$7-$H$7)*($I$7-$H$7)),$J$7-SQRT((1-P328)*($J$7-$H$7)*($J$7-$I$7)))</f>
        <v/>
      </c>
      <c r="E328" s="17">
        <f>SUM(B328:D328)</f>
        <v/>
      </c>
      <c r="N328" s="16">
        <f>RAND()</f>
        <v/>
      </c>
      <c r="O328" s="16">
        <f>RAND()</f>
        <v/>
      </c>
      <c r="P328" s="16">
        <f>RAND()</f>
        <v/>
      </c>
    </row>
    <row r="329">
      <c r="A329" s="13" t="n">
        <v>325</v>
      </c>
      <c r="B329" s="17">
        <f>IF(N329&lt;$K$5,$H$5+SQRT(N329*($J$5-$H$5)*($I$5-$H$5)),$J$5-SQRT((1-N329)*($J$5-$H$5)*($J$5-$I$5)))</f>
        <v/>
      </c>
      <c r="C329" s="17">
        <f>IF(O329&lt;$K$6,$H$6+SQRT(O329*($J$6-$H$6)*($I$6-$H$6)),$J$6-SQRT((1-O329)*($J$6-$H$6)*($J$6-$I$6)))</f>
        <v/>
      </c>
      <c r="D329" s="17">
        <f>IF(P329&lt;$K$7,$H$7+SQRT(P329*($J$7-$H$7)*($I$7-$H$7)),$J$7-SQRT((1-P329)*($J$7-$H$7)*($J$7-$I$7)))</f>
        <v/>
      </c>
      <c r="E329" s="17">
        <f>SUM(B329:D329)</f>
        <v/>
      </c>
      <c r="N329" s="16">
        <f>RAND()</f>
        <v/>
      </c>
      <c r="O329" s="16">
        <f>RAND()</f>
        <v/>
      </c>
      <c r="P329" s="16">
        <f>RAND()</f>
        <v/>
      </c>
    </row>
    <row r="330">
      <c r="A330" s="13" t="n">
        <v>326</v>
      </c>
      <c r="B330" s="17">
        <f>IF(N330&lt;$K$5,$H$5+SQRT(N330*($J$5-$H$5)*($I$5-$H$5)),$J$5-SQRT((1-N330)*($J$5-$H$5)*($J$5-$I$5)))</f>
        <v/>
      </c>
      <c r="C330" s="17">
        <f>IF(O330&lt;$K$6,$H$6+SQRT(O330*($J$6-$H$6)*($I$6-$H$6)),$J$6-SQRT((1-O330)*($J$6-$H$6)*($J$6-$I$6)))</f>
        <v/>
      </c>
      <c r="D330" s="17">
        <f>IF(P330&lt;$K$7,$H$7+SQRT(P330*($J$7-$H$7)*($I$7-$H$7)),$J$7-SQRT((1-P330)*($J$7-$H$7)*($J$7-$I$7)))</f>
        <v/>
      </c>
      <c r="E330" s="17">
        <f>SUM(B330:D330)</f>
        <v/>
      </c>
      <c r="N330" s="16">
        <f>RAND()</f>
        <v/>
      </c>
      <c r="O330" s="16">
        <f>RAND()</f>
        <v/>
      </c>
      <c r="P330" s="16">
        <f>RAND()</f>
        <v/>
      </c>
    </row>
    <row r="331">
      <c r="A331" s="13" t="n">
        <v>327</v>
      </c>
      <c r="B331" s="17">
        <f>IF(N331&lt;$K$5,$H$5+SQRT(N331*($J$5-$H$5)*($I$5-$H$5)),$J$5-SQRT((1-N331)*($J$5-$H$5)*($J$5-$I$5)))</f>
        <v/>
      </c>
      <c r="C331" s="17">
        <f>IF(O331&lt;$K$6,$H$6+SQRT(O331*($J$6-$H$6)*($I$6-$H$6)),$J$6-SQRT((1-O331)*($J$6-$H$6)*($J$6-$I$6)))</f>
        <v/>
      </c>
      <c r="D331" s="17">
        <f>IF(P331&lt;$K$7,$H$7+SQRT(P331*($J$7-$H$7)*($I$7-$H$7)),$J$7-SQRT((1-P331)*($J$7-$H$7)*($J$7-$I$7)))</f>
        <v/>
      </c>
      <c r="E331" s="17">
        <f>SUM(B331:D331)</f>
        <v/>
      </c>
      <c r="N331" s="16">
        <f>RAND()</f>
        <v/>
      </c>
      <c r="O331" s="16">
        <f>RAND()</f>
        <v/>
      </c>
      <c r="P331" s="16">
        <f>RAND()</f>
        <v/>
      </c>
    </row>
    <row r="332">
      <c r="A332" s="13" t="n">
        <v>328</v>
      </c>
      <c r="B332" s="17">
        <f>IF(N332&lt;$K$5,$H$5+SQRT(N332*($J$5-$H$5)*($I$5-$H$5)),$J$5-SQRT((1-N332)*($J$5-$H$5)*($J$5-$I$5)))</f>
        <v/>
      </c>
      <c r="C332" s="17">
        <f>IF(O332&lt;$K$6,$H$6+SQRT(O332*($J$6-$H$6)*($I$6-$H$6)),$J$6-SQRT((1-O332)*($J$6-$H$6)*($J$6-$I$6)))</f>
        <v/>
      </c>
      <c r="D332" s="17">
        <f>IF(P332&lt;$K$7,$H$7+SQRT(P332*($J$7-$H$7)*($I$7-$H$7)),$J$7-SQRT((1-P332)*($J$7-$H$7)*($J$7-$I$7)))</f>
        <v/>
      </c>
      <c r="E332" s="17">
        <f>SUM(B332:D332)</f>
        <v/>
      </c>
      <c r="N332" s="16">
        <f>RAND()</f>
        <v/>
      </c>
      <c r="O332" s="16">
        <f>RAND()</f>
        <v/>
      </c>
      <c r="P332" s="16">
        <f>RAND()</f>
        <v/>
      </c>
    </row>
    <row r="333">
      <c r="A333" s="13" t="n">
        <v>329</v>
      </c>
      <c r="B333" s="17">
        <f>IF(N333&lt;$K$5,$H$5+SQRT(N333*($J$5-$H$5)*($I$5-$H$5)),$J$5-SQRT((1-N333)*($J$5-$H$5)*($J$5-$I$5)))</f>
        <v/>
      </c>
      <c r="C333" s="17">
        <f>IF(O333&lt;$K$6,$H$6+SQRT(O333*($J$6-$H$6)*($I$6-$H$6)),$J$6-SQRT((1-O333)*($J$6-$H$6)*($J$6-$I$6)))</f>
        <v/>
      </c>
      <c r="D333" s="17">
        <f>IF(P333&lt;$K$7,$H$7+SQRT(P333*($J$7-$H$7)*($I$7-$H$7)),$J$7-SQRT((1-P333)*($J$7-$H$7)*($J$7-$I$7)))</f>
        <v/>
      </c>
      <c r="E333" s="17">
        <f>SUM(B333:D333)</f>
        <v/>
      </c>
      <c r="N333" s="16">
        <f>RAND()</f>
        <v/>
      </c>
      <c r="O333" s="16">
        <f>RAND()</f>
        <v/>
      </c>
      <c r="P333" s="16">
        <f>RAND()</f>
        <v/>
      </c>
    </row>
    <row r="334">
      <c r="A334" s="13" t="n">
        <v>330</v>
      </c>
      <c r="B334" s="17">
        <f>IF(N334&lt;$K$5,$H$5+SQRT(N334*($J$5-$H$5)*($I$5-$H$5)),$J$5-SQRT((1-N334)*($J$5-$H$5)*($J$5-$I$5)))</f>
        <v/>
      </c>
      <c r="C334" s="17">
        <f>IF(O334&lt;$K$6,$H$6+SQRT(O334*($J$6-$H$6)*($I$6-$H$6)),$J$6-SQRT((1-O334)*($J$6-$H$6)*($J$6-$I$6)))</f>
        <v/>
      </c>
      <c r="D334" s="17">
        <f>IF(P334&lt;$K$7,$H$7+SQRT(P334*($J$7-$H$7)*($I$7-$H$7)),$J$7-SQRT((1-P334)*($J$7-$H$7)*($J$7-$I$7)))</f>
        <v/>
      </c>
      <c r="E334" s="17">
        <f>SUM(B334:D334)</f>
        <v/>
      </c>
      <c r="N334" s="16">
        <f>RAND()</f>
        <v/>
      </c>
      <c r="O334" s="16">
        <f>RAND()</f>
        <v/>
      </c>
      <c r="P334" s="16">
        <f>RAND()</f>
        <v/>
      </c>
    </row>
    <row r="335">
      <c r="A335" s="13" t="n">
        <v>331</v>
      </c>
      <c r="B335" s="17">
        <f>IF(N335&lt;$K$5,$H$5+SQRT(N335*($J$5-$H$5)*($I$5-$H$5)),$J$5-SQRT((1-N335)*($J$5-$H$5)*($J$5-$I$5)))</f>
        <v/>
      </c>
      <c r="C335" s="17">
        <f>IF(O335&lt;$K$6,$H$6+SQRT(O335*($J$6-$H$6)*($I$6-$H$6)),$J$6-SQRT((1-O335)*($J$6-$H$6)*($J$6-$I$6)))</f>
        <v/>
      </c>
      <c r="D335" s="17">
        <f>IF(P335&lt;$K$7,$H$7+SQRT(P335*($J$7-$H$7)*($I$7-$H$7)),$J$7-SQRT((1-P335)*($J$7-$H$7)*($J$7-$I$7)))</f>
        <v/>
      </c>
      <c r="E335" s="17">
        <f>SUM(B335:D335)</f>
        <v/>
      </c>
      <c r="N335" s="16">
        <f>RAND()</f>
        <v/>
      </c>
      <c r="O335" s="16">
        <f>RAND()</f>
        <v/>
      </c>
      <c r="P335" s="16">
        <f>RAND()</f>
        <v/>
      </c>
    </row>
    <row r="336">
      <c r="A336" s="13" t="n">
        <v>332</v>
      </c>
      <c r="B336" s="17">
        <f>IF(N336&lt;$K$5,$H$5+SQRT(N336*($J$5-$H$5)*($I$5-$H$5)),$J$5-SQRT((1-N336)*($J$5-$H$5)*($J$5-$I$5)))</f>
        <v/>
      </c>
      <c r="C336" s="17">
        <f>IF(O336&lt;$K$6,$H$6+SQRT(O336*($J$6-$H$6)*($I$6-$H$6)),$J$6-SQRT((1-O336)*($J$6-$H$6)*($J$6-$I$6)))</f>
        <v/>
      </c>
      <c r="D336" s="17">
        <f>IF(P336&lt;$K$7,$H$7+SQRT(P336*($J$7-$H$7)*($I$7-$H$7)),$J$7-SQRT((1-P336)*($J$7-$H$7)*($J$7-$I$7)))</f>
        <v/>
      </c>
      <c r="E336" s="17">
        <f>SUM(B336:D336)</f>
        <v/>
      </c>
      <c r="N336" s="16">
        <f>RAND()</f>
        <v/>
      </c>
      <c r="O336" s="16">
        <f>RAND()</f>
        <v/>
      </c>
      <c r="P336" s="16">
        <f>RAND()</f>
        <v/>
      </c>
    </row>
    <row r="337">
      <c r="A337" s="13" t="n">
        <v>333</v>
      </c>
      <c r="B337" s="17">
        <f>IF(N337&lt;$K$5,$H$5+SQRT(N337*($J$5-$H$5)*($I$5-$H$5)),$J$5-SQRT((1-N337)*($J$5-$H$5)*($J$5-$I$5)))</f>
        <v/>
      </c>
      <c r="C337" s="17">
        <f>IF(O337&lt;$K$6,$H$6+SQRT(O337*($J$6-$H$6)*($I$6-$H$6)),$J$6-SQRT((1-O337)*($J$6-$H$6)*($J$6-$I$6)))</f>
        <v/>
      </c>
      <c r="D337" s="17">
        <f>IF(P337&lt;$K$7,$H$7+SQRT(P337*($J$7-$H$7)*($I$7-$H$7)),$J$7-SQRT((1-P337)*($J$7-$H$7)*($J$7-$I$7)))</f>
        <v/>
      </c>
      <c r="E337" s="17">
        <f>SUM(B337:D337)</f>
        <v/>
      </c>
      <c r="N337" s="16">
        <f>RAND()</f>
        <v/>
      </c>
      <c r="O337" s="16">
        <f>RAND()</f>
        <v/>
      </c>
      <c r="P337" s="16">
        <f>RAND()</f>
        <v/>
      </c>
    </row>
    <row r="338">
      <c r="A338" s="13" t="n">
        <v>334</v>
      </c>
      <c r="B338" s="17">
        <f>IF(N338&lt;$K$5,$H$5+SQRT(N338*($J$5-$H$5)*($I$5-$H$5)),$J$5-SQRT((1-N338)*($J$5-$H$5)*($J$5-$I$5)))</f>
        <v/>
      </c>
      <c r="C338" s="17">
        <f>IF(O338&lt;$K$6,$H$6+SQRT(O338*($J$6-$H$6)*($I$6-$H$6)),$J$6-SQRT((1-O338)*($J$6-$H$6)*($J$6-$I$6)))</f>
        <v/>
      </c>
      <c r="D338" s="17">
        <f>IF(P338&lt;$K$7,$H$7+SQRT(P338*($J$7-$H$7)*($I$7-$H$7)),$J$7-SQRT((1-P338)*($J$7-$H$7)*($J$7-$I$7)))</f>
        <v/>
      </c>
      <c r="E338" s="17">
        <f>SUM(B338:D338)</f>
        <v/>
      </c>
      <c r="N338" s="16">
        <f>RAND()</f>
        <v/>
      </c>
      <c r="O338" s="16">
        <f>RAND()</f>
        <v/>
      </c>
      <c r="P338" s="16">
        <f>RAND()</f>
        <v/>
      </c>
    </row>
    <row r="339">
      <c r="A339" s="13" t="n">
        <v>335</v>
      </c>
      <c r="B339" s="17">
        <f>IF(N339&lt;$K$5,$H$5+SQRT(N339*($J$5-$H$5)*($I$5-$H$5)),$J$5-SQRT((1-N339)*($J$5-$H$5)*($J$5-$I$5)))</f>
        <v/>
      </c>
      <c r="C339" s="17">
        <f>IF(O339&lt;$K$6,$H$6+SQRT(O339*($J$6-$H$6)*($I$6-$H$6)),$J$6-SQRT((1-O339)*($J$6-$H$6)*($J$6-$I$6)))</f>
        <v/>
      </c>
      <c r="D339" s="17">
        <f>IF(P339&lt;$K$7,$H$7+SQRT(P339*($J$7-$H$7)*($I$7-$H$7)),$J$7-SQRT((1-P339)*($J$7-$H$7)*($J$7-$I$7)))</f>
        <v/>
      </c>
      <c r="E339" s="17">
        <f>SUM(B339:D339)</f>
        <v/>
      </c>
      <c r="N339" s="16">
        <f>RAND()</f>
        <v/>
      </c>
      <c r="O339" s="16">
        <f>RAND()</f>
        <v/>
      </c>
      <c r="P339" s="16">
        <f>RAND()</f>
        <v/>
      </c>
    </row>
    <row r="340">
      <c r="A340" s="13" t="n">
        <v>336</v>
      </c>
      <c r="B340" s="17">
        <f>IF(N340&lt;$K$5,$H$5+SQRT(N340*($J$5-$H$5)*($I$5-$H$5)),$J$5-SQRT((1-N340)*($J$5-$H$5)*($J$5-$I$5)))</f>
        <v/>
      </c>
      <c r="C340" s="17">
        <f>IF(O340&lt;$K$6,$H$6+SQRT(O340*($J$6-$H$6)*($I$6-$H$6)),$J$6-SQRT((1-O340)*($J$6-$H$6)*($J$6-$I$6)))</f>
        <v/>
      </c>
      <c r="D340" s="17">
        <f>IF(P340&lt;$K$7,$H$7+SQRT(P340*($J$7-$H$7)*($I$7-$H$7)),$J$7-SQRT((1-P340)*($J$7-$H$7)*($J$7-$I$7)))</f>
        <v/>
      </c>
      <c r="E340" s="17">
        <f>SUM(B340:D340)</f>
        <v/>
      </c>
      <c r="N340" s="16">
        <f>RAND()</f>
        <v/>
      </c>
      <c r="O340" s="16">
        <f>RAND()</f>
        <v/>
      </c>
      <c r="P340" s="16">
        <f>RAND()</f>
        <v/>
      </c>
    </row>
    <row r="341">
      <c r="A341" s="13" t="n">
        <v>337</v>
      </c>
      <c r="B341" s="17">
        <f>IF(N341&lt;$K$5,$H$5+SQRT(N341*($J$5-$H$5)*($I$5-$H$5)),$J$5-SQRT((1-N341)*($J$5-$H$5)*($J$5-$I$5)))</f>
        <v/>
      </c>
      <c r="C341" s="17">
        <f>IF(O341&lt;$K$6,$H$6+SQRT(O341*($J$6-$H$6)*($I$6-$H$6)),$J$6-SQRT((1-O341)*($J$6-$H$6)*($J$6-$I$6)))</f>
        <v/>
      </c>
      <c r="D341" s="17">
        <f>IF(P341&lt;$K$7,$H$7+SQRT(P341*($J$7-$H$7)*($I$7-$H$7)),$J$7-SQRT((1-P341)*($J$7-$H$7)*($J$7-$I$7)))</f>
        <v/>
      </c>
      <c r="E341" s="17">
        <f>SUM(B341:D341)</f>
        <v/>
      </c>
      <c r="N341" s="16">
        <f>RAND()</f>
        <v/>
      </c>
      <c r="O341" s="16">
        <f>RAND()</f>
        <v/>
      </c>
      <c r="P341" s="16">
        <f>RAND()</f>
        <v/>
      </c>
    </row>
    <row r="342">
      <c r="A342" s="13" t="n">
        <v>338</v>
      </c>
      <c r="B342" s="17">
        <f>IF(N342&lt;$K$5,$H$5+SQRT(N342*($J$5-$H$5)*($I$5-$H$5)),$J$5-SQRT((1-N342)*($J$5-$H$5)*($J$5-$I$5)))</f>
        <v/>
      </c>
      <c r="C342" s="17">
        <f>IF(O342&lt;$K$6,$H$6+SQRT(O342*($J$6-$H$6)*($I$6-$H$6)),$J$6-SQRT((1-O342)*($J$6-$H$6)*($J$6-$I$6)))</f>
        <v/>
      </c>
      <c r="D342" s="17">
        <f>IF(P342&lt;$K$7,$H$7+SQRT(P342*($J$7-$H$7)*($I$7-$H$7)),$J$7-SQRT((1-P342)*($J$7-$H$7)*($J$7-$I$7)))</f>
        <v/>
      </c>
      <c r="E342" s="17">
        <f>SUM(B342:D342)</f>
        <v/>
      </c>
      <c r="N342" s="16">
        <f>RAND()</f>
        <v/>
      </c>
      <c r="O342" s="16">
        <f>RAND()</f>
        <v/>
      </c>
      <c r="P342" s="16">
        <f>RAND()</f>
        <v/>
      </c>
    </row>
    <row r="343">
      <c r="A343" s="13" t="n">
        <v>339</v>
      </c>
      <c r="B343" s="17">
        <f>IF(N343&lt;$K$5,$H$5+SQRT(N343*($J$5-$H$5)*($I$5-$H$5)),$J$5-SQRT((1-N343)*($J$5-$H$5)*($J$5-$I$5)))</f>
        <v/>
      </c>
      <c r="C343" s="17">
        <f>IF(O343&lt;$K$6,$H$6+SQRT(O343*($J$6-$H$6)*($I$6-$H$6)),$J$6-SQRT((1-O343)*($J$6-$H$6)*($J$6-$I$6)))</f>
        <v/>
      </c>
      <c r="D343" s="17">
        <f>IF(P343&lt;$K$7,$H$7+SQRT(P343*($J$7-$H$7)*($I$7-$H$7)),$J$7-SQRT((1-P343)*($J$7-$H$7)*($J$7-$I$7)))</f>
        <v/>
      </c>
      <c r="E343" s="17">
        <f>SUM(B343:D343)</f>
        <v/>
      </c>
      <c r="N343" s="16">
        <f>RAND()</f>
        <v/>
      </c>
      <c r="O343" s="16">
        <f>RAND()</f>
        <v/>
      </c>
      <c r="P343" s="16">
        <f>RAND()</f>
        <v/>
      </c>
    </row>
    <row r="344">
      <c r="A344" s="13" t="n">
        <v>340</v>
      </c>
      <c r="B344" s="17">
        <f>IF(N344&lt;$K$5,$H$5+SQRT(N344*($J$5-$H$5)*($I$5-$H$5)),$J$5-SQRT((1-N344)*($J$5-$H$5)*($J$5-$I$5)))</f>
        <v/>
      </c>
      <c r="C344" s="17">
        <f>IF(O344&lt;$K$6,$H$6+SQRT(O344*($J$6-$H$6)*($I$6-$H$6)),$J$6-SQRT((1-O344)*($J$6-$H$6)*($J$6-$I$6)))</f>
        <v/>
      </c>
      <c r="D344" s="17">
        <f>IF(P344&lt;$K$7,$H$7+SQRT(P344*($J$7-$H$7)*($I$7-$H$7)),$J$7-SQRT((1-P344)*($J$7-$H$7)*($J$7-$I$7)))</f>
        <v/>
      </c>
      <c r="E344" s="17">
        <f>SUM(B344:D344)</f>
        <v/>
      </c>
      <c r="N344" s="16">
        <f>RAND()</f>
        <v/>
      </c>
      <c r="O344" s="16">
        <f>RAND()</f>
        <v/>
      </c>
      <c r="P344" s="16">
        <f>RAND()</f>
        <v/>
      </c>
    </row>
    <row r="345">
      <c r="A345" s="13" t="n">
        <v>341</v>
      </c>
      <c r="B345" s="17">
        <f>IF(N345&lt;$K$5,$H$5+SQRT(N345*($J$5-$H$5)*($I$5-$H$5)),$J$5-SQRT((1-N345)*($J$5-$H$5)*($J$5-$I$5)))</f>
        <v/>
      </c>
      <c r="C345" s="17">
        <f>IF(O345&lt;$K$6,$H$6+SQRT(O345*($J$6-$H$6)*($I$6-$H$6)),$J$6-SQRT((1-O345)*($J$6-$H$6)*($J$6-$I$6)))</f>
        <v/>
      </c>
      <c r="D345" s="17">
        <f>IF(P345&lt;$K$7,$H$7+SQRT(P345*($J$7-$H$7)*($I$7-$H$7)),$J$7-SQRT((1-P345)*($J$7-$H$7)*($J$7-$I$7)))</f>
        <v/>
      </c>
      <c r="E345" s="17">
        <f>SUM(B345:D345)</f>
        <v/>
      </c>
      <c r="N345" s="16">
        <f>RAND()</f>
        <v/>
      </c>
      <c r="O345" s="16">
        <f>RAND()</f>
        <v/>
      </c>
      <c r="P345" s="16">
        <f>RAND()</f>
        <v/>
      </c>
    </row>
    <row r="346">
      <c r="A346" s="13" t="n">
        <v>342</v>
      </c>
      <c r="B346" s="17">
        <f>IF(N346&lt;$K$5,$H$5+SQRT(N346*($J$5-$H$5)*($I$5-$H$5)),$J$5-SQRT((1-N346)*($J$5-$H$5)*($J$5-$I$5)))</f>
        <v/>
      </c>
      <c r="C346" s="17">
        <f>IF(O346&lt;$K$6,$H$6+SQRT(O346*($J$6-$H$6)*($I$6-$H$6)),$J$6-SQRT((1-O346)*($J$6-$H$6)*($J$6-$I$6)))</f>
        <v/>
      </c>
      <c r="D346" s="17">
        <f>IF(P346&lt;$K$7,$H$7+SQRT(P346*($J$7-$H$7)*($I$7-$H$7)),$J$7-SQRT((1-P346)*($J$7-$H$7)*($J$7-$I$7)))</f>
        <v/>
      </c>
      <c r="E346" s="17">
        <f>SUM(B346:D346)</f>
        <v/>
      </c>
      <c r="N346" s="16">
        <f>RAND()</f>
        <v/>
      </c>
      <c r="O346" s="16">
        <f>RAND()</f>
        <v/>
      </c>
      <c r="P346" s="16">
        <f>RAND()</f>
        <v/>
      </c>
    </row>
    <row r="347">
      <c r="A347" s="13" t="n">
        <v>343</v>
      </c>
      <c r="B347" s="17">
        <f>IF(N347&lt;$K$5,$H$5+SQRT(N347*($J$5-$H$5)*($I$5-$H$5)),$J$5-SQRT((1-N347)*($J$5-$H$5)*($J$5-$I$5)))</f>
        <v/>
      </c>
      <c r="C347" s="17">
        <f>IF(O347&lt;$K$6,$H$6+SQRT(O347*($J$6-$H$6)*($I$6-$H$6)),$J$6-SQRT((1-O347)*($J$6-$H$6)*($J$6-$I$6)))</f>
        <v/>
      </c>
      <c r="D347" s="17">
        <f>IF(P347&lt;$K$7,$H$7+SQRT(P347*($J$7-$H$7)*($I$7-$H$7)),$J$7-SQRT((1-P347)*($J$7-$H$7)*($J$7-$I$7)))</f>
        <v/>
      </c>
      <c r="E347" s="17">
        <f>SUM(B347:D347)</f>
        <v/>
      </c>
      <c r="N347" s="16">
        <f>RAND()</f>
        <v/>
      </c>
      <c r="O347" s="16">
        <f>RAND()</f>
        <v/>
      </c>
      <c r="P347" s="16">
        <f>RAND()</f>
        <v/>
      </c>
    </row>
    <row r="348">
      <c r="A348" s="13" t="n">
        <v>344</v>
      </c>
      <c r="B348" s="17">
        <f>IF(N348&lt;$K$5,$H$5+SQRT(N348*($J$5-$H$5)*($I$5-$H$5)),$J$5-SQRT((1-N348)*($J$5-$H$5)*($J$5-$I$5)))</f>
        <v/>
      </c>
      <c r="C348" s="17">
        <f>IF(O348&lt;$K$6,$H$6+SQRT(O348*($J$6-$H$6)*($I$6-$H$6)),$J$6-SQRT((1-O348)*($J$6-$H$6)*($J$6-$I$6)))</f>
        <v/>
      </c>
      <c r="D348" s="17">
        <f>IF(P348&lt;$K$7,$H$7+SQRT(P348*($J$7-$H$7)*($I$7-$H$7)),$J$7-SQRT((1-P348)*($J$7-$H$7)*($J$7-$I$7)))</f>
        <v/>
      </c>
      <c r="E348" s="17">
        <f>SUM(B348:D348)</f>
        <v/>
      </c>
      <c r="N348" s="16">
        <f>RAND()</f>
        <v/>
      </c>
      <c r="O348" s="16">
        <f>RAND()</f>
        <v/>
      </c>
      <c r="P348" s="16">
        <f>RAND()</f>
        <v/>
      </c>
    </row>
    <row r="349">
      <c r="A349" s="13" t="n">
        <v>345</v>
      </c>
      <c r="B349" s="17">
        <f>IF(N349&lt;$K$5,$H$5+SQRT(N349*($J$5-$H$5)*($I$5-$H$5)),$J$5-SQRT((1-N349)*($J$5-$H$5)*($J$5-$I$5)))</f>
        <v/>
      </c>
      <c r="C349" s="17">
        <f>IF(O349&lt;$K$6,$H$6+SQRT(O349*($J$6-$H$6)*($I$6-$H$6)),$J$6-SQRT((1-O349)*($J$6-$H$6)*($J$6-$I$6)))</f>
        <v/>
      </c>
      <c r="D349" s="17">
        <f>IF(P349&lt;$K$7,$H$7+SQRT(P349*($J$7-$H$7)*($I$7-$H$7)),$J$7-SQRT((1-P349)*($J$7-$H$7)*($J$7-$I$7)))</f>
        <v/>
      </c>
      <c r="E349" s="17">
        <f>SUM(B349:D349)</f>
        <v/>
      </c>
      <c r="N349" s="16">
        <f>RAND()</f>
        <v/>
      </c>
      <c r="O349" s="16">
        <f>RAND()</f>
        <v/>
      </c>
      <c r="P349" s="16">
        <f>RAND()</f>
        <v/>
      </c>
    </row>
    <row r="350">
      <c r="A350" s="13" t="n">
        <v>346</v>
      </c>
      <c r="B350" s="17">
        <f>IF(N350&lt;$K$5,$H$5+SQRT(N350*($J$5-$H$5)*($I$5-$H$5)),$J$5-SQRT((1-N350)*($J$5-$H$5)*($J$5-$I$5)))</f>
        <v/>
      </c>
      <c r="C350" s="17">
        <f>IF(O350&lt;$K$6,$H$6+SQRT(O350*($J$6-$H$6)*($I$6-$H$6)),$J$6-SQRT((1-O350)*($J$6-$H$6)*($J$6-$I$6)))</f>
        <v/>
      </c>
      <c r="D350" s="17">
        <f>IF(P350&lt;$K$7,$H$7+SQRT(P350*($J$7-$H$7)*($I$7-$H$7)),$J$7-SQRT((1-P350)*($J$7-$H$7)*($J$7-$I$7)))</f>
        <v/>
      </c>
      <c r="E350" s="17">
        <f>SUM(B350:D350)</f>
        <v/>
      </c>
      <c r="N350" s="16">
        <f>RAND()</f>
        <v/>
      </c>
      <c r="O350" s="16">
        <f>RAND()</f>
        <v/>
      </c>
      <c r="P350" s="16">
        <f>RAND()</f>
        <v/>
      </c>
    </row>
    <row r="351">
      <c r="A351" s="13" t="n">
        <v>347</v>
      </c>
      <c r="B351" s="17">
        <f>IF(N351&lt;$K$5,$H$5+SQRT(N351*($J$5-$H$5)*($I$5-$H$5)),$J$5-SQRT((1-N351)*($J$5-$H$5)*($J$5-$I$5)))</f>
        <v/>
      </c>
      <c r="C351" s="17">
        <f>IF(O351&lt;$K$6,$H$6+SQRT(O351*($J$6-$H$6)*($I$6-$H$6)),$J$6-SQRT((1-O351)*($J$6-$H$6)*($J$6-$I$6)))</f>
        <v/>
      </c>
      <c r="D351" s="17">
        <f>IF(P351&lt;$K$7,$H$7+SQRT(P351*($J$7-$H$7)*($I$7-$H$7)),$J$7-SQRT((1-P351)*($J$7-$H$7)*($J$7-$I$7)))</f>
        <v/>
      </c>
      <c r="E351" s="17">
        <f>SUM(B351:D351)</f>
        <v/>
      </c>
      <c r="N351" s="16">
        <f>RAND()</f>
        <v/>
      </c>
      <c r="O351" s="16">
        <f>RAND()</f>
        <v/>
      </c>
      <c r="P351" s="16">
        <f>RAND()</f>
        <v/>
      </c>
    </row>
    <row r="352">
      <c r="A352" s="13" t="n">
        <v>348</v>
      </c>
      <c r="B352" s="17">
        <f>IF(N352&lt;$K$5,$H$5+SQRT(N352*($J$5-$H$5)*($I$5-$H$5)),$J$5-SQRT((1-N352)*($J$5-$H$5)*($J$5-$I$5)))</f>
        <v/>
      </c>
      <c r="C352" s="17">
        <f>IF(O352&lt;$K$6,$H$6+SQRT(O352*($J$6-$H$6)*($I$6-$H$6)),$J$6-SQRT((1-O352)*($J$6-$H$6)*($J$6-$I$6)))</f>
        <v/>
      </c>
      <c r="D352" s="17">
        <f>IF(P352&lt;$K$7,$H$7+SQRT(P352*($J$7-$H$7)*($I$7-$H$7)),$J$7-SQRT((1-P352)*($J$7-$H$7)*($J$7-$I$7)))</f>
        <v/>
      </c>
      <c r="E352" s="17">
        <f>SUM(B352:D352)</f>
        <v/>
      </c>
      <c r="N352" s="16">
        <f>RAND()</f>
        <v/>
      </c>
      <c r="O352" s="16">
        <f>RAND()</f>
        <v/>
      </c>
      <c r="P352" s="16">
        <f>RAND()</f>
        <v/>
      </c>
    </row>
    <row r="353">
      <c r="A353" s="13" t="n">
        <v>349</v>
      </c>
      <c r="B353" s="17">
        <f>IF(N353&lt;$K$5,$H$5+SQRT(N353*($J$5-$H$5)*($I$5-$H$5)),$J$5-SQRT((1-N353)*($J$5-$H$5)*($J$5-$I$5)))</f>
        <v/>
      </c>
      <c r="C353" s="17">
        <f>IF(O353&lt;$K$6,$H$6+SQRT(O353*($J$6-$H$6)*($I$6-$H$6)),$J$6-SQRT((1-O353)*($J$6-$H$6)*($J$6-$I$6)))</f>
        <v/>
      </c>
      <c r="D353" s="17">
        <f>IF(P353&lt;$K$7,$H$7+SQRT(P353*($J$7-$H$7)*($I$7-$H$7)),$J$7-SQRT((1-P353)*($J$7-$H$7)*($J$7-$I$7)))</f>
        <v/>
      </c>
      <c r="E353" s="17">
        <f>SUM(B353:D353)</f>
        <v/>
      </c>
      <c r="N353" s="16">
        <f>RAND()</f>
        <v/>
      </c>
      <c r="O353" s="16">
        <f>RAND()</f>
        <v/>
      </c>
      <c r="P353" s="16">
        <f>RAND()</f>
        <v/>
      </c>
    </row>
    <row r="354">
      <c r="A354" s="13" t="n">
        <v>350</v>
      </c>
      <c r="B354" s="17">
        <f>IF(N354&lt;$K$5,$H$5+SQRT(N354*($J$5-$H$5)*($I$5-$H$5)),$J$5-SQRT((1-N354)*($J$5-$H$5)*($J$5-$I$5)))</f>
        <v/>
      </c>
      <c r="C354" s="17">
        <f>IF(O354&lt;$K$6,$H$6+SQRT(O354*($J$6-$H$6)*($I$6-$H$6)),$J$6-SQRT((1-O354)*($J$6-$H$6)*($J$6-$I$6)))</f>
        <v/>
      </c>
      <c r="D354" s="17">
        <f>IF(P354&lt;$K$7,$H$7+SQRT(P354*($J$7-$H$7)*($I$7-$H$7)),$J$7-SQRT((1-P354)*($J$7-$H$7)*($J$7-$I$7)))</f>
        <v/>
      </c>
      <c r="E354" s="17">
        <f>SUM(B354:D354)</f>
        <v/>
      </c>
      <c r="N354" s="16">
        <f>RAND()</f>
        <v/>
      </c>
      <c r="O354" s="16">
        <f>RAND()</f>
        <v/>
      </c>
      <c r="P354" s="16">
        <f>RAND()</f>
        <v/>
      </c>
    </row>
    <row r="355">
      <c r="A355" s="13" t="n">
        <v>351</v>
      </c>
      <c r="B355" s="17">
        <f>IF(N355&lt;$K$5,$H$5+SQRT(N355*($J$5-$H$5)*($I$5-$H$5)),$J$5-SQRT((1-N355)*($J$5-$H$5)*($J$5-$I$5)))</f>
        <v/>
      </c>
      <c r="C355" s="17">
        <f>IF(O355&lt;$K$6,$H$6+SQRT(O355*($J$6-$H$6)*($I$6-$H$6)),$J$6-SQRT((1-O355)*($J$6-$H$6)*($J$6-$I$6)))</f>
        <v/>
      </c>
      <c r="D355" s="17">
        <f>IF(P355&lt;$K$7,$H$7+SQRT(P355*($J$7-$H$7)*($I$7-$H$7)),$J$7-SQRT((1-P355)*($J$7-$H$7)*($J$7-$I$7)))</f>
        <v/>
      </c>
      <c r="E355" s="17">
        <f>SUM(B355:D355)</f>
        <v/>
      </c>
      <c r="N355" s="16">
        <f>RAND()</f>
        <v/>
      </c>
      <c r="O355" s="16">
        <f>RAND()</f>
        <v/>
      </c>
      <c r="P355" s="16">
        <f>RAND()</f>
        <v/>
      </c>
    </row>
    <row r="356">
      <c r="A356" s="13" t="n">
        <v>352</v>
      </c>
      <c r="B356" s="17">
        <f>IF(N356&lt;$K$5,$H$5+SQRT(N356*($J$5-$H$5)*($I$5-$H$5)),$J$5-SQRT((1-N356)*($J$5-$H$5)*($J$5-$I$5)))</f>
        <v/>
      </c>
      <c r="C356" s="17">
        <f>IF(O356&lt;$K$6,$H$6+SQRT(O356*($J$6-$H$6)*($I$6-$H$6)),$J$6-SQRT((1-O356)*($J$6-$H$6)*($J$6-$I$6)))</f>
        <v/>
      </c>
      <c r="D356" s="17">
        <f>IF(P356&lt;$K$7,$H$7+SQRT(P356*($J$7-$H$7)*($I$7-$H$7)),$J$7-SQRT((1-P356)*($J$7-$H$7)*($J$7-$I$7)))</f>
        <v/>
      </c>
      <c r="E356" s="17">
        <f>SUM(B356:D356)</f>
        <v/>
      </c>
      <c r="N356" s="16">
        <f>RAND()</f>
        <v/>
      </c>
      <c r="O356" s="16">
        <f>RAND()</f>
        <v/>
      </c>
      <c r="P356" s="16">
        <f>RAND()</f>
        <v/>
      </c>
    </row>
    <row r="357">
      <c r="A357" s="13" t="n">
        <v>353</v>
      </c>
      <c r="B357" s="17">
        <f>IF(N357&lt;$K$5,$H$5+SQRT(N357*($J$5-$H$5)*($I$5-$H$5)),$J$5-SQRT((1-N357)*($J$5-$H$5)*($J$5-$I$5)))</f>
        <v/>
      </c>
      <c r="C357" s="17">
        <f>IF(O357&lt;$K$6,$H$6+SQRT(O357*($J$6-$H$6)*($I$6-$H$6)),$J$6-SQRT((1-O357)*($J$6-$H$6)*($J$6-$I$6)))</f>
        <v/>
      </c>
      <c r="D357" s="17">
        <f>IF(P357&lt;$K$7,$H$7+SQRT(P357*($J$7-$H$7)*($I$7-$H$7)),$J$7-SQRT((1-P357)*($J$7-$H$7)*($J$7-$I$7)))</f>
        <v/>
      </c>
      <c r="E357" s="17">
        <f>SUM(B357:D357)</f>
        <v/>
      </c>
      <c r="N357" s="16">
        <f>RAND()</f>
        <v/>
      </c>
      <c r="O357" s="16">
        <f>RAND()</f>
        <v/>
      </c>
      <c r="P357" s="16">
        <f>RAND()</f>
        <v/>
      </c>
    </row>
    <row r="358">
      <c r="A358" s="13" t="n">
        <v>354</v>
      </c>
      <c r="B358" s="17">
        <f>IF(N358&lt;$K$5,$H$5+SQRT(N358*($J$5-$H$5)*($I$5-$H$5)),$J$5-SQRT((1-N358)*($J$5-$H$5)*($J$5-$I$5)))</f>
        <v/>
      </c>
      <c r="C358" s="17">
        <f>IF(O358&lt;$K$6,$H$6+SQRT(O358*($J$6-$H$6)*($I$6-$H$6)),$J$6-SQRT((1-O358)*($J$6-$H$6)*($J$6-$I$6)))</f>
        <v/>
      </c>
      <c r="D358" s="17">
        <f>IF(P358&lt;$K$7,$H$7+SQRT(P358*($J$7-$H$7)*($I$7-$H$7)),$J$7-SQRT((1-P358)*($J$7-$H$7)*($J$7-$I$7)))</f>
        <v/>
      </c>
      <c r="E358" s="17">
        <f>SUM(B358:D358)</f>
        <v/>
      </c>
      <c r="N358" s="16">
        <f>RAND()</f>
        <v/>
      </c>
      <c r="O358" s="16">
        <f>RAND()</f>
        <v/>
      </c>
      <c r="P358" s="16">
        <f>RAND()</f>
        <v/>
      </c>
    </row>
    <row r="359">
      <c r="A359" s="13" t="n">
        <v>355</v>
      </c>
      <c r="B359" s="17">
        <f>IF(N359&lt;$K$5,$H$5+SQRT(N359*($J$5-$H$5)*($I$5-$H$5)),$J$5-SQRT((1-N359)*($J$5-$H$5)*($J$5-$I$5)))</f>
        <v/>
      </c>
      <c r="C359" s="17">
        <f>IF(O359&lt;$K$6,$H$6+SQRT(O359*($J$6-$H$6)*($I$6-$H$6)),$J$6-SQRT((1-O359)*($J$6-$H$6)*($J$6-$I$6)))</f>
        <v/>
      </c>
      <c r="D359" s="17">
        <f>IF(P359&lt;$K$7,$H$7+SQRT(P359*($J$7-$H$7)*($I$7-$H$7)),$J$7-SQRT((1-P359)*($J$7-$H$7)*($J$7-$I$7)))</f>
        <v/>
      </c>
      <c r="E359" s="17">
        <f>SUM(B359:D359)</f>
        <v/>
      </c>
      <c r="N359" s="16">
        <f>RAND()</f>
        <v/>
      </c>
      <c r="O359" s="16">
        <f>RAND()</f>
        <v/>
      </c>
      <c r="P359" s="16">
        <f>RAND()</f>
        <v/>
      </c>
    </row>
    <row r="360">
      <c r="A360" s="13" t="n">
        <v>356</v>
      </c>
      <c r="B360" s="17">
        <f>IF(N360&lt;$K$5,$H$5+SQRT(N360*($J$5-$H$5)*($I$5-$H$5)),$J$5-SQRT((1-N360)*($J$5-$H$5)*($J$5-$I$5)))</f>
        <v/>
      </c>
      <c r="C360" s="17">
        <f>IF(O360&lt;$K$6,$H$6+SQRT(O360*($J$6-$H$6)*($I$6-$H$6)),$J$6-SQRT((1-O360)*($J$6-$H$6)*($J$6-$I$6)))</f>
        <v/>
      </c>
      <c r="D360" s="17">
        <f>IF(P360&lt;$K$7,$H$7+SQRT(P360*($J$7-$H$7)*($I$7-$H$7)),$J$7-SQRT((1-P360)*($J$7-$H$7)*($J$7-$I$7)))</f>
        <v/>
      </c>
      <c r="E360" s="17">
        <f>SUM(B360:D360)</f>
        <v/>
      </c>
      <c r="N360" s="16">
        <f>RAND()</f>
        <v/>
      </c>
      <c r="O360" s="16">
        <f>RAND()</f>
        <v/>
      </c>
      <c r="P360" s="16">
        <f>RAND()</f>
        <v/>
      </c>
    </row>
    <row r="361">
      <c r="A361" s="13" t="n">
        <v>357</v>
      </c>
      <c r="B361" s="17">
        <f>IF(N361&lt;$K$5,$H$5+SQRT(N361*($J$5-$H$5)*($I$5-$H$5)),$J$5-SQRT((1-N361)*($J$5-$H$5)*($J$5-$I$5)))</f>
        <v/>
      </c>
      <c r="C361" s="17">
        <f>IF(O361&lt;$K$6,$H$6+SQRT(O361*($J$6-$H$6)*($I$6-$H$6)),$J$6-SQRT((1-O361)*($J$6-$H$6)*($J$6-$I$6)))</f>
        <v/>
      </c>
      <c r="D361" s="17">
        <f>IF(P361&lt;$K$7,$H$7+SQRT(P361*($J$7-$H$7)*($I$7-$H$7)),$J$7-SQRT((1-P361)*($J$7-$H$7)*($J$7-$I$7)))</f>
        <v/>
      </c>
      <c r="E361" s="17">
        <f>SUM(B361:D361)</f>
        <v/>
      </c>
      <c r="N361" s="16">
        <f>RAND()</f>
        <v/>
      </c>
      <c r="O361" s="16">
        <f>RAND()</f>
        <v/>
      </c>
      <c r="P361" s="16">
        <f>RAND()</f>
        <v/>
      </c>
    </row>
    <row r="362">
      <c r="A362" s="13" t="n">
        <v>358</v>
      </c>
      <c r="B362" s="17">
        <f>IF(N362&lt;$K$5,$H$5+SQRT(N362*($J$5-$H$5)*($I$5-$H$5)),$J$5-SQRT((1-N362)*($J$5-$H$5)*($J$5-$I$5)))</f>
        <v/>
      </c>
      <c r="C362" s="17">
        <f>IF(O362&lt;$K$6,$H$6+SQRT(O362*($J$6-$H$6)*($I$6-$H$6)),$J$6-SQRT((1-O362)*($J$6-$H$6)*($J$6-$I$6)))</f>
        <v/>
      </c>
      <c r="D362" s="17">
        <f>IF(P362&lt;$K$7,$H$7+SQRT(P362*($J$7-$H$7)*($I$7-$H$7)),$J$7-SQRT((1-P362)*($J$7-$H$7)*($J$7-$I$7)))</f>
        <v/>
      </c>
      <c r="E362" s="17">
        <f>SUM(B362:D362)</f>
        <v/>
      </c>
      <c r="N362" s="16">
        <f>RAND()</f>
        <v/>
      </c>
      <c r="O362" s="16">
        <f>RAND()</f>
        <v/>
      </c>
      <c r="P362" s="16">
        <f>RAND()</f>
        <v/>
      </c>
    </row>
    <row r="363">
      <c r="A363" s="13" t="n">
        <v>359</v>
      </c>
      <c r="B363" s="17">
        <f>IF(N363&lt;$K$5,$H$5+SQRT(N363*($J$5-$H$5)*($I$5-$H$5)),$J$5-SQRT((1-N363)*($J$5-$H$5)*($J$5-$I$5)))</f>
        <v/>
      </c>
      <c r="C363" s="17">
        <f>IF(O363&lt;$K$6,$H$6+SQRT(O363*($J$6-$H$6)*($I$6-$H$6)),$J$6-SQRT((1-O363)*($J$6-$H$6)*($J$6-$I$6)))</f>
        <v/>
      </c>
      <c r="D363" s="17">
        <f>IF(P363&lt;$K$7,$H$7+SQRT(P363*($J$7-$H$7)*($I$7-$H$7)),$J$7-SQRT((1-P363)*($J$7-$H$7)*($J$7-$I$7)))</f>
        <v/>
      </c>
      <c r="E363" s="17">
        <f>SUM(B363:D363)</f>
        <v/>
      </c>
      <c r="N363" s="16">
        <f>RAND()</f>
        <v/>
      </c>
      <c r="O363" s="16">
        <f>RAND()</f>
        <v/>
      </c>
      <c r="P363" s="16">
        <f>RAND()</f>
        <v/>
      </c>
    </row>
    <row r="364">
      <c r="A364" s="13" t="n">
        <v>360</v>
      </c>
      <c r="B364" s="17">
        <f>IF(N364&lt;$K$5,$H$5+SQRT(N364*($J$5-$H$5)*($I$5-$H$5)),$J$5-SQRT((1-N364)*($J$5-$H$5)*($J$5-$I$5)))</f>
        <v/>
      </c>
      <c r="C364" s="17">
        <f>IF(O364&lt;$K$6,$H$6+SQRT(O364*($J$6-$H$6)*($I$6-$H$6)),$J$6-SQRT((1-O364)*($J$6-$H$6)*($J$6-$I$6)))</f>
        <v/>
      </c>
      <c r="D364" s="17">
        <f>IF(P364&lt;$K$7,$H$7+SQRT(P364*($J$7-$H$7)*($I$7-$H$7)),$J$7-SQRT((1-P364)*($J$7-$H$7)*($J$7-$I$7)))</f>
        <v/>
      </c>
      <c r="E364" s="17">
        <f>SUM(B364:D364)</f>
        <v/>
      </c>
      <c r="N364" s="16">
        <f>RAND()</f>
        <v/>
      </c>
      <c r="O364" s="16">
        <f>RAND()</f>
        <v/>
      </c>
      <c r="P364" s="16">
        <f>RAND()</f>
        <v/>
      </c>
    </row>
    <row r="365">
      <c r="A365" s="13" t="n">
        <v>361</v>
      </c>
      <c r="B365" s="17">
        <f>IF(N365&lt;$K$5,$H$5+SQRT(N365*($J$5-$H$5)*($I$5-$H$5)),$J$5-SQRT((1-N365)*($J$5-$H$5)*($J$5-$I$5)))</f>
        <v/>
      </c>
      <c r="C365" s="17">
        <f>IF(O365&lt;$K$6,$H$6+SQRT(O365*($J$6-$H$6)*($I$6-$H$6)),$J$6-SQRT((1-O365)*($J$6-$H$6)*($J$6-$I$6)))</f>
        <v/>
      </c>
      <c r="D365" s="17">
        <f>IF(P365&lt;$K$7,$H$7+SQRT(P365*($J$7-$H$7)*($I$7-$H$7)),$J$7-SQRT((1-P365)*($J$7-$H$7)*($J$7-$I$7)))</f>
        <v/>
      </c>
      <c r="E365" s="17">
        <f>SUM(B365:D365)</f>
        <v/>
      </c>
      <c r="N365" s="16">
        <f>RAND()</f>
        <v/>
      </c>
      <c r="O365" s="16">
        <f>RAND()</f>
        <v/>
      </c>
      <c r="P365" s="16">
        <f>RAND()</f>
        <v/>
      </c>
    </row>
    <row r="366">
      <c r="A366" s="13" t="n">
        <v>362</v>
      </c>
      <c r="B366" s="17">
        <f>IF(N366&lt;$K$5,$H$5+SQRT(N366*($J$5-$H$5)*($I$5-$H$5)),$J$5-SQRT((1-N366)*($J$5-$H$5)*($J$5-$I$5)))</f>
        <v/>
      </c>
      <c r="C366" s="17">
        <f>IF(O366&lt;$K$6,$H$6+SQRT(O366*($J$6-$H$6)*($I$6-$H$6)),$J$6-SQRT((1-O366)*($J$6-$H$6)*($J$6-$I$6)))</f>
        <v/>
      </c>
      <c r="D366" s="17">
        <f>IF(P366&lt;$K$7,$H$7+SQRT(P366*($J$7-$H$7)*($I$7-$H$7)),$J$7-SQRT((1-P366)*($J$7-$H$7)*($J$7-$I$7)))</f>
        <v/>
      </c>
      <c r="E366" s="17">
        <f>SUM(B366:D366)</f>
        <v/>
      </c>
      <c r="N366" s="16">
        <f>RAND()</f>
        <v/>
      </c>
      <c r="O366" s="16">
        <f>RAND()</f>
        <v/>
      </c>
      <c r="P366" s="16">
        <f>RAND()</f>
        <v/>
      </c>
    </row>
    <row r="367">
      <c r="A367" s="13" t="n">
        <v>363</v>
      </c>
      <c r="B367" s="17">
        <f>IF(N367&lt;$K$5,$H$5+SQRT(N367*($J$5-$H$5)*($I$5-$H$5)),$J$5-SQRT((1-N367)*($J$5-$H$5)*($J$5-$I$5)))</f>
        <v/>
      </c>
      <c r="C367" s="17">
        <f>IF(O367&lt;$K$6,$H$6+SQRT(O367*($J$6-$H$6)*($I$6-$H$6)),$J$6-SQRT((1-O367)*($J$6-$H$6)*($J$6-$I$6)))</f>
        <v/>
      </c>
      <c r="D367" s="17">
        <f>IF(P367&lt;$K$7,$H$7+SQRT(P367*($J$7-$H$7)*($I$7-$H$7)),$J$7-SQRT((1-P367)*($J$7-$H$7)*($J$7-$I$7)))</f>
        <v/>
      </c>
      <c r="E367" s="17">
        <f>SUM(B367:D367)</f>
        <v/>
      </c>
      <c r="N367" s="16">
        <f>RAND()</f>
        <v/>
      </c>
      <c r="O367" s="16">
        <f>RAND()</f>
        <v/>
      </c>
      <c r="P367" s="16">
        <f>RAND()</f>
        <v/>
      </c>
    </row>
    <row r="368">
      <c r="A368" s="13" t="n">
        <v>364</v>
      </c>
      <c r="B368" s="17">
        <f>IF(N368&lt;$K$5,$H$5+SQRT(N368*($J$5-$H$5)*($I$5-$H$5)),$J$5-SQRT((1-N368)*($J$5-$H$5)*($J$5-$I$5)))</f>
        <v/>
      </c>
      <c r="C368" s="17">
        <f>IF(O368&lt;$K$6,$H$6+SQRT(O368*($J$6-$H$6)*($I$6-$H$6)),$J$6-SQRT((1-O368)*($J$6-$H$6)*($J$6-$I$6)))</f>
        <v/>
      </c>
      <c r="D368" s="17">
        <f>IF(P368&lt;$K$7,$H$7+SQRT(P368*($J$7-$H$7)*($I$7-$H$7)),$J$7-SQRT((1-P368)*($J$7-$H$7)*($J$7-$I$7)))</f>
        <v/>
      </c>
      <c r="E368" s="17">
        <f>SUM(B368:D368)</f>
        <v/>
      </c>
      <c r="N368" s="16">
        <f>RAND()</f>
        <v/>
      </c>
      <c r="O368" s="16">
        <f>RAND()</f>
        <v/>
      </c>
      <c r="P368" s="16">
        <f>RAND()</f>
        <v/>
      </c>
    </row>
    <row r="369">
      <c r="A369" s="13" t="n">
        <v>365</v>
      </c>
      <c r="B369" s="17">
        <f>IF(N369&lt;$K$5,$H$5+SQRT(N369*($J$5-$H$5)*($I$5-$H$5)),$J$5-SQRT((1-N369)*($J$5-$H$5)*($J$5-$I$5)))</f>
        <v/>
      </c>
      <c r="C369" s="17">
        <f>IF(O369&lt;$K$6,$H$6+SQRT(O369*($J$6-$H$6)*($I$6-$H$6)),$J$6-SQRT((1-O369)*($J$6-$H$6)*($J$6-$I$6)))</f>
        <v/>
      </c>
      <c r="D369" s="17">
        <f>IF(P369&lt;$K$7,$H$7+SQRT(P369*($J$7-$H$7)*($I$7-$H$7)),$J$7-SQRT((1-P369)*($J$7-$H$7)*($J$7-$I$7)))</f>
        <v/>
      </c>
      <c r="E369" s="17">
        <f>SUM(B369:D369)</f>
        <v/>
      </c>
      <c r="N369" s="16">
        <f>RAND()</f>
        <v/>
      </c>
      <c r="O369" s="16">
        <f>RAND()</f>
        <v/>
      </c>
      <c r="P369" s="16">
        <f>RAND()</f>
        <v/>
      </c>
    </row>
    <row r="370">
      <c r="A370" s="13" t="n">
        <v>366</v>
      </c>
      <c r="B370" s="17">
        <f>IF(N370&lt;$K$5,$H$5+SQRT(N370*($J$5-$H$5)*($I$5-$H$5)),$J$5-SQRT((1-N370)*($J$5-$H$5)*($J$5-$I$5)))</f>
        <v/>
      </c>
      <c r="C370" s="17">
        <f>IF(O370&lt;$K$6,$H$6+SQRT(O370*($J$6-$H$6)*($I$6-$H$6)),$J$6-SQRT((1-O370)*($J$6-$H$6)*($J$6-$I$6)))</f>
        <v/>
      </c>
      <c r="D370" s="17">
        <f>IF(P370&lt;$K$7,$H$7+SQRT(P370*($J$7-$H$7)*($I$7-$H$7)),$J$7-SQRT((1-P370)*($J$7-$H$7)*($J$7-$I$7)))</f>
        <v/>
      </c>
      <c r="E370" s="17">
        <f>SUM(B370:D370)</f>
        <v/>
      </c>
      <c r="N370" s="16">
        <f>RAND()</f>
        <v/>
      </c>
      <c r="O370" s="16">
        <f>RAND()</f>
        <v/>
      </c>
      <c r="P370" s="16">
        <f>RAND()</f>
        <v/>
      </c>
    </row>
    <row r="371">
      <c r="A371" s="13" t="n">
        <v>367</v>
      </c>
      <c r="B371" s="17">
        <f>IF(N371&lt;$K$5,$H$5+SQRT(N371*($J$5-$H$5)*($I$5-$H$5)),$J$5-SQRT((1-N371)*($J$5-$H$5)*($J$5-$I$5)))</f>
        <v/>
      </c>
      <c r="C371" s="17">
        <f>IF(O371&lt;$K$6,$H$6+SQRT(O371*($J$6-$H$6)*($I$6-$H$6)),$J$6-SQRT((1-O371)*($J$6-$H$6)*($J$6-$I$6)))</f>
        <v/>
      </c>
      <c r="D371" s="17">
        <f>IF(P371&lt;$K$7,$H$7+SQRT(P371*($J$7-$H$7)*($I$7-$H$7)),$J$7-SQRT((1-P371)*($J$7-$H$7)*($J$7-$I$7)))</f>
        <v/>
      </c>
      <c r="E371" s="17">
        <f>SUM(B371:D371)</f>
        <v/>
      </c>
      <c r="N371" s="16">
        <f>RAND()</f>
        <v/>
      </c>
      <c r="O371" s="16">
        <f>RAND()</f>
        <v/>
      </c>
      <c r="P371" s="16">
        <f>RAND()</f>
        <v/>
      </c>
    </row>
    <row r="372">
      <c r="A372" s="13" t="n">
        <v>368</v>
      </c>
      <c r="B372" s="17">
        <f>IF(N372&lt;$K$5,$H$5+SQRT(N372*($J$5-$H$5)*($I$5-$H$5)),$J$5-SQRT((1-N372)*($J$5-$H$5)*($J$5-$I$5)))</f>
        <v/>
      </c>
      <c r="C372" s="17">
        <f>IF(O372&lt;$K$6,$H$6+SQRT(O372*($J$6-$H$6)*($I$6-$H$6)),$J$6-SQRT((1-O372)*($J$6-$H$6)*($J$6-$I$6)))</f>
        <v/>
      </c>
      <c r="D372" s="17">
        <f>IF(P372&lt;$K$7,$H$7+SQRT(P372*($J$7-$H$7)*($I$7-$H$7)),$J$7-SQRT((1-P372)*($J$7-$H$7)*($J$7-$I$7)))</f>
        <v/>
      </c>
      <c r="E372" s="17">
        <f>SUM(B372:D372)</f>
        <v/>
      </c>
      <c r="N372" s="16">
        <f>RAND()</f>
        <v/>
      </c>
      <c r="O372" s="16">
        <f>RAND()</f>
        <v/>
      </c>
      <c r="P372" s="16">
        <f>RAND()</f>
        <v/>
      </c>
    </row>
    <row r="373">
      <c r="A373" s="13" t="n">
        <v>369</v>
      </c>
      <c r="B373" s="17">
        <f>IF(N373&lt;$K$5,$H$5+SQRT(N373*($J$5-$H$5)*($I$5-$H$5)),$J$5-SQRT((1-N373)*($J$5-$H$5)*($J$5-$I$5)))</f>
        <v/>
      </c>
      <c r="C373" s="17">
        <f>IF(O373&lt;$K$6,$H$6+SQRT(O373*($J$6-$H$6)*($I$6-$H$6)),$J$6-SQRT((1-O373)*($J$6-$H$6)*($J$6-$I$6)))</f>
        <v/>
      </c>
      <c r="D373" s="17">
        <f>IF(P373&lt;$K$7,$H$7+SQRT(P373*($J$7-$H$7)*($I$7-$H$7)),$J$7-SQRT((1-P373)*($J$7-$H$7)*($J$7-$I$7)))</f>
        <v/>
      </c>
      <c r="E373" s="17">
        <f>SUM(B373:D373)</f>
        <v/>
      </c>
      <c r="N373" s="16">
        <f>RAND()</f>
        <v/>
      </c>
      <c r="O373" s="16">
        <f>RAND()</f>
        <v/>
      </c>
      <c r="P373" s="16">
        <f>RAND()</f>
        <v/>
      </c>
    </row>
    <row r="374">
      <c r="A374" s="13" t="n">
        <v>370</v>
      </c>
      <c r="B374" s="17">
        <f>IF(N374&lt;$K$5,$H$5+SQRT(N374*($J$5-$H$5)*($I$5-$H$5)),$J$5-SQRT((1-N374)*($J$5-$H$5)*($J$5-$I$5)))</f>
        <v/>
      </c>
      <c r="C374" s="17">
        <f>IF(O374&lt;$K$6,$H$6+SQRT(O374*($J$6-$H$6)*($I$6-$H$6)),$J$6-SQRT((1-O374)*($J$6-$H$6)*($J$6-$I$6)))</f>
        <v/>
      </c>
      <c r="D374" s="17">
        <f>IF(P374&lt;$K$7,$H$7+SQRT(P374*($J$7-$H$7)*($I$7-$H$7)),$J$7-SQRT((1-P374)*($J$7-$H$7)*($J$7-$I$7)))</f>
        <v/>
      </c>
      <c r="E374" s="17">
        <f>SUM(B374:D374)</f>
        <v/>
      </c>
      <c r="N374" s="16">
        <f>RAND()</f>
        <v/>
      </c>
      <c r="O374" s="16">
        <f>RAND()</f>
        <v/>
      </c>
      <c r="P374" s="16">
        <f>RAND()</f>
        <v/>
      </c>
    </row>
    <row r="375">
      <c r="A375" s="13" t="n">
        <v>371</v>
      </c>
      <c r="B375" s="17">
        <f>IF(N375&lt;$K$5,$H$5+SQRT(N375*($J$5-$H$5)*($I$5-$H$5)),$J$5-SQRT((1-N375)*($J$5-$H$5)*($J$5-$I$5)))</f>
        <v/>
      </c>
      <c r="C375" s="17">
        <f>IF(O375&lt;$K$6,$H$6+SQRT(O375*($J$6-$H$6)*($I$6-$H$6)),$J$6-SQRT((1-O375)*($J$6-$H$6)*($J$6-$I$6)))</f>
        <v/>
      </c>
      <c r="D375" s="17">
        <f>IF(P375&lt;$K$7,$H$7+SQRT(P375*($J$7-$H$7)*($I$7-$H$7)),$J$7-SQRT((1-P375)*($J$7-$H$7)*($J$7-$I$7)))</f>
        <v/>
      </c>
      <c r="E375" s="17">
        <f>SUM(B375:D375)</f>
        <v/>
      </c>
      <c r="N375" s="16">
        <f>RAND()</f>
        <v/>
      </c>
      <c r="O375" s="16">
        <f>RAND()</f>
        <v/>
      </c>
      <c r="P375" s="16">
        <f>RAND()</f>
        <v/>
      </c>
    </row>
    <row r="376">
      <c r="A376" s="13" t="n">
        <v>372</v>
      </c>
      <c r="B376" s="17">
        <f>IF(N376&lt;$K$5,$H$5+SQRT(N376*($J$5-$H$5)*($I$5-$H$5)),$J$5-SQRT((1-N376)*($J$5-$H$5)*($J$5-$I$5)))</f>
        <v/>
      </c>
      <c r="C376" s="17">
        <f>IF(O376&lt;$K$6,$H$6+SQRT(O376*($J$6-$H$6)*($I$6-$H$6)),$J$6-SQRT((1-O376)*($J$6-$H$6)*($J$6-$I$6)))</f>
        <v/>
      </c>
      <c r="D376" s="17">
        <f>IF(P376&lt;$K$7,$H$7+SQRT(P376*($J$7-$H$7)*($I$7-$H$7)),$J$7-SQRT((1-P376)*($J$7-$H$7)*($J$7-$I$7)))</f>
        <v/>
      </c>
      <c r="E376" s="17">
        <f>SUM(B376:D376)</f>
        <v/>
      </c>
      <c r="N376" s="16">
        <f>RAND()</f>
        <v/>
      </c>
      <c r="O376" s="16">
        <f>RAND()</f>
        <v/>
      </c>
      <c r="P376" s="16">
        <f>RAND()</f>
        <v/>
      </c>
    </row>
    <row r="377">
      <c r="A377" s="13" t="n">
        <v>373</v>
      </c>
      <c r="B377" s="17">
        <f>IF(N377&lt;$K$5,$H$5+SQRT(N377*($J$5-$H$5)*($I$5-$H$5)),$J$5-SQRT((1-N377)*($J$5-$H$5)*($J$5-$I$5)))</f>
        <v/>
      </c>
      <c r="C377" s="17">
        <f>IF(O377&lt;$K$6,$H$6+SQRT(O377*($J$6-$H$6)*($I$6-$H$6)),$J$6-SQRT((1-O377)*($J$6-$H$6)*($J$6-$I$6)))</f>
        <v/>
      </c>
      <c r="D377" s="17">
        <f>IF(P377&lt;$K$7,$H$7+SQRT(P377*($J$7-$H$7)*($I$7-$H$7)),$J$7-SQRT((1-P377)*($J$7-$H$7)*($J$7-$I$7)))</f>
        <v/>
      </c>
      <c r="E377" s="17">
        <f>SUM(B377:D377)</f>
        <v/>
      </c>
      <c r="N377" s="16">
        <f>RAND()</f>
        <v/>
      </c>
      <c r="O377" s="16">
        <f>RAND()</f>
        <v/>
      </c>
      <c r="P377" s="16">
        <f>RAND()</f>
        <v/>
      </c>
    </row>
    <row r="378">
      <c r="A378" s="13" t="n">
        <v>374</v>
      </c>
      <c r="B378" s="17">
        <f>IF(N378&lt;$K$5,$H$5+SQRT(N378*($J$5-$H$5)*($I$5-$H$5)),$J$5-SQRT((1-N378)*($J$5-$H$5)*($J$5-$I$5)))</f>
        <v/>
      </c>
      <c r="C378" s="17">
        <f>IF(O378&lt;$K$6,$H$6+SQRT(O378*($J$6-$H$6)*($I$6-$H$6)),$J$6-SQRT((1-O378)*($J$6-$H$6)*($J$6-$I$6)))</f>
        <v/>
      </c>
      <c r="D378" s="17">
        <f>IF(P378&lt;$K$7,$H$7+SQRT(P378*($J$7-$H$7)*($I$7-$H$7)),$J$7-SQRT((1-P378)*($J$7-$H$7)*($J$7-$I$7)))</f>
        <v/>
      </c>
      <c r="E378" s="17">
        <f>SUM(B378:D378)</f>
        <v/>
      </c>
      <c r="N378" s="16">
        <f>RAND()</f>
        <v/>
      </c>
      <c r="O378" s="16">
        <f>RAND()</f>
        <v/>
      </c>
      <c r="P378" s="16">
        <f>RAND()</f>
        <v/>
      </c>
    </row>
    <row r="379">
      <c r="A379" s="13" t="n">
        <v>375</v>
      </c>
      <c r="B379" s="17">
        <f>IF(N379&lt;$K$5,$H$5+SQRT(N379*($J$5-$H$5)*($I$5-$H$5)),$J$5-SQRT((1-N379)*($J$5-$H$5)*($J$5-$I$5)))</f>
        <v/>
      </c>
      <c r="C379" s="17">
        <f>IF(O379&lt;$K$6,$H$6+SQRT(O379*($J$6-$H$6)*($I$6-$H$6)),$J$6-SQRT((1-O379)*($J$6-$H$6)*($J$6-$I$6)))</f>
        <v/>
      </c>
      <c r="D379" s="17">
        <f>IF(P379&lt;$K$7,$H$7+SQRT(P379*($J$7-$H$7)*($I$7-$H$7)),$J$7-SQRT((1-P379)*($J$7-$H$7)*($J$7-$I$7)))</f>
        <v/>
      </c>
      <c r="E379" s="17">
        <f>SUM(B379:D379)</f>
        <v/>
      </c>
      <c r="N379" s="16">
        <f>RAND()</f>
        <v/>
      </c>
      <c r="O379" s="16">
        <f>RAND()</f>
        <v/>
      </c>
      <c r="P379" s="16">
        <f>RAND()</f>
        <v/>
      </c>
    </row>
    <row r="380">
      <c r="A380" s="13" t="n">
        <v>376</v>
      </c>
      <c r="B380" s="17">
        <f>IF(N380&lt;$K$5,$H$5+SQRT(N380*($J$5-$H$5)*($I$5-$H$5)),$J$5-SQRT((1-N380)*($J$5-$H$5)*($J$5-$I$5)))</f>
        <v/>
      </c>
      <c r="C380" s="17">
        <f>IF(O380&lt;$K$6,$H$6+SQRT(O380*($J$6-$H$6)*($I$6-$H$6)),$J$6-SQRT((1-O380)*($J$6-$H$6)*($J$6-$I$6)))</f>
        <v/>
      </c>
      <c r="D380" s="17">
        <f>IF(P380&lt;$K$7,$H$7+SQRT(P380*($J$7-$H$7)*($I$7-$H$7)),$J$7-SQRT((1-P380)*($J$7-$H$7)*($J$7-$I$7)))</f>
        <v/>
      </c>
      <c r="E380" s="17">
        <f>SUM(B380:D380)</f>
        <v/>
      </c>
      <c r="N380" s="16">
        <f>RAND()</f>
        <v/>
      </c>
      <c r="O380" s="16">
        <f>RAND()</f>
        <v/>
      </c>
      <c r="P380" s="16">
        <f>RAND()</f>
        <v/>
      </c>
    </row>
    <row r="381">
      <c r="A381" s="13" t="n">
        <v>377</v>
      </c>
      <c r="B381" s="17">
        <f>IF(N381&lt;$K$5,$H$5+SQRT(N381*($J$5-$H$5)*($I$5-$H$5)),$J$5-SQRT((1-N381)*($J$5-$H$5)*($J$5-$I$5)))</f>
        <v/>
      </c>
      <c r="C381" s="17">
        <f>IF(O381&lt;$K$6,$H$6+SQRT(O381*($J$6-$H$6)*($I$6-$H$6)),$J$6-SQRT((1-O381)*($J$6-$H$6)*($J$6-$I$6)))</f>
        <v/>
      </c>
      <c r="D381" s="17">
        <f>IF(P381&lt;$K$7,$H$7+SQRT(P381*($J$7-$H$7)*($I$7-$H$7)),$J$7-SQRT((1-P381)*($J$7-$H$7)*($J$7-$I$7)))</f>
        <v/>
      </c>
      <c r="E381" s="17">
        <f>SUM(B381:D381)</f>
        <v/>
      </c>
      <c r="N381" s="16">
        <f>RAND()</f>
        <v/>
      </c>
      <c r="O381" s="16">
        <f>RAND()</f>
        <v/>
      </c>
      <c r="P381" s="16">
        <f>RAND()</f>
        <v/>
      </c>
    </row>
    <row r="382">
      <c r="A382" s="13" t="n">
        <v>378</v>
      </c>
      <c r="B382" s="17">
        <f>IF(N382&lt;$K$5,$H$5+SQRT(N382*($J$5-$H$5)*($I$5-$H$5)),$J$5-SQRT((1-N382)*($J$5-$H$5)*($J$5-$I$5)))</f>
        <v/>
      </c>
      <c r="C382" s="17">
        <f>IF(O382&lt;$K$6,$H$6+SQRT(O382*($J$6-$H$6)*($I$6-$H$6)),$J$6-SQRT((1-O382)*($J$6-$H$6)*($J$6-$I$6)))</f>
        <v/>
      </c>
      <c r="D382" s="17">
        <f>IF(P382&lt;$K$7,$H$7+SQRT(P382*($J$7-$H$7)*($I$7-$H$7)),$J$7-SQRT((1-P382)*($J$7-$H$7)*($J$7-$I$7)))</f>
        <v/>
      </c>
      <c r="E382" s="17">
        <f>SUM(B382:D382)</f>
        <v/>
      </c>
      <c r="N382" s="16">
        <f>RAND()</f>
        <v/>
      </c>
      <c r="O382" s="16">
        <f>RAND()</f>
        <v/>
      </c>
      <c r="P382" s="16">
        <f>RAND()</f>
        <v/>
      </c>
    </row>
    <row r="383">
      <c r="A383" s="13" t="n">
        <v>379</v>
      </c>
      <c r="B383" s="17">
        <f>IF(N383&lt;$K$5,$H$5+SQRT(N383*($J$5-$H$5)*($I$5-$H$5)),$J$5-SQRT((1-N383)*($J$5-$H$5)*($J$5-$I$5)))</f>
        <v/>
      </c>
      <c r="C383" s="17">
        <f>IF(O383&lt;$K$6,$H$6+SQRT(O383*($J$6-$H$6)*($I$6-$H$6)),$J$6-SQRT((1-O383)*($J$6-$H$6)*($J$6-$I$6)))</f>
        <v/>
      </c>
      <c r="D383" s="17">
        <f>IF(P383&lt;$K$7,$H$7+SQRT(P383*($J$7-$H$7)*($I$7-$H$7)),$J$7-SQRT((1-P383)*($J$7-$H$7)*($J$7-$I$7)))</f>
        <v/>
      </c>
      <c r="E383" s="17">
        <f>SUM(B383:D383)</f>
        <v/>
      </c>
      <c r="N383" s="16">
        <f>RAND()</f>
        <v/>
      </c>
      <c r="O383" s="16">
        <f>RAND()</f>
        <v/>
      </c>
      <c r="P383" s="16">
        <f>RAND()</f>
        <v/>
      </c>
    </row>
    <row r="384">
      <c r="A384" s="13" t="n">
        <v>380</v>
      </c>
      <c r="B384" s="17">
        <f>IF(N384&lt;$K$5,$H$5+SQRT(N384*($J$5-$H$5)*($I$5-$H$5)),$J$5-SQRT((1-N384)*($J$5-$H$5)*($J$5-$I$5)))</f>
        <v/>
      </c>
      <c r="C384" s="17">
        <f>IF(O384&lt;$K$6,$H$6+SQRT(O384*($J$6-$H$6)*($I$6-$H$6)),$J$6-SQRT((1-O384)*($J$6-$H$6)*($J$6-$I$6)))</f>
        <v/>
      </c>
      <c r="D384" s="17">
        <f>IF(P384&lt;$K$7,$H$7+SQRT(P384*($J$7-$H$7)*($I$7-$H$7)),$J$7-SQRT((1-P384)*($J$7-$H$7)*($J$7-$I$7)))</f>
        <v/>
      </c>
      <c r="E384" s="17">
        <f>SUM(B384:D384)</f>
        <v/>
      </c>
      <c r="N384" s="16">
        <f>RAND()</f>
        <v/>
      </c>
      <c r="O384" s="16">
        <f>RAND()</f>
        <v/>
      </c>
      <c r="P384" s="16">
        <f>RAND()</f>
        <v/>
      </c>
    </row>
    <row r="385">
      <c r="A385" s="13" t="n">
        <v>381</v>
      </c>
      <c r="B385" s="17">
        <f>IF(N385&lt;$K$5,$H$5+SQRT(N385*($J$5-$H$5)*($I$5-$H$5)),$J$5-SQRT((1-N385)*($J$5-$H$5)*($J$5-$I$5)))</f>
        <v/>
      </c>
      <c r="C385" s="17">
        <f>IF(O385&lt;$K$6,$H$6+SQRT(O385*($J$6-$H$6)*($I$6-$H$6)),$J$6-SQRT((1-O385)*($J$6-$H$6)*($J$6-$I$6)))</f>
        <v/>
      </c>
      <c r="D385" s="17">
        <f>IF(P385&lt;$K$7,$H$7+SQRT(P385*($J$7-$H$7)*($I$7-$H$7)),$J$7-SQRT((1-P385)*($J$7-$H$7)*($J$7-$I$7)))</f>
        <v/>
      </c>
      <c r="E385" s="17">
        <f>SUM(B385:D385)</f>
        <v/>
      </c>
      <c r="N385" s="16">
        <f>RAND()</f>
        <v/>
      </c>
      <c r="O385" s="16">
        <f>RAND()</f>
        <v/>
      </c>
      <c r="P385" s="16">
        <f>RAND()</f>
        <v/>
      </c>
    </row>
    <row r="386">
      <c r="A386" s="13" t="n">
        <v>382</v>
      </c>
      <c r="B386" s="17">
        <f>IF(N386&lt;$K$5,$H$5+SQRT(N386*($J$5-$H$5)*($I$5-$H$5)),$J$5-SQRT((1-N386)*($J$5-$H$5)*($J$5-$I$5)))</f>
        <v/>
      </c>
      <c r="C386" s="17">
        <f>IF(O386&lt;$K$6,$H$6+SQRT(O386*($J$6-$H$6)*($I$6-$H$6)),$J$6-SQRT((1-O386)*($J$6-$H$6)*($J$6-$I$6)))</f>
        <v/>
      </c>
      <c r="D386" s="17">
        <f>IF(P386&lt;$K$7,$H$7+SQRT(P386*($J$7-$H$7)*($I$7-$H$7)),$J$7-SQRT((1-P386)*($J$7-$H$7)*($J$7-$I$7)))</f>
        <v/>
      </c>
      <c r="E386" s="17">
        <f>SUM(B386:D386)</f>
        <v/>
      </c>
      <c r="N386" s="16">
        <f>RAND()</f>
        <v/>
      </c>
      <c r="O386" s="16">
        <f>RAND()</f>
        <v/>
      </c>
      <c r="P386" s="16">
        <f>RAND()</f>
        <v/>
      </c>
    </row>
    <row r="387">
      <c r="A387" s="13" t="n">
        <v>383</v>
      </c>
      <c r="B387" s="17">
        <f>IF(N387&lt;$K$5,$H$5+SQRT(N387*($J$5-$H$5)*($I$5-$H$5)),$J$5-SQRT((1-N387)*($J$5-$H$5)*($J$5-$I$5)))</f>
        <v/>
      </c>
      <c r="C387" s="17">
        <f>IF(O387&lt;$K$6,$H$6+SQRT(O387*($J$6-$H$6)*($I$6-$H$6)),$J$6-SQRT((1-O387)*($J$6-$H$6)*($J$6-$I$6)))</f>
        <v/>
      </c>
      <c r="D387" s="17">
        <f>IF(P387&lt;$K$7,$H$7+SQRT(P387*($J$7-$H$7)*($I$7-$H$7)),$J$7-SQRT((1-P387)*($J$7-$H$7)*($J$7-$I$7)))</f>
        <v/>
      </c>
      <c r="E387" s="17">
        <f>SUM(B387:D387)</f>
        <v/>
      </c>
      <c r="N387" s="16">
        <f>RAND()</f>
        <v/>
      </c>
      <c r="O387" s="16">
        <f>RAND()</f>
        <v/>
      </c>
      <c r="P387" s="16">
        <f>RAND()</f>
        <v/>
      </c>
    </row>
    <row r="388">
      <c r="A388" s="13" t="n">
        <v>384</v>
      </c>
      <c r="B388" s="17">
        <f>IF(N388&lt;$K$5,$H$5+SQRT(N388*($J$5-$H$5)*($I$5-$H$5)),$J$5-SQRT((1-N388)*($J$5-$H$5)*($J$5-$I$5)))</f>
        <v/>
      </c>
      <c r="C388" s="17">
        <f>IF(O388&lt;$K$6,$H$6+SQRT(O388*($J$6-$H$6)*($I$6-$H$6)),$J$6-SQRT((1-O388)*($J$6-$H$6)*($J$6-$I$6)))</f>
        <v/>
      </c>
      <c r="D388" s="17">
        <f>IF(P388&lt;$K$7,$H$7+SQRT(P388*($J$7-$H$7)*($I$7-$H$7)),$J$7-SQRT((1-P388)*($J$7-$H$7)*($J$7-$I$7)))</f>
        <v/>
      </c>
      <c r="E388" s="17">
        <f>SUM(B388:D388)</f>
        <v/>
      </c>
      <c r="N388" s="16">
        <f>RAND()</f>
        <v/>
      </c>
      <c r="O388" s="16">
        <f>RAND()</f>
        <v/>
      </c>
      <c r="P388" s="16">
        <f>RAND()</f>
        <v/>
      </c>
    </row>
    <row r="389">
      <c r="A389" s="13" t="n">
        <v>385</v>
      </c>
      <c r="B389" s="17">
        <f>IF(N389&lt;$K$5,$H$5+SQRT(N389*($J$5-$H$5)*($I$5-$H$5)),$J$5-SQRT((1-N389)*($J$5-$H$5)*($J$5-$I$5)))</f>
        <v/>
      </c>
      <c r="C389" s="17">
        <f>IF(O389&lt;$K$6,$H$6+SQRT(O389*($J$6-$H$6)*($I$6-$H$6)),$J$6-SQRT((1-O389)*($J$6-$H$6)*($J$6-$I$6)))</f>
        <v/>
      </c>
      <c r="D389" s="17">
        <f>IF(P389&lt;$K$7,$H$7+SQRT(P389*($J$7-$H$7)*($I$7-$H$7)),$J$7-SQRT((1-P389)*($J$7-$H$7)*($J$7-$I$7)))</f>
        <v/>
      </c>
      <c r="E389" s="17">
        <f>SUM(B389:D389)</f>
        <v/>
      </c>
      <c r="N389" s="16">
        <f>RAND()</f>
        <v/>
      </c>
      <c r="O389" s="16">
        <f>RAND()</f>
        <v/>
      </c>
      <c r="P389" s="16">
        <f>RAND()</f>
        <v/>
      </c>
    </row>
    <row r="390">
      <c r="A390" s="13" t="n">
        <v>386</v>
      </c>
      <c r="B390" s="17">
        <f>IF(N390&lt;$K$5,$H$5+SQRT(N390*($J$5-$H$5)*($I$5-$H$5)),$J$5-SQRT((1-N390)*($J$5-$H$5)*($J$5-$I$5)))</f>
        <v/>
      </c>
      <c r="C390" s="17">
        <f>IF(O390&lt;$K$6,$H$6+SQRT(O390*($J$6-$H$6)*($I$6-$H$6)),$J$6-SQRT((1-O390)*($J$6-$H$6)*($J$6-$I$6)))</f>
        <v/>
      </c>
      <c r="D390" s="17">
        <f>IF(P390&lt;$K$7,$H$7+SQRT(P390*($J$7-$H$7)*($I$7-$H$7)),$J$7-SQRT((1-P390)*($J$7-$H$7)*($J$7-$I$7)))</f>
        <v/>
      </c>
      <c r="E390" s="17">
        <f>SUM(B390:D390)</f>
        <v/>
      </c>
      <c r="N390" s="16">
        <f>RAND()</f>
        <v/>
      </c>
      <c r="O390" s="16">
        <f>RAND()</f>
        <v/>
      </c>
      <c r="P390" s="16">
        <f>RAND()</f>
        <v/>
      </c>
    </row>
    <row r="391">
      <c r="A391" s="13" t="n">
        <v>387</v>
      </c>
      <c r="B391" s="17">
        <f>IF(N391&lt;$K$5,$H$5+SQRT(N391*($J$5-$H$5)*($I$5-$H$5)),$J$5-SQRT((1-N391)*($J$5-$H$5)*($J$5-$I$5)))</f>
        <v/>
      </c>
      <c r="C391" s="17">
        <f>IF(O391&lt;$K$6,$H$6+SQRT(O391*($J$6-$H$6)*($I$6-$H$6)),$J$6-SQRT((1-O391)*($J$6-$H$6)*($J$6-$I$6)))</f>
        <v/>
      </c>
      <c r="D391" s="17">
        <f>IF(P391&lt;$K$7,$H$7+SQRT(P391*($J$7-$H$7)*($I$7-$H$7)),$J$7-SQRT((1-P391)*($J$7-$H$7)*($J$7-$I$7)))</f>
        <v/>
      </c>
      <c r="E391" s="17">
        <f>SUM(B391:D391)</f>
        <v/>
      </c>
      <c r="N391" s="16">
        <f>RAND()</f>
        <v/>
      </c>
      <c r="O391" s="16">
        <f>RAND()</f>
        <v/>
      </c>
      <c r="P391" s="16">
        <f>RAND()</f>
        <v/>
      </c>
    </row>
    <row r="392">
      <c r="A392" s="13" t="n">
        <v>388</v>
      </c>
      <c r="B392" s="17">
        <f>IF(N392&lt;$K$5,$H$5+SQRT(N392*($J$5-$H$5)*($I$5-$H$5)),$J$5-SQRT((1-N392)*($J$5-$H$5)*($J$5-$I$5)))</f>
        <v/>
      </c>
      <c r="C392" s="17">
        <f>IF(O392&lt;$K$6,$H$6+SQRT(O392*($J$6-$H$6)*($I$6-$H$6)),$J$6-SQRT((1-O392)*($J$6-$H$6)*($J$6-$I$6)))</f>
        <v/>
      </c>
      <c r="D392" s="17">
        <f>IF(P392&lt;$K$7,$H$7+SQRT(P392*($J$7-$H$7)*($I$7-$H$7)),$J$7-SQRT((1-P392)*($J$7-$H$7)*($J$7-$I$7)))</f>
        <v/>
      </c>
      <c r="E392" s="17">
        <f>SUM(B392:D392)</f>
        <v/>
      </c>
      <c r="N392" s="16">
        <f>RAND()</f>
        <v/>
      </c>
      <c r="O392" s="16">
        <f>RAND()</f>
        <v/>
      </c>
      <c r="P392" s="16">
        <f>RAND()</f>
        <v/>
      </c>
    </row>
    <row r="393">
      <c r="A393" s="13" t="n">
        <v>389</v>
      </c>
      <c r="B393" s="17">
        <f>IF(N393&lt;$K$5,$H$5+SQRT(N393*($J$5-$H$5)*($I$5-$H$5)),$J$5-SQRT((1-N393)*($J$5-$H$5)*($J$5-$I$5)))</f>
        <v/>
      </c>
      <c r="C393" s="17">
        <f>IF(O393&lt;$K$6,$H$6+SQRT(O393*($J$6-$H$6)*($I$6-$H$6)),$J$6-SQRT((1-O393)*($J$6-$H$6)*($J$6-$I$6)))</f>
        <v/>
      </c>
      <c r="D393" s="17">
        <f>IF(P393&lt;$K$7,$H$7+SQRT(P393*($J$7-$H$7)*($I$7-$H$7)),$J$7-SQRT((1-P393)*($J$7-$H$7)*($J$7-$I$7)))</f>
        <v/>
      </c>
      <c r="E393" s="17">
        <f>SUM(B393:D393)</f>
        <v/>
      </c>
      <c r="N393" s="16">
        <f>RAND()</f>
        <v/>
      </c>
      <c r="O393" s="16">
        <f>RAND()</f>
        <v/>
      </c>
      <c r="P393" s="16">
        <f>RAND()</f>
        <v/>
      </c>
    </row>
    <row r="394">
      <c r="A394" s="13" t="n">
        <v>390</v>
      </c>
      <c r="B394" s="17">
        <f>IF(N394&lt;$K$5,$H$5+SQRT(N394*($J$5-$H$5)*($I$5-$H$5)),$J$5-SQRT((1-N394)*($J$5-$H$5)*($J$5-$I$5)))</f>
        <v/>
      </c>
      <c r="C394" s="17">
        <f>IF(O394&lt;$K$6,$H$6+SQRT(O394*($J$6-$H$6)*($I$6-$H$6)),$J$6-SQRT((1-O394)*($J$6-$H$6)*($J$6-$I$6)))</f>
        <v/>
      </c>
      <c r="D394" s="17">
        <f>IF(P394&lt;$K$7,$H$7+SQRT(P394*($J$7-$H$7)*($I$7-$H$7)),$J$7-SQRT((1-P394)*($J$7-$H$7)*($J$7-$I$7)))</f>
        <v/>
      </c>
      <c r="E394" s="17">
        <f>SUM(B394:D394)</f>
        <v/>
      </c>
      <c r="N394" s="16">
        <f>RAND()</f>
        <v/>
      </c>
      <c r="O394" s="16">
        <f>RAND()</f>
        <v/>
      </c>
      <c r="P394" s="16">
        <f>RAND()</f>
        <v/>
      </c>
    </row>
    <row r="395">
      <c r="A395" s="13" t="n">
        <v>391</v>
      </c>
      <c r="B395" s="17">
        <f>IF(N395&lt;$K$5,$H$5+SQRT(N395*($J$5-$H$5)*($I$5-$H$5)),$J$5-SQRT((1-N395)*($J$5-$H$5)*($J$5-$I$5)))</f>
        <v/>
      </c>
      <c r="C395" s="17">
        <f>IF(O395&lt;$K$6,$H$6+SQRT(O395*($J$6-$H$6)*($I$6-$H$6)),$J$6-SQRT((1-O395)*($J$6-$H$6)*($J$6-$I$6)))</f>
        <v/>
      </c>
      <c r="D395" s="17">
        <f>IF(P395&lt;$K$7,$H$7+SQRT(P395*($J$7-$H$7)*($I$7-$H$7)),$J$7-SQRT((1-P395)*($J$7-$H$7)*($J$7-$I$7)))</f>
        <v/>
      </c>
      <c r="E395" s="17">
        <f>SUM(B395:D395)</f>
        <v/>
      </c>
      <c r="N395" s="16">
        <f>RAND()</f>
        <v/>
      </c>
      <c r="O395" s="16">
        <f>RAND()</f>
        <v/>
      </c>
      <c r="P395" s="16">
        <f>RAND()</f>
        <v/>
      </c>
    </row>
    <row r="396">
      <c r="A396" s="13" t="n">
        <v>392</v>
      </c>
      <c r="B396" s="17">
        <f>IF(N396&lt;$K$5,$H$5+SQRT(N396*($J$5-$H$5)*($I$5-$H$5)),$J$5-SQRT((1-N396)*($J$5-$H$5)*($J$5-$I$5)))</f>
        <v/>
      </c>
      <c r="C396" s="17">
        <f>IF(O396&lt;$K$6,$H$6+SQRT(O396*($J$6-$H$6)*($I$6-$H$6)),$J$6-SQRT((1-O396)*($J$6-$H$6)*($J$6-$I$6)))</f>
        <v/>
      </c>
      <c r="D396" s="17">
        <f>IF(P396&lt;$K$7,$H$7+SQRT(P396*($J$7-$H$7)*($I$7-$H$7)),$J$7-SQRT((1-P396)*($J$7-$H$7)*($J$7-$I$7)))</f>
        <v/>
      </c>
      <c r="E396" s="17">
        <f>SUM(B396:D396)</f>
        <v/>
      </c>
      <c r="N396" s="16">
        <f>RAND()</f>
        <v/>
      </c>
      <c r="O396" s="16">
        <f>RAND()</f>
        <v/>
      </c>
      <c r="P396" s="16">
        <f>RAND()</f>
        <v/>
      </c>
    </row>
    <row r="397">
      <c r="A397" s="13" t="n">
        <v>393</v>
      </c>
      <c r="B397" s="17">
        <f>IF(N397&lt;$K$5,$H$5+SQRT(N397*($J$5-$H$5)*($I$5-$H$5)),$J$5-SQRT((1-N397)*($J$5-$H$5)*($J$5-$I$5)))</f>
        <v/>
      </c>
      <c r="C397" s="17">
        <f>IF(O397&lt;$K$6,$H$6+SQRT(O397*($J$6-$H$6)*($I$6-$H$6)),$J$6-SQRT((1-O397)*($J$6-$H$6)*($J$6-$I$6)))</f>
        <v/>
      </c>
      <c r="D397" s="17">
        <f>IF(P397&lt;$K$7,$H$7+SQRT(P397*($J$7-$H$7)*($I$7-$H$7)),$J$7-SQRT((1-P397)*($J$7-$H$7)*($J$7-$I$7)))</f>
        <v/>
      </c>
      <c r="E397" s="17">
        <f>SUM(B397:D397)</f>
        <v/>
      </c>
      <c r="N397" s="16">
        <f>RAND()</f>
        <v/>
      </c>
      <c r="O397" s="16">
        <f>RAND()</f>
        <v/>
      </c>
      <c r="P397" s="16">
        <f>RAND()</f>
        <v/>
      </c>
    </row>
    <row r="398">
      <c r="A398" s="13" t="n">
        <v>394</v>
      </c>
      <c r="B398" s="17">
        <f>IF(N398&lt;$K$5,$H$5+SQRT(N398*($J$5-$H$5)*($I$5-$H$5)),$J$5-SQRT((1-N398)*($J$5-$H$5)*($J$5-$I$5)))</f>
        <v/>
      </c>
      <c r="C398" s="17">
        <f>IF(O398&lt;$K$6,$H$6+SQRT(O398*($J$6-$H$6)*($I$6-$H$6)),$J$6-SQRT((1-O398)*($J$6-$H$6)*($J$6-$I$6)))</f>
        <v/>
      </c>
      <c r="D398" s="17">
        <f>IF(P398&lt;$K$7,$H$7+SQRT(P398*($J$7-$H$7)*($I$7-$H$7)),$J$7-SQRT((1-P398)*($J$7-$H$7)*($J$7-$I$7)))</f>
        <v/>
      </c>
      <c r="E398" s="17">
        <f>SUM(B398:D398)</f>
        <v/>
      </c>
      <c r="N398" s="16">
        <f>RAND()</f>
        <v/>
      </c>
      <c r="O398" s="16">
        <f>RAND()</f>
        <v/>
      </c>
      <c r="P398" s="16">
        <f>RAND()</f>
        <v/>
      </c>
    </row>
    <row r="399">
      <c r="A399" s="13" t="n">
        <v>395</v>
      </c>
      <c r="B399" s="17">
        <f>IF(N399&lt;$K$5,$H$5+SQRT(N399*($J$5-$H$5)*($I$5-$H$5)),$J$5-SQRT((1-N399)*($J$5-$H$5)*($J$5-$I$5)))</f>
        <v/>
      </c>
      <c r="C399" s="17">
        <f>IF(O399&lt;$K$6,$H$6+SQRT(O399*($J$6-$H$6)*($I$6-$H$6)),$J$6-SQRT((1-O399)*($J$6-$H$6)*($J$6-$I$6)))</f>
        <v/>
      </c>
      <c r="D399" s="17">
        <f>IF(P399&lt;$K$7,$H$7+SQRT(P399*($J$7-$H$7)*($I$7-$H$7)),$J$7-SQRT((1-P399)*($J$7-$H$7)*($J$7-$I$7)))</f>
        <v/>
      </c>
      <c r="E399" s="17">
        <f>SUM(B399:D399)</f>
        <v/>
      </c>
      <c r="N399" s="16">
        <f>RAND()</f>
        <v/>
      </c>
      <c r="O399" s="16">
        <f>RAND()</f>
        <v/>
      </c>
      <c r="P399" s="16">
        <f>RAND()</f>
        <v/>
      </c>
    </row>
    <row r="400">
      <c r="A400" s="13" t="n">
        <v>396</v>
      </c>
      <c r="B400" s="17">
        <f>IF(N400&lt;$K$5,$H$5+SQRT(N400*($J$5-$H$5)*($I$5-$H$5)),$J$5-SQRT((1-N400)*($J$5-$H$5)*($J$5-$I$5)))</f>
        <v/>
      </c>
      <c r="C400" s="17">
        <f>IF(O400&lt;$K$6,$H$6+SQRT(O400*($J$6-$H$6)*($I$6-$H$6)),$J$6-SQRT((1-O400)*($J$6-$H$6)*($J$6-$I$6)))</f>
        <v/>
      </c>
      <c r="D400" s="17">
        <f>IF(P400&lt;$K$7,$H$7+SQRT(P400*($J$7-$H$7)*($I$7-$H$7)),$J$7-SQRT((1-P400)*($J$7-$H$7)*($J$7-$I$7)))</f>
        <v/>
      </c>
      <c r="E400" s="17">
        <f>SUM(B400:D400)</f>
        <v/>
      </c>
      <c r="N400" s="16">
        <f>RAND()</f>
        <v/>
      </c>
      <c r="O400" s="16">
        <f>RAND()</f>
        <v/>
      </c>
      <c r="P400" s="16">
        <f>RAND()</f>
        <v/>
      </c>
    </row>
    <row r="401">
      <c r="A401" s="13" t="n">
        <v>397</v>
      </c>
      <c r="B401" s="17">
        <f>IF(N401&lt;$K$5,$H$5+SQRT(N401*($J$5-$H$5)*($I$5-$H$5)),$J$5-SQRT((1-N401)*($J$5-$H$5)*($J$5-$I$5)))</f>
        <v/>
      </c>
      <c r="C401" s="17">
        <f>IF(O401&lt;$K$6,$H$6+SQRT(O401*($J$6-$H$6)*($I$6-$H$6)),$J$6-SQRT((1-O401)*($J$6-$H$6)*($J$6-$I$6)))</f>
        <v/>
      </c>
      <c r="D401" s="17">
        <f>IF(P401&lt;$K$7,$H$7+SQRT(P401*($J$7-$H$7)*($I$7-$H$7)),$J$7-SQRT((1-P401)*($J$7-$H$7)*($J$7-$I$7)))</f>
        <v/>
      </c>
      <c r="E401" s="17">
        <f>SUM(B401:D401)</f>
        <v/>
      </c>
      <c r="N401" s="16">
        <f>RAND()</f>
        <v/>
      </c>
      <c r="O401" s="16">
        <f>RAND()</f>
        <v/>
      </c>
      <c r="P401" s="16">
        <f>RAND()</f>
        <v/>
      </c>
    </row>
    <row r="402">
      <c r="A402" s="13" t="n">
        <v>398</v>
      </c>
      <c r="B402" s="17">
        <f>IF(N402&lt;$K$5,$H$5+SQRT(N402*($J$5-$H$5)*($I$5-$H$5)),$J$5-SQRT((1-N402)*($J$5-$H$5)*($J$5-$I$5)))</f>
        <v/>
      </c>
      <c r="C402" s="17">
        <f>IF(O402&lt;$K$6,$H$6+SQRT(O402*($J$6-$H$6)*($I$6-$H$6)),$J$6-SQRT((1-O402)*($J$6-$H$6)*($J$6-$I$6)))</f>
        <v/>
      </c>
      <c r="D402" s="17">
        <f>IF(P402&lt;$K$7,$H$7+SQRT(P402*($J$7-$H$7)*($I$7-$H$7)),$J$7-SQRT((1-P402)*($J$7-$H$7)*($J$7-$I$7)))</f>
        <v/>
      </c>
      <c r="E402" s="17">
        <f>SUM(B402:D402)</f>
        <v/>
      </c>
      <c r="N402" s="16">
        <f>RAND()</f>
        <v/>
      </c>
      <c r="O402" s="16">
        <f>RAND()</f>
        <v/>
      </c>
      <c r="P402" s="16">
        <f>RAND()</f>
        <v/>
      </c>
    </row>
    <row r="403">
      <c r="A403" s="13" t="n">
        <v>399</v>
      </c>
      <c r="B403" s="17">
        <f>IF(N403&lt;$K$5,$H$5+SQRT(N403*($J$5-$H$5)*($I$5-$H$5)),$J$5-SQRT((1-N403)*($J$5-$H$5)*($J$5-$I$5)))</f>
        <v/>
      </c>
      <c r="C403" s="17">
        <f>IF(O403&lt;$K$6,$H$6+SQRT(O403*($J$6-$H$6)*($I$6-$H$6)),$J$6-SQRT((1-O403)*($J$6-$H$6)*($J$6-$I$6)))</f>
        <v/>
      </c>
      <c r="D403" s="17">
        <f>IF(P403&lt;$K$7,$H$7+SQRT(P403*($J$7-$H$7)*($I$7-$H$7)),$J$7-SQRT((1-P403)*($J$7-$H$7)*($J$7-$I$7)))</f>
        <v/>
      </c>
      <c r="E403" s="17">
        <f>SUM(B403:D403)</f>
        <v/>
      </c>
      <c r="N403" s="16">
        <f>RAND()</f>
        <v/>
      </c>
      <c r="O403" s="16">
        <f>RAND()</f>
        <v/>
      </c>
      <c r="P403" s="16">
        <f>RAND()</f>
        <v/>
      </c>
    </row>
    <row r="404">
      <c r="A404" s="13" t="n">
        <v>400</v>
      </c>
      <c r="B404" s="17">
        <f>IF(N404&lt;$K$5,$H$5+SQRT(N404*($J$5-$H$5)*($I$5-$H$5)),$J$5-SQRT((1-N404)*($J$5-$H$5)*($J$5-$I$5)))</f>
        <v/>
      </c>
      <c r="C404" s="17">
        <f>IF(O404&lt;$K$6,$H$6+SQRT(O404*($J$6-$H$6)*($I$6-$H$6)),$J$6-SQRT((1-O404)*($J$6-$H$6)*($J$6-$I$6)))</f>
        <v/>
      </c>
      <c r="D404" s="17">
        <f>IF(P404&lt;$K$7,$H$7+SQRT(P404*($J$7-$H$7)*($I$7-$H$7)),$J$7-SQRT((1-P404)*($J$7-$H$7)*($J$7-$I$7)))</f>
        <v/>
      </c>
      <c r="E404" s="17">
        <f>SUM(B404:D404)</f>
        <v/>
      </c>
      <c r="N404" s="16">
        <f>RAND()</f>
        <v/>
      </c>
      <c r="O404" s="16">
        <f>RAND()</f>
        <v/>
      </c>
      <c r="P404" s="16">
        <f>RAND()</f>
        <v/>
      </c>
    </row>
    <row r="405">
      <c r="A405" s="13" t="n">
        <v>401</v>
      </c>
      <c r="B405" s="17">
        <f>IF(N405&lt;$K$5,$H$5+SQRT(N405*($J$5-$H$5)*($I$5-$H$5)),$J$5-SQRT((1-N405)*($J$5-$H$5)*($J$5-$I$5)))</f>
        <v/>
      </c>
      <c r="C405" s="17">
        <f>IF(O405&lt;$K$6,$H$6+SQRT(O405*($J$6-$H$6)*($I$6-$H$6)),$J$6-SQRT((1-O405)*($J$6-$H$6)*($J$6-$I$6)))</f>
        <v/>
      </c>
      <c r="D405" s="17">
        <f>IF(P405&lt;$K$7,$H$7+SQRT(P405*($J$7-$H$7)*($I$7-$H$7)),$J$7-SQRT((1-P405)*($J$7-$H$7)*($J$7-$I$7)))</f>
        <v/>
      </c>
      <c r="E405" s="17">
        <f>SUM(B405:D405)</f>
        <v/>
      </c>
      <c r="N405" s="16">
        <f>RAND()</f>
        <v/>
      </c>
      <c r="O405" s="16">
        <f>RAND()</f>
        <v/>
      </c>
      <c r="P405" s="16">
        <f>RAND()</f>
        <v/>
      </c>
    </row>
    <row r="406">
      <c r="A406" s="13" t="n">
        <v>402</v>
      </c>
      <c r="B406" s="17">
        <f>IF(N406&lt;$K$5,$H$5+SQRT(N406*($J$5-$H$5)*($I$5-$H$5)),$J$5-SQRT((1-N406)*($J$5-$H$5)*($J$5-$I$5)))</f>
        <v/>
      </c>
      <c r="C406" s="17">
        <f>IF(O406&lt;$K$6,$H$6+SQRT(O406*($J$6-$H$6)*($I$6-$H$6)),$J$6-SQRT((1-O406)*($J$6-$H$6)*($J$6-$I$6)))</f>
        <v/>
      </c>
      <c r="D406" s="17">
        <f>IF(P406&lt;$K$7,$H$7+SQRT(P406*($J$7-$H$7)*($I$7-$H$7)),$J$7-SQRT((1-P406)*($J$7-$H$7)*($J$7-$I$7)))</f>
        <v/>
      </c>
      <c r="E406" s="17">
        <f>SUM(B406:D406)</f>
        <v/>
      </c>
      <c r="N406" s="16">
        <f>RAND()</f>
        <v/>
      </c>
      <c r="O406" s="16">
        <f>RAND()</f>
        <v/>
      </c>
      <c r="P406" s="16">
        <f>RAND()</f>
        <v/>
      </c>
    </row>
    <row r="407">
      <c r="A407" s="13" t="n">
        <v>403</v>
      </c>
      <c r="B407" s="17">
        <f>IF(N407&lt;$K$5,$H$5+SQRT(N407*($J$5-$H$5)*($I$5-$H$5)),$J$5-SQRT((1-N407)*($J$5-$H$5)*($J$5-$I$5)))</f>
        <v/>
      </c>
      <c r="C407" s="17">
        <f>IF(O407&lt;$K$6,$H$6+SQRT(O407*($J$6-$H$6)*($I$6-$H$6)),$J$6-SQRT((1-O407)*($J$6-$H$6)*($J$6-$I$6)))</f>
        <v/>
      </c>
      <c r="D407" s="17">
        <f>IF(P407&lt;$K$7,$H$7+SQRT(P407*($J$7-$H$7)*($I$7-$H$7)),$J$7-SQRT((1-P407)*($J$7-$H$7)*($J$7-$I$7)))</f>
        <v/>
      </c>
      <c r="E407" s="17">
        <f>SUM(B407:D407)</f>
        <v/>
      </c>
      <c r="N407" s="16">
        <f>RAND()</f>
        <v/>
      </c>
      <c r="O407" s="16">
        <f>RAND()</f>
        <v/>
      </c>
      <c r="P407" s="16">
        <f>RAND()</f>
        <v/>
      </c>
    </row>
    <row r="408">
      <c r="A408" s="13" t="n">
        <v>404</v>
      </c>
      <c r="B408" s="17">
        <f>IF(N408&lt;$K$5,$H$5+SQRT(N408*($J$5-$H$5)*($I$5-$H$5)),$J$5-SQRT((1-N408)*($J$5-$H$5)*($J$5-$I$5)))</f>
        <v/>
      </c>
      <c r="C408" s="17">
        <f>IF(O408&lt;$K$6,$H$6+SQRT(O408*($J$6-$H$6)*($I$6-$H$6)),$J$6-SQRT((1-O408)*($J$6-$H$6)*($J$6-$I$6)))</f>
        <v/>
      </c>
      <c r="D408" s="17">
        <f>IF(P408&lt;$K$7,$H$7+SQRT(P408*($J$7-$H$7)*($I$7-$H$7)),$J$7-SQRT((1-P408)*($J$7-$H$7)*($J$7-$I$7)))</f>
        <v/>
      </c>
      <c r="E408" s="17">
        <f>SUM(B408:D408)</f>
        <v/>
      </c>
      <c r="N408" s="16">
        <f>RAND()</f>
        <v/>
      </c>
      <c r="O408" s="16">
        <f>RAND()</f>
        <v/>
      </c>
      <c r="P408" s="16">
        <f>RAND()</f>
        <v/>
      </c>
    </row>
    <row r="409">
      <c r="A409" s="13" t="n">
        <v>405</v>
      </c>
      <c r="B409" s="17">
        <f>IF(N409&lt;$K$5,$H$5+SQRT(N409*($J$5-$H$5)*($I$5-$H$5)),$J$5-SQRT((1-N409)*($J$5-$H$5)*($J$5-$I$5)))</f>
        <v/>
      </c>
      <c r="C409" s="17">
        <f>IF(O409&lt;$K$6,$H$6+SQRT(O409*($J$6-$H$6)*($I$6-$H$6)),$J$6-SQRT((1-O409)*($J$6-$H$6)*($J$6-$I$6)))</f>
        <v/>
      </c>
      <c r="D409" s="17">
        <f>IF(P409&lt;$K$7,$H$7+SQRT(P409*($J$7-$H$7)*($I$7-$H$7)),$J$7-SQRT((1-P409)*($J$7-$H$7)*($J$7-$I$7)))</f>
        <v/>
      </c>
      <c r="E409" s="17">
        <f>SUM(B409:D409)</f>
        <v/>
      </c>
      <c r="N409" s="16">
        <f>RAND()</f>
        <v/>
      </c>
      <c r="O409" s="16">
        <f>RAND()</f>
        <v/>
      </c>
      <c r="P409" s="16">
        <f>RAND()</f>
        <v/>
      </c>
    </row>
    <row r="410">
      <c r="A410" s="13" t="n">
        <v>406</v>
      </c>
      <c r="B410" s="17">
        <f>IF(N410&lt;$K$5,$H$5+SQRT(N410*($J$5-$H$5)*($I$5-$H$5)),$J$5-SQRT((1-N410)*($J$5-$H$5)*($J$5-$I$5)))</f>
        <v/>
      </c>
      <c r="C410" s="17">
        <f>IF(O410&lt;$K$6,$H$6+SQRT(O410*($J$6-$H$6)*($I$6-$H$6)),$J$6-SQRT((1-O410)*($J$6-$H$6)*($J$6-$I$6)))</f>
        <v/>
      </c>
      <c r="D410" s="17">
        <f>IF(P410&lt;$K$7,$H$7+SQRT(P410*($J$7-$H$7)*($I$7-$H$7)),$J$7-SQRT((1-P410)*($J$7-$H$7)*($J$7-$I$7)))</f>
        <v/>
      </c>
      <c r="E410" s="17">
        <f>SUM(B410:D410)</f>
        <v/>
      </c>
      <c r="N410" s="16">
        <f>RAND()</f>
        <v/>
      </c>
      <c r="O410" s="16">
        <f>RAND()</f>
        <v/>
      </c>
      <c r="P410" s="16">
        <f>RAND()</f>
        <v/>
      </c>
    </row>
    <row r="411">
      <c r="A411" s="13" t="n">
        <v>407</v>
      </c>
      <c r="B411" s="17">
        <f>IF(N411&lt;$K$5,$H$5+SQRT(N411*($J$5-$H$5)*($I$5-$H$5)),$J$5-SQRT((1-N411)*($J$5-$H$5)*($J$5-$I$5)))</f>
        <v/>
      </c>
      <c r="C411" s="17">
        <f>IF(O411&lt;$K$6,$H$6+SQRT(O411*($J$6-$H$6)*($I$6-$H$6)),$J$6-SQRT((1-O411)*($J$6-$H$6)*($J$6-$I$6)))</f>
        <v/>
      </c>
      <c r="D411" s="17">
        <f>IF(P411&lt;$K$7,$H$7+SQRT(P411*($J$7-$H$7)*($I$7-$H$7)),$J$7-SQRT((1-P411)*($J$7-$H$7)*($J$7-$I$7)))</f>
        <v/>
      </c>
      <c r="E411" s="17">
        <f>SUM(B411:D411)</f>
        <v/>
      </c>
      <c r="N411" s="16">
        <f>RAND()</f>
        <v/>
      </c>
      <c r="O411" s="16">
        <f>RAND()</f>
        <v/>
      </c>
      <c r="P411" s="16">
        <f>RAND()</f>
        <v/>
      </c>
    </row>
    <row r="412">
      <c r="A412" s="13" t="n">
        <v>408</v>
      </c>
      <c r="B412" s="17">
        <f>IF(N412&lt;$K$5,$H$5+SQRT(N412*($J$5-$H$5)*($I$5-$H$5)),$J$5-SQRT((1-N412)*($J$5-$H$5)*($J$5-$I$5)))</f>
        <v/>
      </c>
      <c r="C412" s="17">
        <f>IF(O412&lt;$K$6,$H$6+SQRT(O412*($J$6-$H$6)*($I$6-$H$6)),$J$6-SQRT((1-O412)*($J$6-$H$6)*($J$6-$I$6)))</f>
        <v/>
      </c>
      <c r="D412" s="17">
        <f>IF(P412&lt;$K$7,$H$7+SQRT(P412*($J$7-$H$7)*($I$7-$H$7)),$J$7-SQRT((1-P412)*($J$7-$H$7)*($J$7-$I$7)))</f>
        <v/>
      </c>
      <c r="E412" s="17">
        <f>SUM(B412:D412)</f>
        <v/>
      </c>
      <c r="N412" s="16">
        <f>RAND()</f>
        <v/>
      </c>
      <c r="O412" s="16">
        <f>RAND()</f>
        <v/>
      </c>
      <c r="P412" s="16">
        <f>RAND()</f>
        <v/>
      </c>
    </row>
    <row r="413">
      <c r="A413" s="13" t="n">
        <v>409</v>
      </c>
      <c r="B413" s="17">
        <f>IF(N413&lt;$K$5,$H$5+SQRT(N413*($J$5-$H$5)*($I$5-$H$5)),$J$5-SQRT((1-N413)*($J$5-$H$5)*($J$5-$I$5)))</f>
        <v/>
      </c>
      <c r="C413" s="17">
        <f>IF(O413&lt;$K$6,$H$6+SQRT(O413*($J$6-$H$6)*($I$6-$H$6)),$J$6-SQRT((1-O413)*($J$6-$H$6)*($J$6-$I$6)))</f>
        <v/>
      </c>
      <c r="D413" s="17">
        <f>IF(P413&lt;$K$7,$H$7+SQRT(P413*($J$7-$H$7)*($I$7-$H$7)),$J$7-SQRT((1-P413)*($J$7-$H$7)*($J$7-$I$7)))</f>
        <v/>
      </c>
      <c r="E413" s="17">
        <f>SUM(B413:D413)</f>
        <v/>
      </c>
      <c r="N413" s="16">
        <f>RAND()</f>
        <v/>
      </c>
      <c r="O413" s="16">
        <f>RAND()</f>
        <v/>
      </c>
      <c r="P413" s="16">
        <f>RAND()</f>
        <v/>
      </c>
    </row>
    <row r="414">
      <c r="A414" s="13" t="n">
        <v>410</v>
      </c>
      <c r="B414" s="17">
        <f>IF(N414&lt;$K$5,$H$5+SQRT(N414*($J$5-$H$5)*($I$5-$H$5)),$J$5-SQRT((1-N414)*($J$5-$H$5)*($J$5-$I$5)))</f>
        <v/>
      </c>
      <c r="C414" s="17">
        <f>IF(O414&lt;$K$6,$H$6+SQRT(O414*($J$6-$H$6)*($I$6-$H$6)),$J$6-SQRT((1-O414)*($J$6-$H$6)*($J$6-$I$6)))</f>
        <v/>
      </c>
      <c r="D414" s="17">
        <f>IF(P414&lt;$K$7,$H$7+SQRT(P414*($J$7-$H$7)*($I$7-$H$7)),$J$7-SQRT((1-P414)*($J$7-$H$7)*($J$7-$I$7)))</f>
        <v/>
      </c>
      <c r="E414" s="17">
        <f>SUM(B414:D414)</f>
        <v/>
      </c>
      <c r="N414" s="16">
        <f>RAND()</f>
        <v/>
      </c>
      <c r="O414" s="16">
        <f>RAND()</f>
        <v/>
      </c>
      <c r="P414" s="16">
        <f>RAND()</f>
        <v/>
      </c>
    </row>
    <row r="415">
      <c r="A415" s="13" t="n">
        <v>411</v>
      </c>
      <c r="B415" s="17">
        <f>IF(N415&lt;$K$5,$H$5+SQRT(N415*($J$5-$H$5)*($I$5-$H$5)),$J$5-SQRT((1-N415)*($J$5-$H$5)*($J$5-$I$5)))</f>
        <v/>
      </c>
      <c r="C415" s="17">
        <f>IF(O415&lt;$K$6,$H$6+SQRT(O415*($J$6-$H$6)*($I$6-$H$6)),$J$6-SQRT((1-O415)*($J$6-$H$6)*($J$6-$I$6)))</f>
        <v/>
      </c>
      <c r="D415" s="17">
        <f>IF(P415&lt;$K$7,$H$7+SQRT(P415*($J$7-$H$7)*($I$7-$H$7)),$J$7-SQRT((1-P415)*($J$7-$H$7)*($J$7-$I$7)))</f>
        <v/>
      </c>
      <c r="E415" s="17">
        <f>SUM(B415:D415)</f>
        <v/>
      </c>
      <c r="N415" s="16">
        <f>RAND()</f>
        <v/>
      </c>
      <c r="O415" s="16">
        <f>RAND()</f>
        <v/>
      </c>
      <c r="P415" s="16">
        <f>RAND()</f>
        <v/>
      </c>
    </row>
    <row r="416">
      <c r="A416" s="13" t="n">
        <v>412</v>
      </c>
      <c r="B416" s="17">
        <f>IF(N416&lt;$K$5,$H$5+SQRT(N416*($J$5-$H$5)*($I$5-$H$5)),$J$5-SQRT((1-N416)*($J$5-$H$5)*($J$5-$I$5)))</f>
        <v/>
      </c>
      <c r="C416" s="17">
        <f>IF(O416&lt;$K$6,$H$6+SQRT(O416*($J$6-$H$6)*($I$6-$H$6)),$J$6-SQRT((1-O416)*($J$6-$H$6)*($J$6-$I$6)))</f>
        <v/>
      </c>
      <c r="D416" s="17">
        <f>IF(P416&lt;$K$7,$H$7+SQRT(P416*($J$7-$H$7)*($I$7-$H$7)),$J$7-SQRT((1-P416)*($J$7-$H$7)*($J$7-$I$7)))</f>
        <v/>
      </c>
      <c r="E416" s="17">
        <f>SUM(B416:D416)</f>
        <v/>
      </c>
      <c r="N416" s="16">
        <f>RAND()</f>
        <v/>
      </c>
      <c r="O416" s="16">
        <f>RAND()</f>
        <v/>
      </c>
      <c r="P416" s="16">
        <f>RAND()</f>
        <v/>
      </c>
    </row>
    <row r="417">
      <c r="A417" s="13" t="n">
        <v>413</v>
      </c>
      <c r="B417" s="17">
        <f>IF(N417&lt;$K$5,$H$5+SQRT(N417*($J$5-$H$5)*($I$5-$H$5)),$J$5-SQRT((1-N417)*($J$5-$H$5)*($J$5-$I$5)))</f>
        <v/>
      </c>
      <c r="C417" s="17">
        <f>IF(O417&lt;$K$6,$H$6+SQRT(O417*($J$6-$H$6)*($I$6-$H$6)),$J$6-SQRT((1-O417)*($J$6-$H$6)*($J$6-$I$6)))</f>
        <v/>
      </c>
      <c r="D417" s="17">
        <f>IF(P417&lt;$K$7,$H$7+SQRT(P417*($J$7-$H$7)*($I$7-$H$7)),$J$7-SQRT((1-P417)*($J$7-$H$7)*($J$7-$I$7)))</f>
        <v/>
      </c>
      <c r="E417" s="17">
        <f>SUM(B417:D417)</f>
        <v/>
      </c>
      <c r="N417" s="16">
        <f>RAND()</f>
        <v/>
      </c>
      <c r="O417" s="16">
        <f>RAND()</f>
        <v/>
      </c>
      <c r="P417" s="16">
        <f>RAND()</f>
        <v/>
      </c>
    </row>
    <row r="418">
      <c r="A418" s="13" t="n">
        <v>414</v>
      </c>
      <c r="B418" s="17">
        <f>IF(N418&lt;$K$5,$H$5+SQRT(N418*($J$5-$H$5)*($I$5-$H$5)),$J$5-SQRT((1-N418)*($J$5-$H$5)*($J$5-$I$5)))</f>
        <v/>
      </c>
      <c r="C418" s="17">
        <f>IF(O418&lt;$K$6,$H$6+SQRT(O418*($J$6-$H$6)*($I$6-$H$6)),$J$6-SQRT((1-O418)*($J$6-$H$6)*($J$6-$I$6)))</f>
        <v/>
      </c>
      <c r="D418" s="17">
        <f>IF(P418&lt;$K$7,$H$7+SQRT(P418*($J$7-$H$7)*($I$7-$H$7)),$J$7-SQRT((1-P418)*($J$7-$H$7)*($J$7-$I$7)))</f>
        <v/>
      </c>
      <c r="E418" s="17">
        <f>SUM(B418:D418)</f>
        <v/>
      </c>
      <c r="N418" s="16">
        <f>RAND()</f>
        <v/>
      </c>
      <c r="O418" s="16">
        <f>RAND()</f>
        <v/>
      </c>
      <c r="P418" s="16">
        <f>RAND()</f>
        <v/>
      </c>
    </row>
    <row r="419">
      <c r="A419" s="13" t="n">
        <v>415</v>
      </c>
      <c r="B419" s="17">
        <f>IF(N419&lt;$K$5,$H$5+SQRT(N419*($J$5-$H$5)*($I$5-$H$5)),$J$5-SQRT((1-N419)*($J$5-$H$5)*($J$5-$I$5)))</f>
        <v/>
      </c>
      <c r="C419" s="17">
        <f>IF(O419&lt;$K$6,$H$6+SQRT(O419*($J$6-$H$6)*($I$6-$H$6)),$J$6-SQRT((1-O419)*($J$6-$H$6)*($J$6-$I$6)))</f>
        <v/>
      </c>
      <c r="D419" s="17">
        <f>IF(P419&lt;$K$7,$H$7+SQRT(P419*($J$7-$H$7)*($I$7-$H$7)),$J$7-SQRT((1-P419)*($J$7-$H$7)*($J$7-$I$7)))</f>
        <v/>
      </c>
      <c r="E419" s="17">
        <f>SUM(B419:D419)</f>
        <v/>
      </c>
      <c r="N419" s="16">
        <f>RAND()</f>
        <v/>
      </c>
      <c r="O419" s="16">
        <f>RAND()</f>
        <v/>
      </c>
      <c r="P419" s="16">
        <f>RAND()</f>
        <v/>
      </c>
    </row>
    <row r="420">
      <c r="A420" s="13" t="n">
        <v>416</v>
      </c>
      <c r="B420" s="17">
        <f>IF(N420&lt;$K$5,$H$5+SQRT(N420*($J$5-$H$5)*($I$5-$H$5)),$J$5-SQRT((1-N420)*($J$5-$H$5)*($J$5-$I$5)))</f>
        <v/>
      </c>
      <c r="C420" s="17">
        <f>IF(O420&lt;$K$6,$H$6+SQRT(O420*($J$6-$H$6)*($I$6-$H$6)),$J$6-SQRT((1-O420)*($J$6-$H$6)*($J$6-$I$6)))</f>
        <v/>
      </c>
      <c r="D420" s="17">
        <f>IF(P420&lt;$K$7,$H$7+SQRT(P420*($J$7-$H$7)*($I$7-$H$7)),$J$7-SQRT((1-P420)*($J$7-$H$7)*($J$7-$I$7)))</f>
        <v/>
      </c>
      <c r="E420" s="17">
        <f>SUM(B420:D420)</f>
        <v/>
      </c>
      <c r="N420" s="16">
        <f>RAND()</f>
        <v/>
      </c>
      <c r="O420" s="16">
        <f>RAND()</f>
        <v/>
      </c>
      <c r="P420" s="16">
        <f>RAND()</f>
        <v/>
      </c>
    </row>
    <row r="421">
      <c r="A421" s="13" t="n">
        <v>417</v>
      </c>
      <c r="B421" s="17">
        <f>IF(N421&lt;$K$5,$H$5+SQRT(N421*($J$5-$H$5)*($I$5-$H$5)),$J$5-SQRT((1-N421)*($J$5-$H$5)*($J$5-$I$5)))</f>
        <v/>
      </c>
      <c r="C421" s="17">
        <f>IF(O421&lt;$K$6,$H$6+SQRT(O421*($J$6-$H$6)*($I$6-$H$6)),$J$6-SQRT((1-O421)*($J$6-$H$6)*($J$6-$I$6)))</f>
        <v/>
      </c>
      <c r="D421" s="17">
        <f>IF(P421&lt;$K$7,$H$7+SQRT(P421*($J$7-$H$7)*($I$7-$H$7)),$J$7-SQRT((1-P421)*($J$7-$H$7)*($J$7-$I$7)))</f>
        <v/>
      </c>
      <c r="E421" s="17">
        <f>SUM(B421:D421)</f>
        <v/>
      </c>
      <c r="N421" s="16">
        <f>RAND()</f>
        <v/>
      </c>
      <c r="O421" s="16">
        <f>RAND()</f>
        <v/>
      </c>
      <c r="P421" s="16">
        <f>RAND()</f>
        <v/>
      </c>
    </row>
    <row r="422">
      <c r="A422" s="13" t="n">
        <v>418</v>
      </c>
      <c r="B422" s="17">
        <f>IF(N422&lt;$K$5,$H$5+SQRT(N422*($J$5-$H$5)*($I$5-$H$5)),$J$5-SQRT((1-N422)*($J$5-$H$5)*($J$5-$I$5)))</f>
        <v/>
      </c>
      <c r="C422" s="17">
        <f>IF(O422&lt;$K$6,$H$6+SQRT(O422*($J$6-$H$6)*($I$6-$H$6)),$J$6-SQRT((1-O422)*($J$6-$H$6)*($J$6-$I$6)))</f>
        <v/>
      </c>
      <c r="D422" s="17">
        <f>IF(P422&lt;$K$7,$H$7+SQRT(P422*($J$7-$H$7)*($I$7-$H$7)),$J$7-SQRT((1-P422)*($J$7-$H$7)*($J$7-$I$7)))</f>
        <v/>
      </c>
      <c r="E422" s="17">
        <f>SUM(B422:D422)</f>
        <v/>
      </c>
      <c r="N422" s="16">
        <f>RAND()</f>
        <v/>
      </c>
      <c r="O422" s="16">
        <f>RAND()</f>
        <v/>
      </c>
      <c r="P422" s="16">
        <f>RAND()</f>
        <v/>
      </c>
    </row>
    <row r="423">
      <c r="A423" s="13" t="n">
        <v>419</v>
      </c>
      <c r="B423" s="17">
        <f>IF(N423&lt;$K$5,$H$5+SQRT(N423*($J$5-$H$5)*($I$5-$H$5)),$J$5-SQRT((1-N423)*($J$5-$H$5)*($J$5-$I$5)))</f>
        <v/>
      </c>
      <c r="C423" s="17">
        <f>IF(O423&lt;$K$6,$H$6+SQRT(O423*($J$6-$H$6)*($I$6-$H$6)),$J$6-SQRT((1-O423)*($J$6-$H$6)*($J$6-$I$6)))</f>
        <v/>
      </c>
      <c r="D423" s="17">
        <f>IF(P423&lt;$K$7,$H$7+SQRT(P423*($J$7-$H$7)*($I$7-$H$7)),$J$7-SQRT((1-P423)*($J$7-$H$7)*($J$7-$I$7)))</f>
        <v/>
      </c>
      <c r="E423" s="17">
        <f>SUM(B423:D423)</f>
        <v/>
      </c>
      <c r="N423" s="16">
        <f>RAND()</f>
        <v/>
      </c>
      <c r="O423" s="16">
        <f>RAND()</f>
        <v/>
      </c>
      <c r="P423" s="16">
        <f>RAND()</f>
        <v/>
      </c>
    </row>
    <row r="424">
      <c r="A424" s="13" t="n">
        <v>420</v>
      </c>
      <c r="B424" s="17">
        <f>IF(N424&lt;$K$5,$H$5+SQRT(N424*($J$5-$H$5)*($I$5-$H$5)),$J$5-SQRT((1-N424)*($J$5-$H$5)*($J$5-$I$5)))</f>
        <v/>
      </c>
      <c r="C424" s="17">
        <f>IF(O424&lt;$K$6,$H$6+SQRT(O424*($J$6-$H$6)*($I$6-$H$6)),$J$6-SQRT((1-O424)*($J$6-$H$6)*($J$6-$I$6)))</f>
        <v/>
      </c>
      <c r="D424" s="17">
        <f>IF(P424&lt;$K$7,$H$7+SQRT(P424*($J$7-$H$7)*($I$7-$H$7)),$J$7-SQRT((1-P424)*($J$7-$H$7)*($J$7-$I$7)))</f>
        <v/>
      </c>
      <c r="E424" s="17">
        <f>SUM(B424:D424)</f>
        <v/>
      </c>
      <c r="N424" s="16">
        <f>RAND()</f>
        <v/>
      </c>
      <c r="O424" s="16">
        <f>RAND()</f>
        <v/>
      </c>
      <c r="P424" s="16">
        <f>RAND()</f>
        <v/>
      </c>
    </row>
    <row r="425">
      <c r="A425" s="13" t="n">
        <v>421</v>
      </c>
      <c r="B425" s="17">
        <f>IF(N425&lt;$K$5,$H$5+SQRT(N425*($J$5-$H$5)*($I$5-$H$5)),$J$5-SQRT((1-N425)*($J$5-$H$5)*($J$5-$I$5)))</f>
        <v/>
      </c>
      <c r="C425" s="17">
        <f>IF(O425&lt;$K$6,$H$6+SQRT(O425*($J$6-$H$6)*($I$6-$H$6)),$J$6-SQRT((1-O425)*($J$6-$H$6)*($J$6-$I$6)))</f>
        <v/>
      </c>
      <c r="D425" s="17">
        <f>IF(P425&lt;$K$7,$H$7+SQRT(P425*($J$7-$H$7)*($I$7-$H$7)),$J$7-SQRT((1-P425)*($J$7-$H$7)*($J$7-$I$7)))</f>
        <v/>
      </c>
      <c r="E425" s="17">
        <f>SUM(B425:D425)</f>
        <v/>
      </c>
      <c r="N425" s="16">
        <f>RAND()</f>
        <v/>
      </c>
      <c r="O425" s="16">
        <f>RAND()</f>
        <v/>
      </c>
      <c r="P425" s="16">
        <f>RAND()</f>
        <v/>
      </c>
    </row>
    <row r="426">
      <c r="A426" s="13" t="n">
        <v>422</v>
      </c>
      <c r="B426" s="17">
        <f>IF(N426&lt;$K$5,$H$5+SQRT(N426*($J$5-$H$5)*($I$5-$H$5)),$J$5-SQRT((1-N426)*($J$5-$H$5)*($J$5-$I$5)))</f>
        <v/>
      </c>
      <c r="C426" s="17">
        <f>IF(O426&lt;$K$6,$H$6+SQRT(O426*($J$6-$H$6)*($I$6-$H$6)),$J$6-SQRT((1-O426)*($J$6-$H$6)*($J$6-$I$6)))</f>
        <v/>
      </c>
      <c r="D426" s="17">
        <f>IF(P426&lt;$K$7,$H$7+SQRT(P426*($J$7-$H$7)*($I$7-$H$7)),$J$7-SQRT((1-P426)*($J$7-$H$7)*($J$7-$I$7)))</f>
        <v/>
      </c>
      <c r="E426" s="17">
        <f>SUM(B426:D426)</f>
        <v/>
      </c>
      <c r="N426" s="16">
        <f>RAND()</f>
        <v/>
      </c>
      <c r="O426" s="16">
        <f>RAND()</f>
        <v/>
      </c>
      <c r="P426" s="16">
        <f>RAND()</f>
        <v/>
      </c>
    </row>
    <row r="427">
      <c r="A427" s="13" t="n">
        <v>423</v>
      </c>
      <c r="B427" s="17">
        <f>IF(N427&lt;$K$5,$H$5+SQRT(N427*($J$5-$H$5)*($I$5-$H$5)),$J$5-SQRT((1-N427)*($J$5-$H$5)*($J$5-$I$5)))</f>
        <v/>
      </c>
      <c r="C427" s="17">
        <f>IF(O427&lt;$K$6,$H$6+SQRT(O427*($J$6-$H$6)*($I$6-$H$6)),$J$6-SQRT((1-O427)*($J$6-$H$6)*($J$6-$I$6)))</f>
        <v/>
      </c>
      <c r="D427" s="17">
        <f>IF(P427&lt;$K$7,$H$7+SQRT(P427*($J$7-$H$7)*($I$7-$H$7)),$J$7-SQRT((1-P427)*($J$7-$H$7)*($J$7-$I$7)))</f>
        <v/>
      </c>
      <c r="E427" s="17">
        <f>SUM(B427:D427)</f>
        <v/>
      </c>
      <c r="N427" s="16">
        <f>RAND()</f>
        <v/>
      </c>
      <c r="O427" s="16">
        <f>RAND()</f>
        <v/>
      </c>
      <c r="P427" s="16">
        <f>RAND()</f>
        <v/>
      </c>
    </row>
    <row r="428">
      <c r="A428" s="13" t="n">
        <v>424</v>
      </c>
      <c r="B428" s="17">
        <f>IF(N428&lt;$K$5,$H$5+SQRT(N428*($J$5-$H$5)*($I$5-$H$5)),$J$5-SQRT((1-N428)*($J$5-$H$5)*($J$5-$I$5)))</f>
        <v/>
      </c>
      <c r="C428" s="17">
        <f>IF(O428&lt;$K$6,$H$6+SQRT(O428*($J$6-$H$6)*($I$6-$H$6)),$J$6-SQRT((1-O428)*($J$6-$H$6)*($J$6-$I$6)))</f>
        <v/>
      </c>
      <c r="D428" s="17">
        <f>IF(P428&lt;$K$7,$H$7+SQRT(P428*($J$7-$H$7)*($I$7-$H$7)),$J$7-SQRT((1-P428)*($J$7-$H$7)*($J$7-$I$7)))</f>
        <v/>
      </c>
      <c r="E428" s="17">
        <f>SUM(B428:D428)</f>
        <v/>
      </c>
      <c r="N428" s="16">
        <f>RAND()</f>
        <v/>
      </c>
      <c r="O428" s="16">
        <f>RAND()</f>
        <v/>
      </c>
      <c r="P428" s="16">
        <f>RAND()</f>
        <v/>
      </c>
    </row>
    <row r="429">
      <c r="A429" s="13" t="n">
        <v>425</v>
      </c>
      <c r="B429" s="17">
        <f>IF(N429&lt;$K$5,$H$5+SQRT(N429*($J$5-$H$5)*($I$5-$H$5)),$J$5-SQRT((1-N429)*($J$5-$H$5)*($J$5-$I$5)))</f>
        <v/>
      </c>
      <c r="C429" s="17">
        <f>IF(O429&lt;$K$6,$H$6+SQRT(O429*($J$6-$H$6)*($I$6-$H$6)),$J$6-SQRT((1-O429)*($J$6-$H$6)*($J$6-$I$6)))</f>
        <v/>
      </c>
      <c r="D429" s="17">
        <f>IF(P429&lt;$K$7,$H$7+SQRT(P429*($J$7-$H$7)*($I$7-$H$7)),$J$7-SQRT((1-P429)*($J$7-$H$7)*($J$7-$I$7)))</f>
        <v/>
      </c>
      <c r="E429" s="17">
        <f>SUM(B429:D429)</f>
        <v/>
      </c>
      <c r="N429" s="16">
        <f>RAND()</f>
        <v/>
      </c>
      <c r="O429" s="16">
        <f>RAND()</f>
        <v/>
      </c>
      <c r="P429" s="16">
        <f>RAND()</f>
        <v/>
      </c>
    </row>
    <row r="430">
      <c r="A430" s="13" t="n">
        <v>426</v>
      </c>
      <c r="B430" s="17">
        <f>IF(N430&lt;$K$5,$H$5+SQRT(N430*($J$5-$H$5)*($I$5-$H$5)),$J$5-SQRT((1-N430)*($J$5-$H$5)*($J$5-$I$5)))</f>
        <v/>
      </c>
      <c r="C430" s="17">
        <f>IF(O430&lt;$K$6,$H$6+SQRT(O430*($J$6-$H$6)*($I$6-$H$6)),$J$6-SQRT((1-O430)*($J$6-$H$6)*($J$6-$I$6)))</f>
        <v/>
      </c>
      <c r="D430" s="17">
        <f>IF(P430&lt;$K$7,$H$7+SQRT(P430*($J$7-$H$7)*($I$7-$H$7)),$J$7-SQRT((1-P430)*($J$7-$H$7)*($J$7-$I$7)))</f>
        <v/>
      </c>
      <c r="E430" s="17">
        <f>SUM(B430:D430)</f>
        <v/>
      </c>
      <c r="N430" s="16">
        <f>RAND()</f>
        <v/>
      </c>
      <c r="O430" s="16">
        <f>RAND()</f>
        <v/>
      </c>
      <c r="P430" s="16">
        <f>RAND()</f>
        <v/>
      </c>
    </row>
    <row r="431">
      <c r="A431" s="13" t="n">
        <v>427</v>
      </c>
      <c r="B431" s="17">
        <f>IF(N431&lt;$K$5,$H$5+SQRT(N431*($J$5-$H$5)*($I$5-$H$5)),$J$5-SQRT((1-N431)*($J$5-$H$5)*($J$5-$I$5)))</f>
        <v/>
      </c>
      <c r="C431" s="17">
        <f>IF(O431&lt;$K$6,$H$6+SQRT(O431*($J$6-$H$6)*($I$6-$H$6)),$J$6-SQRT((1-O431)*($J$6-$H$6)*($J$6-$I$6)))</f>
        <v/>
      </c>
      <c r="D431" s="17">
        <f>IF(P431&lt;$K$7,$H$7+SQRT(P431*($J$7-$H$7)*($I$7-$H$7)),$J$7-SQRT((1-P431)*($J$7-$H$7)*($J$7-$I$7)))</f>
        <v/>
      </c>
      <c r="E431" s="17">
        <f>SUM(B431:D431)</f>
        <v/>
      </c>
      <c r="N431" s="16">
        <f>RAND()</f>
        <v/>
      </c>
      <c r="O431" s="16">
        <f>RAND()</f>
        <v/>
      </c>
      <c r="P431" s="16">
        <f>RAND()</f>
        <v/>
      </c>
    </row>
    <row r="432">
      <c r="A432" s="13" t="n">
        <v>428</v>
      </c>
      <c r="B432" s="17">
        <f>IF(N432&lt;$K$5,$H$5+SQRT(N432*($J$5-$H$5)*($I$5-$H$5)),$J$5-SQRT((1-N432)*($J$5-$H$5)*($J$5-$I$5)))</f>
        <v/>
      </c>
      <c r="C432" s="17">
        <f>IF(O432&lt;$K$6,$H$6+SQRT(O432*($J$6-$H$6)*($I$6-$H$6)),$J$6-SQRT((1-O432)*($J$6-$H$6)*($J$6-$I$6)))</f>
        <v/>
      </c>
      <c r="D432" s="17">
        <f>IF(P432&lt;$K$7,$H$7+SQRT(P432*($J$7-$H$7)*($I$7-$H$7)),$J$7-SQRT((1-P432)*($J$7-$H$7)*($J$7-$I$7)))</f>
        <v/>
      </c>
      <c r="E432" s="17">
        <f>SUM(B432:D432)</f>
        <v/>
      </c>
      <c r="N432" s="16">
        <f>RAND()</f>
        <v/>
      </c>
      <c r="O432" s="16">
        <f>RAND()</f>
        <v/>
      </c>
      <c r="P432" s="16">
        <f>RAND()</f>
        <v/>
      </c>
    </row>
    <row r="433">
      <c r="A433" s="13" t="n">
        <v>429</v>
      </c>
      <c r="B433" s="17">
        <f>IF(N433&lt;$K$5,$H$5+SQRT(N433*($J$5-$H$5)*($I$5-$H$5)),$J$5-SQRT((1-N433)*($J$5-$H$5)*($J$5-$I$5)))</f>
        <v/>
      </c>
      <c r="C433" s="17">
        <f>IF(O433&lt;$K$6,$H$6+SQRT(O433*($J$6-$H$6)*($I$6-$H$6)),$J$6-SQRT((1-O433)*($J$6-$H$6)*($J$6-$I$6)))</f>
        <v/>
      </c>
      <c r="D433" s="17">
        <f>IF(P433&lt;$K$7,$H$7+SQRT(P433*($J$7-$H$7)*($I$7-$H$7)),$J$7-SQRT((1-P433)*($J$7-$H$7)*($J$7-$I$7)))</f>
        <v/>
      </c>
      <c r="E433" s="17">
        <f>SUM(B433:D433)</f>
        <v/>
      </c>
      <c r="N433" s="16">
        <f>RAND()</f>
        <v/>
      </c>
      <c r="O433" s="16">
        <f>RAND()</f>
        <v/>
      </c>
      <c r="P433" s="16">
        <f>RAND()</f>
        <v/>
      </c>
    </row>
    <row r="434">
      <c r="A434" s="13" t="n">
        <v>430</v>
      </c>
      <c r="B434" s="17">
        <f>IF(N434&lt;$K$5,$H$5+SQRT(N434*($J$5-$H$5)*($I$5-$H$5)),$J$5-SQRT((1-N434)*($J$5-$H$5)*($J$5-$I$5)))</f>
        <v/>
      </c>
      <c r="C434" s="17">
        <f>IF(O434&lt;$K$6,$H$6+SQRT(O434*($J$6-$H$6)*($I$6-$H$6)),$J$6-SQRT((1-O434)*($J$6-$H$6)*($J$6-$I$6)))</f>
        <v/>
      </c>
      <c r="D434" s="17">
        <f>IF(P434&lt;$K$7,$H$7+SQRT(P434*($J$7-$H$7)*($I$7-$H$7)),$J$7-SQRT((1-P434)*($J$7-$H$7)*($J$7-$I$7)))</f>
        <v/>
      </c>
      <c r="E434" s="17">
        <f>SUM(B434:D434)</f>
        <v/>
      </c>
      <c r="N434" s="16">
        <f>RAND()</f>
        <v/>
      </c>
      <c r="O434" s="16">
        <f>RAND()</f>
        <v/>
      </c>
      <c r="P434" s="16">
        <f>RAND()</f>
        <v/>
      </c>
    </row>
    <row r="435">
      <c r="A435" s="13" t="n">
        <v>431</v>
      </c>
      <c r="B435" s="17">
        <f>IF(N435&lt;$K$5,$H$5+SQRT(N435*($J$5-$H$5)*($I$5-$H$5)),$J$5-SQRT((1-N435)*($J$5-$H$5)*($J$5-$I$5)))</f>
        <v/>
      </c>
      <c r="C435" s="17">
        <f>IF(O435&lt;$K$6,$H$6+SQRT(O435*($J$6-$H$6)*($I$6-$H$6)),$J$6-SQRT((1-O435)*($J$6-$H$6)*($J$6-$I$6)))</f>
        <v/>
      </c>
      <c r="D435" s="17">
        <f>IF(P435&lt;$K$7,$H$7+SQRT(P435*($J$7-$H$7)*($I$7-$H$7)),$J$7-SQRT((1-P435)*($J$7-$H$7)*($J$7-$I$7)))</f>
        <v/>
      </c>
      <c r="E435" s="17">
        <f>SUM(B435:D435)</f>
        <v/>
      </c>
      <c r="N435" s="16">
        <f>RAND()</f>
        <v/>
      </c>
      <c r="O435" s="16">
        <f>RAND()</f>
        <v/>
      </c>
      <c r="P435" s="16">
        <f>RAND()</f>
        <v/>
      </c>
    </row>
    <row r="436">
      <c r="A436" s="13" t="n">
        <v>432</v>
      </c>
      <c r="B436" s="17">
        <f>IF(N436&lt;$K$5,$H$5+SQRT(N436*($J$5-$H$5)*($I$5-$H$5)),$J$5-SQRT((1-N436)*($J$5-$H$5)*($J$5-$I$5)))</f>
        <v/>
      </c>
      <c r="C436" s="17">
        <f>IF(O436&lt;$K$6,$H$6+SQRT(O436*($J$6-$H$6)*($I$6-$H$6)),$J$6-SQRT((1-O436)*($J$6-$H$6)*($J$6-$I$6)))</f>
        <v/>
      </c>
      <c r="D436" s="17">
        <f>IF(P436&lt;$K$7,$H$7+SQRT(P436*($J$7-$H$7)*($I$7-$H$7)),$J$7-SQRT((1-P436)*($J$7-$H$7)*($J$7-$I$7)))</f>
        <v/>
      </c>
      <c r="E436" s="17">
        <f>SUM(B436:D436)</f>
        <v/>
      </c>
      <c r="N436" s="16">
        <f>RAND()</f>
        <v/>
      </c>
      <c r="O436" s="16">
        <f>RAND()</f>
        <v/>
      </c>
      <c r="P436" s="16">
        <f>RAND()</f>
        <v/>
      </c>
    </row>
    <row r="437">
      <c r="A437" s="13" t="n">
        <v>433</v>
      </c>
      <c r="B437" s="17">
        <f>IF(N437&lt;$K$5,$H$5+SQRT(N437*($J$5-$H$5)*($I$5-$H$5)),$J$5-SQRT((1-N437)*($J$5-$H$5)*($J$5-$I$5)))</f>
        <v/>
      </c>
      <c r="C437" s="17">
        <f>IF(O437&lt;$K$6,$H$6+SQRT(O437*($J$6-$H$6)*($I$6-$H$6)),$J$6-SQRT((1-O437)*($J$6-$H$6)*($J$6-$I$6)))</f>
        <v/>
      </c>
      <c r="D437" s="17">
        <f>IF(P437&lt;$K$7,$H$7+SQRT(P437*($J$7-$H$7)*($I$7-$H$7)),$J$7-SQRT((1-P437)*($J$7-$H$7)*($J$7-$I$7)))</f>
        <v/>
      </c>
      <c r="E437" s="17">
        <f>SUM(B437:D437)</f>
        <v/>
      </c>
      <c r="N437" s="16">
        <f>RAND()</f>
        <v/>
      </c>
      <c r="O437" s="16">
        <f>RAND()</f>
        <v/>
      </c>
      <c r="P437" s="16">
        <f>RAND()</f>
        <v/>
      </c>
    </row>
    <row r="438">
      <c r="A438" s="13" t="n">
        <v>434</v>
      </c>
      <c r="B438" s="17">
        <f>IF(N438&lt;$K$5,$H$5+SQRT(N438*($J$5-$H$5)*($I$5-$H$5)),$J$5-SQRT((1-N438)*($J$5-$H$5)*($J$5-$I$5)))</f>
        <v/>
      </c>
      <c r="C438" s="17">
        <f>IF(O438&lt;$K$6,$H$6+SQRT(O438*($J$6-$H$6)*($I$6-$H$6)),$J$6-SQRT((1-O438)*($J$6-$H$6)*($J$6-$I$6)))</f>
        <v/>
      </c>
      <c r="D438" s="17">
        <f>IF(P438&lt;$K$7,$H$7+SQRT(P438*($J$7-$H$7)*($I$7-$H$7)),$J$7-SQRT((1-P438)*($J$7-$H$7)*($J$7-$I$7)))</f>
        <v/>
      </c>
      <c r="E438" s="17">
        <f>SUM(B438:D438)</f>
        <v/>
      </c>
      <c r="N438" s="16">
        <f>RAND()</f>
        <v/>
      </c>
      <c r="O438" s="16">
        <f>RAND()</f>
        <v/>
      </c>
      <c r="P438" s="16">
        <f>RAND()</f>
        <v/>
      </c>
    </row>
    <row r="439">
      <c r="A439" s="13" t="n">
        <v>435</v>
      </c>
      <c r="B439" s="17">
        <f>IF(N439&lt;$K$5,$H$5+SQRT(N439*($J$5-$H$5)*($I$5-$H$5)),$J$5-SQRT((1-N439)*($J$5-$H$5)*($J$5-$I$5)))</f>
        <v/>
      </c>
      <c r="C439" s="17">
        <f>IF(O439&lt;$K$6,$H$6+SQRT(O439*($J$6-$H$6)*($I$6-$H$6)),$J$6-SQRT((1-O439)*($J$6-$H$6)*($J$6-$I$6)))</f>
        <v/>
      </c>
      <c r="D439" s="17">
        <f>IF(P439&lt;$K$7,$H$7+SQRT(P439*($J$7-$H$7)*($I$7-$H$7)),$J$7-SQRT((1-P439)*($J$7-$H$7)*($J$7-$I$7)))</f>
        <v/>
      </c>
      <c r="E439" s="17">
        <f>SUM(B439:D439)</f>
        <v/>
      </c>
      <c r="N439" s="16">
        <f>RAND()</f>
        <v/>
      </c>
      <c r="O439" s="16">
        <f>RAND()</f>
        <v/>
      </c>
      <c r="P439" s="16">
        <f>RAND()</f>
        <v/>
      </c>
    </row>
    <row r="440">
      <c r="A440" s="13" t="n">
        <v>436</v>
      </c>
      <c r="B440" s="17">
        <f>IF(N440&lt;$K$5,$H$5+SQRT(N440*($J$5-$H$5)*($I$5-$H$5)),$J$5-SQRT((1-N440)*($J$5-$H$5)*($J$5-$I$5)))</f>
        <v/>
      </c>
      <c r="C440" s="17">
        <f>IF(O440&lt;$K$6,$H$6+SQRT(O440*($J$6-$H$6)*($I$6-$H$6)),$J$6-SQRT((1-O440)*($J$6-$H$6)*($J$6-$I$6)))</f>
        <v/>
      </c>
      <c r="D440" s="17">
        <f>IF(P440&lt;$K$7,$H$7+SQRT(P440*($J$7-$H$7)*($I$7-$H$7)),$J$7-SQRT((1-P440)*($J$7-$H$7)*($J$7-$I$7)))</f>
        <v/>
      </c>
      <c r="E440" s="17">
        <f>SUM(B440:D440)</f>
        <v/>
      </c>
      <c r="N440" s="16">
        <f>RAND()</f>
        <v/>
      </c>
      <c r="O440" s="16">
        <f>RAND()</f>
        <v/>
      </c>
      <c r="P440" s="16">
        <f>RAND()</f>
        <v/>
      </c>
    </row>
    <row r="441">
      <c r="A441" s="13" t="n">
        <v>437</v>
      </c>
      <c r="B441" s="17">
        <f>IF(N441&lt;$K$5,$H$5+SQRT(N441*($J$5-$H$5)*($I$5-$H$5)),$J$5-SQRT((1-N441)*($J$5-$H$5)*($J$5-$I$5)))</f>
        <v/>
      </c>
      <c r="C441" s="17">
        <f>IF(O441&lt;$K$6,$H$6+SQRT(O441*($J$6-$H$6)*($I$6-$H$6)),$J$6-SQRT((1-O441)*($J$6-$H$6)*($J$6-$I$6)))</f>
        <v/>
      </c>
      <c r="D441" s="17">
        <f>IF(P441&lt;$K$7,$H$7+SQRT(P441*($J$7-$H$7)*($I$7-$H$7)),$J$7-SQRT((1-P441)*($J$7-$H$7)*($J$7-$I$7)))</f>
        <v/>
      </c>
      <c r="E441" s="17">
        <f>SUM(B441:D441)</f>
        <v/>
      </c>
      <c r="N441" s="16">
        <f>RAND()</f>
        <v/>
      </c>
      <c r="O441" s="16">
        <f>RAND()</f>
        <v/>
      </c>
      <c r="P441" s="16">
        <f>RAND()</f>
        <v/>
      </c>
    </row>
    <row r="442">
      <c r="A442" s="13" t="n">
        <v>438</v>
      </c>
      <c r="B442" s="17">
        <f>IF(N442&lt;$K$5,$H$5+SQRT(N442*($J$5-$H$5)*($I$5-$H$5)),$J$5-SQRT((1-N442)*($J$5-$H$5)*($J$5-$I$5)))</f>
        <v/>
      </c>
      <c r="C442" s="17">
        <f>IF(O442&lt;$K$6,$H$6+SQRT(O442*($J$6-$H$6)*($I$6-$H$6)),$J$6-SQRT((1-O442)*($J$6-$H$6)*($J$6-$I$6)))</f>
        <v/>
      </c>
      <c r="D442" s="17">
        <f>IF(P442&lt;$K$7,$H$7+SQRT(P442*($J$7-$H$7)*($I$7-$H$7)),$J$7-SQRT((1-P442)*($J$7-$H$7)*($J$7-$I$7)))</f>
        <v/>
      </c>
      <c r="E442" s="17">
        <f>SUM(B442:D442)</f>
        <v/>
      </c>
      <c r="N442" s="16">
        <f>RAND()</f>
        <v/>
      </c>
      <c r="O442" s="16">
        <f>RAND()</f>
        <v/>
      </c>
      <c r="P442" s="16">
        <f>RAND()</f>
        <v/>
      </c>
    </row>
    <row r="443">
      <c r="A443" s="13" t="n">
        <v>439</v>
      </c>
      <c r="B443" s="17">
        <f>IF(N443&lt;$K$5,$H$5+SQRT(N443*($J$5-$H$5)*($I$5-$H$5)),$J$5-SQRT((1-N443)*($J$5-$H$5)*($J$5-$I$5)))</f>
        <v/>
      </c>
      <c r="C443" s="17">
        <f>IF(O443&lt;$K$6,$H$6+SQRT(O443*($J$6-$H$6)*($I$6-$H$6)),$J$6-SQRT((1-O443)*($J$6-$H$6)*($J$6-$I$6)))</f>
        <v/>
      </c>
      <c r="D443" s="17">
        <f>IF(P443&lt;$K$7,$H$7+SQRT(P443*($J$7-$H$7)*($I$7-$H$7)),$J$7-SQRT((1-P443)*($J$7-$H$7)*($J$7-$I$7)))</f>
        <v/>
      </c>
      <c r="E443" s="17">
        <f>SUM(B443:D443)</f>
        <v/>
      </c>
      <c r="N443" s="16">
        <f>RAND()</f>
        <v/>
      </c>
      <c r="O443" s="16">
        <f>RAND()</f>
        <v/>
      </c>
      <c r="P443" s="16">
        <f>RAND()</f>
        <v/>
      </c>
    </row>
    <row r="444">
      <c r="A444" s="13" t="n">
        <v>440</v>
      </c>
      <c r="B444" s="17">
        <f>IF(N444&lt;$K$5,$H$5+SQRT(N444*($J$5-$H$5)*($I$5-$H$5)),$J$5-SQRT((1-N444)*($J$5-$H$5)*($J$5-$I$5)))</f>
        <v/>
      </c>
      <c r="C444" s="17">
        <f>IF(O444&lt;$K$6,$H$6+SQRT(O444*($J$6-$H$6)*($I$6-$H$6)),$J$6-SQRT((1-O444)*($J$6-$H$6)*($J$6-$I$6)))</f>
        <v/>
      </c>
      <c r="D444" s="17">
        <f>IF(P444&lt;$K$7,$H$7+SQRT(P444*($J$7-$H$7)*($I$7-$H$7)),$J$7-SQRT((1-P444)*($J$7-$H$7)*($J$7-$I$7)))</f>
        <v/>
      </c>
      <c r="E444" s="17">
        <f>SUM(B444:D444)</f>
        <v/>
      </c>
      <c r="N444" s="16">
        <f>RAND()</f>
        <v/>
      </c>
      <c r="O444" s="16">
        <f>RAND()</f>
        <v/>
      </c>
      <c r="P444" s="16">
        <f>RAND()</f>
        <v/>
      </c>
    </row>
    <row r="445">
      <c r="A445" s="13" t="n">
        <v>441</v>
      </c>
      <c r="B445" s="17">
        <f>IF(N445&lt;$K$5,$H$5+SQRT(N445*($J$5-$H$5)*($I$5-$H$5)),$J$5-SQRT((1-N445)*($J$5-$H$5)*($J$5-$I$5)))</f>
        <v/>
      </c>
      <c r="C445" s="17">
        <f>IF(O445&lt;$K$6,$H$6+SQRT(O445*($J$6-$H$6)*($I$6-$H$6)),$J$6-SQRT((1-O445)*($J$6-$H$6)*($J$6-$I$6)))</f>
        <v/>
      </c>
      <c r="D445" s="17">
        <f>IF(P445&lt;$K$7,$H$7+SQRT(P445*($J$7-$H$7)*($I$7-$H$7)),$J$7-SQRT((1-P445)*($J$7-$H$7)*($J$7-$I$7)))</f>
        <v/>
      </c>
      <c r="E445" s="17">
        <f>SUM(B445:D445)</f>
        <v/>
      </c>
      <c r="N445" s="16">
        <f>RAND()</f>
        <v/>
      </c>
      <c r="O445" s="16">
        <f>RAND()</f>
        <v/>
      </c>
      <c r="P445" s="16">
        <f>RAND()</f>
        <v/>
      </c>
    </row>
    <row r="446">
      <c r="A446" s="13" t="n">
        <v>442</v>
      </c>
      <c r="B446" s="17">
        <f>IF(N446&lt;$K$5,$H$5+SQRT(N446*($J$5-$H$5)*($I$5-$H$5)),$J$5-SQRT((1-N446)*($J$5-$H$5)*($J$5-$I$5)))</f>
        <v/>
      </c>
      <c r="C446" s="17">
        <f>IF(O446&lt;$K$6,$H$6+SQRT(O446*($J$6-$H$6)*($I$6-$H$6)),$J$6-SQRT((1-O446)*($J$6-$H$6)*($J$6-$I$6)))</f>
        <v/>
      </c>
      <c r="D446" s="17">
        <f>IF(P446&lt;$K$7,$H$7+SQRT(P446*($J$7-$H$7)*($I$7-$H$7)),$J$7-SQRT((1-P446)*($J$7-$H$7)*($J$7-$I$7)))</f>
        <v/>
      </c>
      <c r="E446" s="17">
        <f>SUM(B446:D446)</f>
        <v/>
      </c>
      <c r="N446" s="16">
        <f>RAND()</f>
        <v/>
      </c>
      <c r="O446" s="16">
        <f>RAND()</f>
        <v/>
      </c>
      <c r="P446" s="16">
        <f>RAND()</f>
        <v/>
      </c>
    </row>
    <row r="447">
      <c r="A447" s="13" t="n">
        <v>443</v>
      </c>
      <c r="B447" s="17">
        <f>IF(N447&lt;$K$5,$H$5+SQRT(N447*($J$5-$H$5)*($I$5-$H$5)),$J$5-SQRT((1-N447)*($J$5-$H$5)*($J$5-$I$5)))</f>
        <v/>
      </c>
      <c r="C447" s="17">
        <f>IF(O447&lt;$K$6,$H$6+SQRT(O447*($J$6-$H$6)*($I$6-$H$6)),$J$6-SQRT((1-O447)*($J$6-$H$6)*($J$6-$I$6)))</f>
        <v/>
      </c>
      <c r="D447" s="17">
        <f>IF(P447&lt;$K$7,$H$7+SQRT(P447*($J$7-$H$7)*($I$7-$H$7)),$J$7-SQRT((1-P447)*($J$7-$H$7)*($J$7-$I$7)))</f>
        <v/>
      </c>
      <c r="E447" s="17">
        <f>SUM(B447:D447)</f>
        <v/>
      </c>
      <c r="N447" s="16">
        <f>RAND()</f>
        <v/>
      </c>
      <c r="O447" s="16">
        <f>RAND()</f>
        <v/>
      </c>
      <c r="P447" s="16">
        <f>RAND()</f>
        <v/>
      </c>
    </row>
    <row r="448">
      <c r="A448" s="13" t="n">
        <v>444</v>
      </c>
      <c r="B448" s="17">
        <f>IF(N448&lt;$K$5,$H$5+SQRT(N448*($J$5-$H$5)*($I$5-$H$5)),$J$5-SQRT((1-N448)*($J$5-$H$5)*($J$5-$I$5)))</f>
        <v/>
      </c>
      <c r="C448" s="17">
        <f>IF(O448&lt;$K$6,$H$6+SQRT(O448*($J$6-$H$6)*($I$6-$H$6)),$J$6-SQRT((1-O448)*($J$6-$H$6)*($J$6-$I$6)))</f>
        <v/>
      </c>
      <c r="D448" s="17">
        <f>IF(P448&lt;$K$7,$H$7+SQRT(P448*($J$7-$H$7)*($I$7-$H$7)),$J$7-SQRT((1-P448)*($J$7-$H$7)*($J$7-$I$7)))</f>
        <v/>
      </c>
      <c r="E448" s="17">
        <f>SUM(B448:D448)</f>
        <v/>
      </c>
      <c r="N448" s="16">
        <f>RAND()</f>
        <v/>
      </c>
      <c r="O448" s="16">
        <f>RAND()</f>
        <v/>
      </c>
      <c r="P448" s="16">
        <f>RAND()</f>
        <v/>
      </c>
    </row>
    <row r="449">
      <c r="A449" s="13" t="n">
        <v>445</v>
      </c>
      <c r="B449" s="17">
        <f>IF(N449&lt;$K$5,$H$5+SQRT(N449*($J$5-$H$5)*($I$5-$H$5)),$J$5-SQRT((1-N449)*($J$5-$H$5)*($J$5-$I$5)))</f>
        <v/>
      </c>
      <c r="C449" s="17">
        <f>IF(O449&lt;$K$6,$H$6+SQRT(O449*($J$6-$H$6)*($I$6-$H$6)),$J$6-SQRT((1-O449)*($J$6-$H$6)*($J$6-$I$6)))</f>
        <v/>
      </c>
      <c r="D449" s="17">
        <f>IF(P449&lt;$K$7,$H$7+SQRT(P449*($J$7-$H$7)*($I$7-$H$7)),$J$7-SQRT((1-P449)*($J$7-$H$7)*($J$7-$I$7)))</f>
        <v/>
      </c>
      <c r="E449" s="17">
        <f>SUM(B449:D449)</f>
        <v/>
      </c>
      <c r="N449" s="16">
        <f>RAND()</f>
        <v/>
      </c>
      <c r="O449" s="16">
        <f>RAND()</f>
        <v/>
      </c>
      <c r="P449" s="16">
        <f>RAND()</f>
        <v/>
      </c>
    </row>
    <row r="450">
      <c r="A450" s="13" t="n">
        <v>446</v>
      </c>
      <c r="B450" s="17">
        <f>IF(N450&lt;$K$5,$H$5+SQRT(N450*($J$5-$H$5)*($I$5-$H$5)),$J$5-SQRT((1-N450)*($J$5-$H$5)*($J$5-$I$5)))</f>
        <v/>
      </c>
      <c r="C450" s="17">
        <f>IF(O450&lt;$K$6,$H$6+SQRT(O450*($J$6-$H$6)*($I$6-$H$6)),$J$6-SQRT((1-O450)*($J$6-$H$6)*($J$6-$I$6)))</f>
        <v/>
      </c>
      <c r="D450" s="17">
        <f>IF(P450&lt;$K$7,$H$7+SQRT(P450*($J$7-$H$7)*($I$7-$H$7)),$J$7-SQRT((1-P450)*($J$7-$H$7)*($J$7-$I$7)))</f>
        <v/>
      </c>
      <c r="E450" s="17">
        <f>SUM(B450:D450)</f>
        <v/>
      </c>
      <c r="N450" s="16">
        <f>RAND()</f>
        <v/>
      </c>
      <c r="O450" s="16">
        <f>RAND()</f>
        <v/>
      </c>
      <c r="P450" s="16">
        <f>RAND()</f>
        <v/>
      </c>
    </row>
    <row r="451">
      <c r="A451" s="13" t="n">
        <v>447</v>
      </c>
      <c r="B451" s="17">
        <f>IF(N451&lt;$K$5,$H$5+SQRT(N451*($J$5-$H$5)*($I$5-$H$5)),$J$5-SQRT((1-N451)*($J$5-$H$5)*($J$5-$I$5)))</f>
        <v/>
      </c>
      <c r="C451" s="17">
        <f>IF(O451&lt;$K$6,$H$6+SQRT(O451*($J$6-$H$6)*($I$6-$H$6)),$J$6-SQRT((1-O451)*($J$6-$H$6)*($J$6-$I$6)))</f>
        <v/>
      </c>
      <c r="D451" s="17">
        <f>IF(P451&lt;$K$7,$H$7+SQRT(P451*($J$7-$H$7)*($I$7-$H$7)),$J$7-SQRT((1-P451)*($J$7-$H$7)*($J$7-$I$7)))</f>
        <v/>
      </c>
      <c r="E451" s="17">
        <f>SUM(B451:D451)</f>
        <v/>
      </c>
      <c r="N451" s="16">
        <f>RAND()</f>
        <v/>
      </c>
      <c r="O451" s="16">
        <f>RAND()</f>
        <v/>
      </c>
      <c r="P451" s="16">
        <f>RAND()</f>
        <v/>
      </c>
    </row>
    <row r="452">
      <c r="A452" s="13" t="n">
        <v>448</v>
      </c>
      <c r="B452" s="17">
        <f>IF(N452&lt;$K$5,$H$5+SQRT(N452*($J$5-$H$5)*($I$5-$H$5)),$J$5-SQRT((1-N452)*($J$5-$H$5)*($J$5-$I$5)))</f>
        <v/>
      </c>
      <c r="C452" s="17">
        <f>IF(O452&lt;$K$6,$H$6+SQRT(O452*($J$6-$H$6)*($I$6-$H$6)),$J$6-SQRT((1-O452)*($J$6-$H$6)*($J$6-$I$6)))</f>
        <v/>
      </c>
      <c r="D452" s="17">
        <f>IF(P452&lt;$K$7,$H$7+SQRT(P452*($J$7-$H$7)*($I$7-$H$7)),$J$7-SQRT((1-P452)*($J$7-$H$7)*($J$7-$I$7)))</f>
        <v/>
      </c>
      <c r="E452" s="17">
        <f>SUM(B452:D452)</f>
        <v/>
      </c>
      <c r="N452" s="16">
        <f>RAND()</f>
        <v/>
      </c>
      <c r="O452" s="16">
        <f>RAND()</f>
        <v/>
      </c>
      <c r="P452" s="16">
        <f>RAND()</f>
        <v/>
      </c>
    </row>
    <row r="453">
      <c r="A453" s="13" t="n">
        <v>449</v>
      </c>
      <c r="B453" s="17">
        <f>IF(N453&lt;$K$5,$H$5+SQRT(N453*($J$5-$H$5)*($I$5-$H$5)),$J$5-SQRT((1-N453)*($J$5-$H$5)*($J$5-$I$5)))</f>
        <v/>
      </c>
      <c r="C453" s="17">
        <f>IF(O453&lt;$K$6,$H$6+SQRT(O453*($J$6-$H$6)*($I$6-$H$6)),$J$6-SQRT((1-O453)*($J$6-$H$6)*($J$6-$I$6)))</f>
        <v/>
      </c>
      <c r="D453" s="17">
        <f>IF(P453&lt;$K$7,$H$7+SQRT(P453*($J$7-$H$7)*($I$7-$H$7)),$J$7-SQRT((1-P453)*($J$7-$H$7)*($J$7-$I$7)))</f>
        <v/>
      </c>
      <c r="E453" s="17">
        <f>SUM(B453:D453)</f>
        <v/>
      </c>
      <c r="N453" s="16">
        <f>RAND()</f>
        <v/>
      </c>
      <c r="O453" s="16">
        <f>RAND()</f>
        <v/>
      </c>
      <c r="P453" s="16">
        <f>RAND()</f>
        <v/>
      </c>
    </row>
    <row r="454">
      <c r="A454" s="13" t="n">
        <v>450</v>
      </c>
      <c r="B454" s="17">
        <f>IF(N454&lt;$K$5,$H$5+SQRT(N454*($J$5-$H$5)*($I$5-$H$5)),$J$5-SQRT((1-N454)*($J$5-$H$5)*($J$5-$I$5)))</f>
        <v/>
      </c>
      <c r="C454" s="17">
        <f>IF(O454&lt;$K$6,$H$6+SQRT(O454*($J$6-$H$6)*($I$6-$H$6)),$J$6-SQRT((1-O454)*($J$6-$H$6)*($J$6-$I$6)))</f>
        <v/>
      </c>
      <c r="D454" s="17">
        <f>IF(P454&lt;$K$7,$H$7+SQRT(P454*($J$7-$H$7)*($I$7-$H$7)),$J$7-SQRT((1-P454)*($J$7-$H$7)*($J$7-$I$7)))</f>
        <v/>
      </c>
      <c r="E454" s="17">
        <f>SUM(B454:D454)</f>
        <v/>
      </c>
      <c r="N454" s="16">
        <f>RAND()</f>
        <v/>
      </c>
      <c r="O454" s="16">
        <f>RAND()</f>
        <v/>
      </c>
      <c r="P454" s="16">
        <f>RAND()</f>
        <v/>
      </c>
    </row>
    <row r="455">
      <c r="A455" s="13" t="n">
        <v>451</v>
      </c>
      <c r="B455" s="17">
        <f>IF(N455&lt;$K$5,$H$5+SQRT(N455*($J$5-$H$5)*($I$5-$H$5)),$J$5-SQRT((1-N455)*($J$5-$H$5)*($J$5-$I$5)))</f>
        <v/>
      </c>
      <c r="C455" s="17">
        <f>IF(O455&lt;$K$6,$H$6+SQRT(O455*($J$6-$H$6)*($I$6-$H$6)),$J$6-SQRT((1-O455)*($J$6-$H$6)*($J$6-$I$6)))</f>
        <v/>
      </c>
      <c r="D455" s="17">
        <f>IF(P455&lt;$K$7,$H$7+SQRT(P455*($J$7-$H$7)*($I$7-$H$7)),$J$7-SQRT((1-P455)*($J$7-$H$7)*($J$7-$I$7)))</f>
        <v/>
      </c>
      <c r="E455" s="17">
        <f>SUM(B455:D455)</f>
        <v/>
      </c>
      <c r="N455" s="16">
        <f>RAND()</f>
        <v/>
      </c>
      <c r="O455" s="16">
        <f>RAND()</f>
        <v/>
      </c>
      <c r="P455" s="16">
        <f>RAND()</f>
        <v/>
      </c>
    </row>
    <row r="456">
      <c r="A456" s="13" t="n">
        <v>452</v>
      </c>
      <c r="B456" s="17">
        <f>IF(N456&lt;$K$5,$H$5+SQRT(N456*($J$5-$H$5)*($I$5-$H$5)),$J$5-SQRT((1-N456)*($J$5-$H$5)*($J$5-$I$5)))</f>
        <v/>
      </c>
      <c r="C456" s="17">
        <f>IF(O456&lt;$K$6,$H$6+SQRT(O456*($J$6-$H$6)*($I$6-$H$6)),$J$6-SQRT((1-O456)*($J$6-$H$6)*($J$6-$I$6)))</f>
        <v/>
      </c>
      <c r="D456" s="17">
        <f>IF(P456&lt;$K$7,$H$7+SQRT(P456*($J$7-$H$7)*($I$7-$H$7)),$J$7-SQRT((1-P456)*($J$7-$H$7)*($J$7-$I$7)))</f>
        <v/>
      </c>
      <c r="E456" s="17">
        <f>SUM(B456:D456)</f>
        <v/>
      </c>
      <c r="N456" s="16">
        <f>RAND()</f>
        <v/>
      </c>
      <c r="O456" s="16">
        <f>RAND()</f>
        <v/>
      </c>
      <c r="P456" s="16">
        <f>RAND()</f>
        <v/>
      </c>
    </row>
    <row r="457">
      <c r="A457" s="13" t="n">
        <v>453</v>
      </c>
      <c r="B457" s="17">
        <f>IF(N457&lt;$K$5,$H$5+SQRT(N457*($J$5-$H$5)*($I$5-$H$5)),$J$5-SQRT((1-N457)*($J$5-$H$5)*($J$5-$I$5)))</f>
        <v/>
      </c>
      <c r="C457" s="17">
        <f>IF(O457&lt;$K$6,$H$6+SQRT(O457*($J$6-$H$6)*($I$6-$H$6)),$J$6-SQRT((1-O457)*($J$6-$H$6)*($J$6-$I$6)))</f>
        <v/>
      </c>
      <c r="D457" s="17">
        <f>IF(P457&lt;$K$7,$H$7+SQRT(P457*($J$7-$H$7)*($I$7-$H$7)),$J$7-SQRT((1-P457)*($J$7-$H$7)*($J$7-$I$7)))</f>
        <v/>
      </c>
      <c r="E457" s="17">
        <f>SUM(B457:D457)</f>
        <v/>
      </c>
      <c r="N457" s="16">
        <f>RAND()</f>
        <v/>
      </c>
      <c r="O457" s="16">
        <f>RAND()</f>
        <v/>
      </c>
      <c r="P457" s="16">
        <f>RAND()</f>
        <v/>
      </c>
    </row>
    <row r="458">
      <c r="A458" s="13" t="n">
        <v>454</v>
      </c>
      <c r="B458" s="17">
        <f>IF(N458&lt;$K$5,$H$5+SQRT(N458*($J$5-$H$5)*($I$5-$H$5)),$J$5-SQRT((1-N458)*($J$5-$H$5)*($J$5-$I$5)))</f>
        <v/>
      </c>
      <c r="C458" s="17">
        <f>IF(O458&lt;$K$6,$H$6+SQRT(O458*($J$6-$H$6)*($I$6-$H$6)),$J$6-SQRT((1-O458)*($J$6-$H$6)*($J$6-$I$6)))</f>
        <v/>
      </c>
      <c r="D458" s="17">
        <f>IF(P458&lt;$K$7,$H$7+SQRT(P458*($J$7-$H$7)*($I$7-$H$7)),$J$7-SQRT((1-P458)*($J$7-$H$7)*($J$7-$I$7)))</f>
        <v/>
      </c>
      <c r="E458" s="17">
        <f>SUM(B458:D458)</f>
        <v/>
      </c>
      <c r="N458" s="16">
        <f>RAND()</f>
        <v/>
      </c>
      <c r="O458" s="16">
        <f>RAND()</f>
        <v/>
      </c>
      <c r="P458" s="16">
        <f>RAND()</f>
        <v/>
      </c>
    </row>
    <row r="459">
      <c r="A459" s="13" t="n">
        <v>455</v>
      </c>
      <c r="B459" s="17">
        <f>IF(N459&lt;$K$5,$H$5+SQRT(N459*($J$5-$H$5)*($I$5-$H$5)),$J$5-SQRT((1-N459)*($J$5-$H$5)*($J$5-$I$5)))</f>
        <v/>
      </c>
      <c r="C459" s="17">
        <f>IF(O459&lt;$K$6,$H$6+SQRT(O459*($J$6-$H$6)*($I$6-$H$6)),$J$6-SQRT((1-O459)*($J$6-$H$6)*($J$6-$I$6)))</f>
        <v/>
      </c>
      <c r="D459" s="17">
        <f>IF(P459&lt;$K$7,$H$7+SQRT(P459*($J$7-$H$7)*($I$7-$H$7)),$J$7-SQRT((1-P459)*($J$7-$H$7)*($J$7-$I$7)))</f>
        <v/>
      </c>
      <c r="E459" s="17">
        <f>SUM(B459:D459)</f>
        <v/>
      </c>
      <c r="N459" s="16">
        <f>RAND()</f>
        <v/>
      </c>
      <c r="O459" s="16">
        <f>RAND()</f>
        <v/>
      </c>
      <c r="P459" s="16">
        <f>RAND()</f>
        <v/>
      </c>
    </row>
    <row r="460">
      <c r="A460" s="13" t="n">
        <v>456</v>
      </c>
      <c r="B460" s="17">
        <f>IF(N460&lt;$K$5,$H$5+SQRT(N460*($J$5-$H$5)*($I$5-$H$5)),$J$5-SQRT((1-N460)*($J$5-$H$5)*($J$5-$I$5)))</f>
        <v/>
      </c>
      <c r="C460" s="17">
        <f>IF(O460&lt;$K$6,$H$6+SQRT(O460*($J$6-$H$6)*($I$6-$H$6)),$J$6-SQRT((1-O460)*($J$6-$H$6)*($J$6-$I$6)))</f>
        <v/>
      </c>
      <c r="D460" s="17">
        <f>IF(P460&lt;$K$7,$H$7+SQRT(P460*($J$7-$H$7)*($I$7-$H$7)),$J$7-SQRT((1-P460)*($J$7-$H$7)*($J$7-$I$7)))</f>
        <v/>
      </c>
      <c r="E460" s="17">
        <f>SUM(B460:D460)</f>
        <v/>
      </c>
      <c r="N460" s="16">
        <f>RAND()</f>
        <v/>
      </c>
      <c r="O460" s="16">
        <f>RAND()</f>
        <v/>
      </c>
      <c r="P460" s="16">
        <f>RAND()</f>
        <v/>
      </c>
    </row>
    <row r="461">
      <c r="A461" s="13" t="n">
        <v>457</v>
      </c>
      <c r="B461" s="17">
        <f>IF(N461&lt;$K$5,$H$5+SQRT(N461*($J$5-$H$5)*($I$5-$H$5)),$J$5-SQRT((1-N461)*($J$5-$H$5)*($J$5-$I$5)))</f>
        <v/>
      </c>
      <c r="C461" s="17">
        <f>IF(O461&lt;$K$6,$H$6+SQRT(O461*($J$6-$H$6)*($I$6-$H$6)),$J$6-SQRT((1-O461)*($J$6-$H$6)*($J$6-$I$6)))</f>
        <v/>
      </c>
      <c r="D461" s="17">
        <f>IF(P461&lt;$K$7,$H$7+SQRT(P461*($J$7-$H$7)*($I$7-$H$7)),$J$7-SQRT((1-P461)*($J$7-$H$7)*($J$7-$I$7)))</f>
        <v/>
      </c>
      <c r="E461" s="17">
        <f>SUM(B461:D461)</f>
        <v/>
      </c>
      <c r="N461" s="16">
        <f>RAND()</f>
        <v/>
      </c>
      <c r="O461" s="16">
        <f>RAND()</f>
        <v/>
      </c>
      <c r="P461" s="16">
        <f>RAND()</f>
        <v/>
      </c>
    </row>
    <row r="462">
      <c r="A462" s="13" t="n">
        <v>458</v>
      </c>
      <c r="B462" s="17">
        <f>IF(N462&lt;$K$5,$H$5+SQRT(N462*($J$5-$H$5)*($I$5-$H$5)),$J$5-SQRT((1-N462)*($J$5-$H$5)*($J$5-$I$5)))</f>
        <v/>
      </c>
      <c r="C462" s="17">
        <f>IF(O462&lt;$K$6,$H$6+SQRT(O462*($J$6-$H$6)*($I$6-$H$6)),$J$6-SQRT((1-O462)*($J$6-$H$6)*($J$6-$I$6)))</f>
        <v/>
      </c>
      <c r="D462" s="17">
        <f>IF(P462&lt;$K$7,$H$7+SQRT(P462*($J$7-$H$7)*($I$7-$H$7)),$J$7-SQRT((1-P462)*($J$7-$H$7)*($J$7-$I$7)))</f>
        <v/>
      </c>
      <c r="E462" s="17">
        <f>SUM(B462:D462)</f>
        <v/>
      </c>
      <c r="N462" s="16">
        <f>RAND()</f>
        <v/>
      </c>
      <c r="O462" s="16">
        <f>RAND()</f>
        <v/>
      </c>
      <c r="P462" s="16">
        <f>RAND()</f>
        <v/>
      </c>
    </row>
    <row r="463">
      <c r="A463" s="13" t="n">
        <v>459</v>
      </c>
      <c r="B463" s="17">
        <f>IF(N463&lt;$K$5,$H$5+SQRT(N463*($J$5-$H$5)*($I$5-$H$5)),$J$5-SQRT((1-N463)*($J$5-$H$5)*($J$5-$I$5)))</f>
        <v/>
      </c>
      <c r="C463" s="17">
        <f>IF(O463&lt;$K$6,$H$6+SQRT(O463*($J$6-$H$6)*($I$6-$H$6)),$J$6-SQRT((1-O463)*($J$6-$H$6)*($J$6-$I$6)))</f>
        <v/>
      </c>
      <c r="D463" s="17">
        <f>IF(P463&lt;$K$7,$H$7+SQRT(P463*($J$7-$H$7)*($I$7-$H$7)),$J$7-SQRT((1-P463)*($J$7-$H$7)*($J$7-$I$7)))</f>
        <v/>
      </c>
      <c r="E463" s="17">
        <f>SUM(B463:D463)</f>
        <v/>
      </c>
      <c r="N463" s="16">
        <f>RAND()</f>
        <v/>
      </c>
      <c r="O463" s="16">
        <f>RAND()</f>
        <v/>
      </c>
      <c r="P463" s="16">
        <f>RAND()</f>
        <v/>
      </c>
    </row>
    <row r="464">
      <c r="A464" s="13" t="n">
        <v>460</v>
      </c>
      <c r="B464" s="17">
        <f>IF(N464&lt;$K$5,$H$5+SQRT(N464*($J$5-$H$5)*($I$5-$H$5)),$J$5-SQRT((1-N464)*($J$5-$H$5)*($J$5-$I$5)))</f>
        <v/>
      </c>
      <c r="C464" s="17">
        <f>IF(O464&lt;$K$6,$H$6+SQRT(O464*($J$6-$H$6)*($I$6-$H$6)),$J$6-SQRT((1-O464)*($J$6-$H$6)*($J$6-$I$6)))</f>
        <v/>
      </c>
      <c r="D464" s="17">
        <f>IF(P464&lt;$K$7,$H$7+SQRT(P464*($J$7-$H$7)*($I$7-$H$7)),$J$7-SQRT((1-P464)*($J$7-$H$7)*($J$7-$I$7)))</f>
        <v/>
      </c>
      <c r="E464" s="17">
        <f>SUM(B464:D464)</f>
        <v/>
      </c>
      <c r="N464" s="16">
        <f>RAND()</f>
        <v/>
      </c>
      <c r="O464" s="16">
        <f>RAND()</f>
        <v/>
      </c>
      <c r="P464" s="16">
        <f>RAND()</f>
        <v/>
      </c>
    </row>
    <row r="465">
      <c r="A465" s="13" t="n">
        <v>461</v>
      </c>
      <c r="B465" s="17">
        <f>IF(N465&lt;$K$5,$H$5+SQRT(N465*($J$5-$H$5)*($I$5-$H$5)),$J$5-SQRT((1-N465)*($J$5-$H$5)*($J$5-$I$5)))</f>
        <v/>
      </c>
      <c r="C465" s="17">
        <f>IF(O465&lt;$K$6,$H$6+SQRT(O465*($J$6-$H$6)*($I$6-$H$6)),$J$6-SQRT((1-O465)*($J$6-$H$6)*($J$6-$I$6)))</f>
        <v/>
      </c>
      <c r="D465" s="17">
        <f>IF(P465&lt;$K$7,$H$7+SQRT(P465*($J$7-$H$7)*($I$7-$H$7)),$J$7-SQRT((1-P465)*($J$7-$H$7)*($J$7-$I$7)))</f>
        <v/>
      </c>
      <c r="E465" s="17">
        <f>SUM(B465:D465)</f>
        <v/>
      </c>
      <c r="N465" s="16">
        <f>RAND()</f>
        <v/>
      </c>
      <c r="O465" s="16">
        <f>RAND()</f>
        <v/>
      </c>
      <c r="P465" s="16">
        <f>RAND()</f>
        <v/>
      </c>
    </row>
    <row r="466">
      <c r="A466" s="13" t="n">
        <v>462</v>
      </c>
      <c r="B466" s="17">
        <f>IF(N466&lt;$K$5,$H$5+SQRT(N466*($J$5-$H$5)*($I$5-$H$5)),$J$5-SQRT((1-N466)*($J$5-$H$5)*($J$5-$I$5)))</f>
        <v/>
      </c>
      <c r="C466" s="17">
        <f>IF(O466&lt;$K$6,$H$6+SQRT(O466*($J$6-$H$6)*($I$6-$H$6)),$J$6-SQRT((1-O466)*($J$6-$H$6)*($J$6-$I$6)))</f>
        <v/>
      </c>
      <c r="D466" s="17">
        <f>IF(P466&lt;$K$7,$H$7+SQRT(P466*($J$7-$H$7)*($I$7-$H$7)),$J$7-SQRT((1-P466)*($J$7-$H$7)*($J$7-$I$7)))</f>
        <v/>
      </c>
      <c r="E466" s="17">
        <f>SUM(B466:D466)</f>
        <v/>
      </c>
      <c r="N466" s="16">
        <f>RAND()</f>
        <v/>
      </c>
      <c r="O466" s="16">
        <f>RAND()</f>
        <v/>
      </c>
      <c r="P466" s="16">
        <f>RAND()</f>
        <v/>
      </c>
    </row>
    <row r="467">
      <c r="A467" s="13" t="n">
        <v>463</v>
      </c>
      <c r="B467" s="17">
        <f>IF(N467&lt;$K$5,$H$5+SQRT(N467*($J$5-$H$5)*($I$5-$H$5)),$J$5-SQRT((1-N467)*($J$5-$H$5)*($J$5-$I$5)))</f>
        <v/>
      </c>
      <c r="C467" s="17">
        <f>IF(O467&lt;$K$6,$H$6+SQRT(O467*($J$6-$H$6)*($I$6-$H$6)),$J$6-SQRT((1-O467)*($J$6-$H$6)*($J$6-$I$6)))</f>
        <v/>
      </c>
      <c r="D467" s="17">
        <f>IF(P467&lt;$K$7,$H$7+SQRT(P467*($J$7-$H$7)*($I$7-$H$7)),$J$7-SQRT((1-P467)*($J$7-$H$7)*($J$7-$I$7)))</f>
        <v/>
      </c>
      <c r="E467" s="17">
        <f>SUM(B467:D467)</f>
        <v/>
      </c>
      <c r="N467" s="16">
        <f>RAND()</f>
        <v/>
      </c>
      <c r="O467" s="16">
        <f>RAND()</f>
        <v/>
      </c>
      <c r="P467" s="16">
        <f>RAND()</f>
        <v/>
      </c>
    </row>
    <row r="468">
      <c r="A468" s="13" t="n">
        <v>464</v>
      </c>
      <c r="B468" s="17">
        <f>IF(N468&lt;$K$5,$H$5+SQRT(N468*($J$5-$H$5)*($I$5-$H$5)),$J$5-SQRT((1-N468)*($J$5-$H$5)*($J$5-$I$5)))</f>
        <v/>
      </c>
      <c r="C468" s="17">
        <f>IF(O468&lt;$K$6,$H$6+SQRT(O468*($J$6-$H$6)*($I$6-$H$6)),$J$6-SQRT((1-O468)*($J$6-$H$6)*($J$6-$I$6)))</f>
        <v/>
      </c>
      <c r="D468" s="17">
        <f>IF(P468&lt;$K$7,$H$7+SQRT(P468*($J$7-$H$7)*($I$7-$H$7)),$J$7-SQRT((1-P468)*($J$7-$H$7)*($J$7-$I$7)))</f>
        <v/>
      </c>
      <c r="E468" s="17">
        <f>SUM(B468:D468)</f>
        <v/>
      </c>
      <c r="N468" s="16">
        <f>RAND()</f>
        <v/>
      </c>
      <c r="O468" s="16">
        <f>RAND()</f>
        <v/>
      </c>
      <c r="P468" s="16">
        <f>RAND()</f>
        <v/>
      </c>
    </row>
    <row r="469">
      <c r="A469" s="13" t="n">
        <v>465</v>
      </c>
      <c r="B469" s="17">
        <f>IF(N469&lt;$K$5,$H$5+SQRT(N469*($J$5-$H$5)*($I$5-$H$5)),$J$5-SQRT((1-N469)*($J$5-$H$5)*($J$5-$I$5)))</f>
        <v/>
      </c>
      <c r="C469" s="17">
        <f>IF(O469&lt;$K$6,$H$6+SQRT(O469*($J$6-$H$6)*($I$6-$H$6)),$J$6-SQRT((1-O469)*($J$6-$H$6)*($J$6-$I$6)))</f>
        <v/>
      </c>
      <c r="D469" s="17">
        <f>IF(P469&lt;$K$7,$H$7+SQRT(P469*($J$7-$H$7)*($I$7-$H$7)),$J$7-SQRT((1-P469)*($J$7-$H$7)*($J$7-$I$7)))</f>
        <v/>
      </c>
      <c r="E469" s="17">
        <f>SUM(B469:D469)</f>
        <v/>
      </c>
      <c r="N469" s="16">
        <f>RAND()</f>
        <v/>
      </c>
      <c r="O469" s="16">
        <f>RAND()</f>
        <v/>
      </c>
      <c r="P469" s="16">
        <f>RAND()</f>
        <v/>
      </c>
    </row>
    <row r="470">
      <c r="A470" s="13" t="n">
        <v>466</v>
      </c>
      <c r="B470" s="17">
        <f>IF(N470&lt;$K$5,$H$5+SQRT(N470*($J$5-$H$5)*($I$5-$H$5)),$J$5-SQRT((1-N470)*($J$5-$H$5)*($J$5-$I$5)))</f>
        <v/>
      </c>
      <c r="C470" s="17">
        <f>IF(O470&lt;$K$6,$H$6+SQRT(O470*($J$6-$H$6)*($I$6-$H$6)),$J$6-SQRT((1-O470)*($J$6-$H$6)*($J$6-$I$6)))</f>
        <v/>
      </c>
      <c r="D470" s="17">
        <f>IF(P470&lt;$K$7,$H$7+SQRT(P470*($J$7-$H$7)*($I$7-$H$7)),$J$7-SQRT((1-P470)*($J$7-$H$7)*($J$7-$I$7)))</f>
        <v/>
      </c>
      <c r="E470" s="17">
        <f>SUM(B470:D470)</f>
        <v/>
      </c>
      <c r="N470" s="16">
        <f>RAND()</f>
        <v/>
      </c>
      <c r="O470" s="16">
        <f>RAND()</f>
        <v/>
      </c>
      <c r="P470" s="16">
        <f>RAND()</f>
        <v/>
      </c>
    </row>
    <row r="471">
      <c r="A471" s="13" t="n">
        <v>467</v>
      </c>
      <c r="B471" s="17">
        <f>IF(N471&lt;$K$5,$H$5+SQRT(N471*($J$5-$H$5)*($I$5-$H$5)),$J$5-SQRT((1-N471)*($J$5-$H$5)*($J$5-$I$5)))</f>
        <v/>
      </c>
      <c r="C471" s="17">
        <f>IF(O471&lt;$K$6,$H$6+SQRT(O471*($J$6-$H$6)*($I$6-$H$6)),$J$6-SQRT((1-O471)*($J$6-$H$6)*($J$6-$I$6)))</f>
        <v/>
      </c>
      <c r="D471" s="17">
        <f>IF(P471&lt;$K$7,$H$7+SQRT(P471*($J$7-$H$7)*($I$7-$H$7)),$J$7-SQRT((1-P471)*($J$7-$H$7)*($J$7-$I$7)))</f>
        <v/>
      </c>
      <c r="E471" s="17">
        <f>SUM(B471:D471)</f>
        <v/>
      </c>
      <c r="N471" s="16">
        <f>RAND()</f>
        <v/>
      </c>
      <c r="O471" s="16">
        <f>RAND()</f>
        <v/>
      </c>
      <c r="P471" s="16">
        <f>RAND()</f>
        <v/>
      </c>
    </row>
    <row r="472">
      <c r="A472" s="13" t="n">
        <v>468</v>
      </c>
      <c r="B472" s="17">
        <f>IF(N472&lt;$K$5,$H$5+SQRT(N472*($J$5-$H$5)*($I$5-$H$5)),$J$5-SQRT((1-N472)*($J$5-$H$5)*($J$5-$I$5)))</f>
        <v/>
      </c>
      <c r="C472" s="17">
        <f>IF(O472&lt;$K$6,$H$6+SQRT(O472*($J$6-$H$6)*($I$6-$H$6)),$J$6-SQRT((1-O472)*($J$6-$H$6)*($J$6-$I$6)))</f>
        <v/>
      </c>
      <c r="D472" s="17">
        <f>IF(P472&lt;$K$7,$H$7+SQRT(P472*($J$7-$H$7)*($I$7-$H$7)),$J$7-SQRT((1-P472)*($J$7-$H$7)*($J$7-$I$7)))</f>
        <v/>
      </c>
      <c r="E472" s="17">
        <f>SUM(B472:D472)</f>
        <v/>
      </c>
      <c r="N472" s="16">
        <f>RAND()</f>
        <v/>
      </c>
      <c r="O472" s="16">
        <f>RAND()</f>
        <v/>
      </c>
      <c r="P472" s="16">
        <f>RAND()</f>
        <v/>
      </c>
    </row>
    <row r="473">
      <c r="A473" s="13" t="n">
        <v>469</v>
      </c>
      <c r="B473" s="17">
        <f>IF(N473&lt;$K$5,$H$5+SQRT(N473*($J$5-$H$5)*($I$5-$H$5)),$J$5-SQRT((1-N473)*($J$5-$H$5)*($J$5-$I$5)))</f>
        <v/>
      </c>
      <c r="C473" s="17">
        <f>IF(O473&lt;$K$6,$H$6+SQRT(O473*($J$6-$H$6)*($I$6-$H$6)),$J$6-SQRT((1-O473)*($J$6-$H$6)*($J$6-$I$6)))</f>
        <v/>
      </c>
      <c r="D473" s="17">
        <f>IF(P473&lt;$K$7,$H$7+SQRT(P473*($J$7-$H$7)*($I$7-$H$7)),$J$7-SQRT((1-P473)*($J$7-$H$7)*($J$7-$I$7)))</f>
        <v/>
      </c>
      <c r="E473" s="17">
        <f>SUM(B473:D473)</f>
        <v/>
      </c>
      <c r="N473" s="16">
        <f>RAND()</f>
        <v/>
      </c>
      <c r="O473" s="16">
        <f>RAND()</f>
        <v/>
      </c>
      <c r="P473" s="16">
        <f>RAND()</f>
        <v/>
      </c>
    </row>
    <row r="474">
      <c r="A474" s="13" t="n">
        <v>470</v>
      </c>
      <c r="B474" s="17">
        <f>IF(N474&lt;$K$5,$H$5+SQRT(N474*($J$5-$H$5)*($I$5-$H$5)),$J$5-SQRT((1-N474)*($J$5-$H$5)*($J$5-$I$5)))</f>
        <v/>
      </c>
      <c r="C474" s="17">
        <f>IF(O474&lt;$K$6,$H$6+SQRT(O474*($J$6-$H$6)*($I$6-$H$6)),$J$6-SQRT((1-O474)*($J$6-$H$6)*($J$6-$I$6)))</f>
        <v/>
      </c>
      <c r="D474" s="17">
        <f>IF(P474&lt;$K$7,$H$7+SQRT(P474*($J$7-$H$7)*($I$7-$H$7)),$J$7-SQRT((1-P474)*($J$7-$H$7)*($J$7-$I$7)))</f>
        <v/>
      </c>
      <c r="E474" s="17">
        <f>SUM(B474:D474)</f>
        <v/>
      </c>
      <c r="N474" s="16">
        <f>RAND()</f>
        <v/>
      </c>
      <c r="O474" s="16">
        <f>RAND()</f>
        <v/>
      </c>
      <c r="P474" s="16">
        <f>RAND()</f>
        <v/>
      </c>
    </row>
    <row r="475">
      <c r="A475" s="13" t="n">
        <v>471</v>
      </c>
      <c r="B475" s="17">
        <f>IF(N475&lt;$K$5,$H$5+SQRT(N475*($J$5-$H$5)*($I$5-$H$5)),$J$5-SQRT((1-N475)*($J$5-$H$5)*($J$5-$I$5)))</f>
        <v/>
      </c>
      <c r="C475" s="17">
        <f>IF(O475&lt;$K$6,$H$6+SQRT(O475*($J$6-$H$6)*($I$6-$H$6)),$J$6-SQRT((1-O475)*($J$6-$H$6)*($J$6-$I$6)))</f>
        <v/>
      </c>
      <c r="D475" s="17">
        <f>IF(P475&lt;$K$7,$H$7+SQRT(P475*($J$7-$H$7)*($I$7-$H$7)),$J$7-SQRT((1-P475)*($J$7-$H$7)*($J$7-$I$7)))</f>
        <v/>
      </c>
      <c r="E475" s="17">
        <f>SUM(B475:D475)</f>
        <v/>
      </c>
      <c r="N475" s="16">
        <f>RAND()</f>
        <v/>
      </c>
      <c r="O475" s="16">
        <f>RAND()</f>
        <v/>
      </c>
      <c r="P475" s="16">
        <f>RAND()</f>
        <v/>
      </c>
    </row>
    <row r="476">
      <c r="A476" s="13" t="n">
        <v>472</v>
      </c>
      <c r="B476" s="17">
        <f>IF(N476&lt;$K$5,$H$5+SQRT(N476*($J$5-$H$5)*($I$5-$H$5)),$J$5-SQRT((1-N476)*($J$5-$H$5)*($J$5-$I$5)))</f>
        <v/>
      </c>
      <c r="C476" s="17">
        <f>IF(O476&lt;$K$6,$H$6+SQRT(O476*($J$6-$H$6)*($I$6-$H$6)),$J$6-SQRT((1-O476)*($J$6-$H$6)*($J$6-$I$6)))</f>
        <v/>
      </c>
      <c r="D476" s="17">
        <f>IF(P476&lt;$K$7,$H$7+SQRT(P476*($J$7-$H$7)*($I$7-$H$7)),$J$7-SQRT((1-P476)*($J$7-$H$7)*($J$7-$I$7)))</f>
        <v/>
      </c>
      <c r="E476" s="17">
        <f>SUM(B476:D476)</f>
        <v/>
      </c>
      <c r="N476" s="16">
        <f>RAND()</f>
        <v/>
      </c>
      <c r="O476" s="16">
        <f>RAND()</f>
        <v/>
      </c>
      <c r="P476" s="16">
        <f>RAND()</f>
        <v/>
      </c>
    </row>
    <row r="477">
      <c r="A477" s="13" t="n">
        <v>473</v>
      </c>
      <c r="B477" s="17">
        <f>IF(N477&lt;$K$5,$H$5+SQRT(N477*($J$5-$H$5)*($I$5-$H$5)),$J$5-SQRT((1-N477)*($J$5-$H$5)*($J$5-$I$5)))</f>
        <v/>
      </c>
      <c r="C477" s="17">
        <f>IF(O477&lt;$K$6,$H$6+SQRT(O477*($J$6-$H$6)*($I$6-$H$6)),$J$6-SQRT((1-O477)*($J$6-$H$6)*($J$6-$I$6)))</f>
        <v/>
      </c>
      <c r="D477" s="17">
        <f>IF(P477&lt;$K$7,$H$7+SQRT(P477*($J$7-$H$7)*($I$7-$H$7)),$J$7-SQRT((1-P477)*($J$7-$H$7)*($J$7-$I$7)))</f>
        <v/>
      </c>
      <c r="E477" s="17">
        <f>SUM(B477:D477)</f>
        <v/>
      </c>
      <c r="N477" s="16">
        <f>RAND()</f>
        <v/>
      </c>
      <c r="O477" s="16">
        <f>RAND()</f>
        <v/>
      </c>
      <c r="P477" s="16">
        <f>RAND()</f>
        <v/>
      </c>
    </row>
    <row r="478">
      <c r="A478" s="13" t="n">
        <v>474</v>
      </c>
      <c r="B478" s="17">
        <f>IF(N478&lt;$K$5,$H$5+SQRT(N478*($J$5-$H$5)*($I$5-$H$5)),$J$5-SQRT((1-N478)*($J$5-$H$5)*($J$5-$I$5)))</f>
        <v/>
      </c>
      <c r="C478" s="17">
        <f>IF(O478&lt;$K$6,$H$6+SQRT(O478*($J$6-$H$6)*($I$6-$H$6)),$J$6-SQRT((1-O478)*($J$6-$H$6)*($J$6-$I$6)))</f>
        <v/>
      </c>
      <c r="D478" s="17">
        <f>IF(P478&lt;$K$7,$H$7+SQRT(P478*($J$7-$H$7)*($I$7-$H$7)),$J$7-SQRT((1-P478)*($J$7-$H$7)*($J$7-$I$7)))</f>
        <v/>
      </c>
      <c r="E478" s="17">
        <f>SUM(B478:D478)</f>
        <v/>
      </c>
      <c r="N478" s="16">
        <f>RAND()</f>
        <v/>
      </c>
      <c r="O478" s="16">
        <f>RAND()</f>
        <v/>
      </c>
      <c r="P478" s="16">
        <f>RAND()</f>
        <v/>
      </c>
    </row>
    <row r="479">
      <c r="A479" s="13" t="n">
        <v>475</v>
      </c>
      <c r="B479" s="17">
        <f>IF(N479&lt;$K$5,$H$5+SQRT(N479*($J$5-$H$5)*($I$5-$H$5)),$J$5-SQRT((1-N479)*($J$5-$H$5)*($J$5-$I$5)))</f>
        <v/>
      </c>
      <c r="C479" s="17">
        <f>IF(O479&lt;$K$6,$H$6+SQRT(O479*($J$6-$H$6)*($I$6-$H$6)),$J$6-SQRT((1-O479)*($J$6-$H$6)*($J$6-$I$6)))</f>
        <v/>
      </c>
      <c r="D479" s="17">
        <f>IF(P479&lt;$K$7,$H$7+SQRT(P479*($J$7-$H$7)*($I$7-$H$7)),$J$7-SQRT((1-P479)*($J$7-$H$7)*($J$7-$I$7)))</f>
        <v/>
      </c>
      <c r="E479" s="17">
        <f>SUM(B479:D479)</f>
        <v/>
      </c>
      <c r="N479" s="16">
        <f>RAND()</f>
        <v/>
      </c>
      <c r="O479" s="16">
        <f>RAND()</f>
        <v/>
      </c>
      <c r="P479" s="16">
        <f>RAND()</f>
        <v/>
      </c>
    </row>
    <row r="480">
      <c r="A480" s="13" t="n">
        <v>476</v>
      </c>
      <c r="B480" s="17">
        <f>IF(N480&lt;$K$5,$H$5+SQRT(N480*($J$5-$H$5)*($I$5-$H$5)),$J$5-SQRT((1-N480)*($J$5-$H$5)*($J$5-$I$5)))</f>
        <v/>
      </c>
      <c r="C480" s="17">
        <f>IF(O480&lt;$K$6,$H$6+SQRT(O480*($J$6-$H$6)*($I$6-$H$6)),$J$6-SQRT((1-O480)*($J$6-$H$6)*($J$6-$I$6)))</f>
        <v/>
      </c>
      <c r="D480" s="17">
        <f>IF(P480&lt;$K$7,$H$7+SQRT(P480*($J$7-$H$7)*($I$7-$H$7)),$J$7-SQRT((1-P480)*($J$7-$H$7)*($J$7-$I$7)))</f>
        <v/>
      </c>
      <c r="E480" s="17">
        <f>SUM(B480:D480)</f>
        <v/>
      </c>
      <c r="N480" s="16">
        <f>RAND()</f>
        <v/>
      </c>
      <c r="O480" s="16">
        <f>RAND()</f>
        <v/>
      </c>
      <c r="P480" s="16">
        <f>RAND()</f>
        <v/>
      </c>
    </row>
    <row r="481">
      <c r="A481" s="13" t="n">
        <v>477</v>
      </c>
      <c r="B481" s="17">
        <f>IF(N481&lt;$K$5,$H$5+SQRT(N481*($J$5-$H$5)*($I$5-$H$5)),$J$5-SQRT((1-N481)*($J$5-$H$5)*($J$5-$I$5)))</f>
        <v/>
      </c>
      <c r="C481" s="17">
        <f>IF(O481&lt;$K$6,$H$6+SQRT(O481*($J$6-$H$6)*($I$6-$H$6)),$J$6-SQRT((1-O481)*($J$6-$H$6)*($J$6-$I$6)))</f>
        <v/>
      </c>
      <c r="D481" s="17">
        <f>IF(P481&lt;$K$7,$H$7+SQRT(P481*($J$7-$H$7)*($I$7-$H$7)),$J$7-SQRT((1-P481)*($J$7-$H$7)*($J$7-$I$7)))</f>
        <v/>
      </c>
      <c r="E481" s="17">
        <f>SUM(B481:D481)</f>
        <v/>
      </c>
      <c r="N481" s="16">
        <f>RAND()</f>
        <v/>
      </c>
      <c r="O481" s="16">
        <f>RAND()</f>
        <v/>
      </c>
      <c r="P481" s="16">
        <f>RAND()</f>
        <v/>
      </c>
    </row>
    <row r="482">
      <c r="A482" s="13" t="n">
        <v>478</v>
      </c>
      <c r="B482" s="17">
        <f>IF(N482&lt;$K$5,$H$5+SQRT(N482*($J$5-$H$5)*($I$5-$H$5)),$J$5-SQRT((1-N482)*($J$5-$H$5)*($J$5-$I$5)))</f>
        <v/>
      </c>
      <c r="C482" s="17">
        <f>IF(O482&lt;$K$6,$H$6+SQRT(O482*($J$6-$H$6)*($I$6-$H$6)),$J$6-SQRT((1-O482)*($J$6-$H$6)*($J$6-$I$6)))</f>
        <v/>
      </c>
      <c r="D482" s="17">
        <f>IF(P482&lt;$K$7,$H$7+SQRT(P482*($J$7-$H$7)*($I$7-$H$7)),$J$7-SQRT((1-P482)*($J$7-$H$7)*($J$7-$I$7)))</f>
        <v/>
      </c>
      <c r="E482" s="17">
        <f>SUM(B482:D482)</f>
        <v/>
      </c>
      <c r="N482" s="16">
        <f>RAND()</f>
        <v/>
      </c>
      <c r="O482" s="16">
        <f>RAND()</f>
        <v/>
      </c>
      <c r="P482" s="16">
        <f>RAND()</f>
        <v/>
      </c>
    </row>
    <row r="483">
      <c r="A483" s="13" t="n">
        <v>479</v>
      </c>
      <c r="B483" s="17">
        <f>IF(N483&lt;$K$5,$H$5+SQRT(N483*($J$5-$H$5)*($I$5-$H$5)),$J$5-SQRT((1-N483)*($J$5-$H$5)*($J$5-$I$5)))</f>
        <v/>
      </c>
      <c r="C483" s="17">
        <f>IF(O483&lt;$K$6,$H$6+SQRT(O483*($J$6-$H$6)*($I$6-$H$6)),$J$6-SQRT((1-O483)*($J$6-$H$6)*($J$6-$I$6)))</f>
        <v/>
      </c>
      <c r="D483" s="17">
        <f>IF(P483&lt;$K$7,$H$7+SQRT(P483*($J$7-$H$7)*($I$7-$H$7)),$J$7-SQRT((1-P483)*($J$7-$H$7)*($J$7-$I$7)))</f>
        <v/>
      </c>
      <c r="E483" s="17">
        <f>SUM(B483:D483)</f>
        <v/>
      </c>
      <c r="N483" s="16">
        <f>RAND()</f>
        <v/>
      </c>
      <c r="O483" s="16">
        <f>RAND()</f>
        <v/>
      </c>
      <c r="P483" s="16">
        <f>RAND()</f>
        <v/>
      </c>
    </row>
    <row r="484">
      <c r="A484" s="13" t="n">
        <v>480</v>
      </c>
      <c r="B484" s="17">
        <f>IF(N484&lt;$K$5,$H$5+SQRT(N484*($J$5-$H$5)*($I$5-$H$5)),$J$5-SQRT((1-N484)*($J$5-$H$5)*($J$5-$I$5)))</f>
        <v/>
      </c>
      <c r="C484" s="17">
        <f>IF(O484&lt;$K$6,$H$6+SQRT(O484*($J$6-$H$6)*($I$6-$H$6)),$J$6-SQRT((1-O484)*($J$6-$H$6)*($J$6-$I$6)))</f>
        <v/>
      </c>
      <c r="D484" s="17">
        <f>IF(P484&lt;$K$7,$H$7+SQRT(P484*($J$7-$H$7)*($I$7-$H$7)),$J$7-SQRT((1-P484)*($J$7-$H$7)*($J$7-$I$7)))</f>
        <v/>
      </c>
      <c r="E484" s="17">
        <f>SUM(B484:D484)</f>
        <v/>
      </c>
      <c r="N484" s="16">
        <f>RAND()</f>
        <v/>
      </c>
      <c r="O484" s="16">
        <f>RAND()</f>
        <v/>
      </c>
      <c r="P484" s="16">
        <f>RAND()</f>
        <v/>
      </c>
    </row>
    <row r="485">
      <c r="A485" s="13" t="n">
        <v>481</v>
      </c>
      <c r="B485" s="17">
        <f>IF(N485&lt;$K$5,$H$5+SQRT(N485*($J$5-$H$5)*($I$5-$H$5)),$J$5-SQRT((1-N485)*($J$5-$H$5)*($J$5-$I$5)))</f>
        <v/>
      </c>
      <c r="C485" s="17">
        <f>IF(O485&lt;$K$6,$H$6+SQRT(O485*($J$6-$H$6)*($I$6-$H$6)),$J$6-SQRT((1-O485)*($J$6-$H$6)*($J$6-$I$6)))</f>
        <v/>
      </c>
      <c r="D485" s="17">
        <f>IF(P485&lt;$K$7,$H$7+SQRT(P485*($J$7-$H$7)*($I$7-$H$7)),$J$7-SQRT((1-P485)*($J$7-$H$7)*($J$7-$I$7)))</f>
        <v/>
      </c>
      <c r="E485" s="17">
        <f>SUM(B485:D485)</f>
        <v/>
      </c>
      <c r="N485" s="16">
        <f>RAND()</f>
        <v/>
      </c>
      <c r="O485" s="16">
        <f>RAND()</f>
        <v/>
      </c>
      <c r="P485" s="16">
        <f>RAND()</f>
        <v/>
      </c>
    </row>
    <row r="486">
      <c r="A486" s="13" t="n">
        <v>482</v>
      </c>
      <c r="B486" s="17">
        <f>IF(N486&lt;$K$5,$H$5+SQRT(N486*($J$5-$H$5)*($I$5-$H$5)),$J$5-SQRT((1-N486)*($J$5-$H$5)*($J$5-$I$5)))</f>
        <v/>
      </c>
      <c r="C486" s="17">
        <f>IF(O486&lt;$K$6,$H$6+SQRT(O486*($J$6-$H$6)*($I$6-$H$6)),$J$6-SQRT((1-O486)*($J$6-$H$6)*($J$6-$I$6)))</f>
        <v/>
      </c>
      <c r="D486" s="17">
        <f>IF(P486&lt;$K$7,$H$7+SQRT(P486*($J$7-$H$7)*($I$7-$H$7)),$J$7-SQRT((1-P486)*($J$7-$H$7)*($J$7-$I$7)))</f>
        <v/>
      </c>
      <c r="E486" s="17">
        <f>SUM(B486:D486)</f>
        <v/>
      </c>
      <c r="N486" s="16">
        <f>RAND()</f>
        <v/>
      </c>
      <c r="O486" s="16">
        <f>RAND()</f>
        <v/>
      </c>
      <c r="P486" s="16">
        <f>RAND()</f>
        <v/>
      </c>
    </row>
    <row r="487">
      <c r="A487" s="13" t="n">
        <v>483</v>
      </c>
      <c r="B487" s="17">
        <f>IF(N487&lt;$K$5,$H$5+SQRT(N487*($J$5-$H$5)*($I$5-$H$5)),$J$5-SQRT((1-N487)*($J$5-$H$5)*($J$5-$I$5)))</f>
        <v/>
      </c>
      <c r="C487" s="17">
        <f>IF(O487&lt;$K$6,$H$6+SQRT(O487*($J$6-$H$6)*($I$6-$H$6)),$J$6-SQRT((1-O487)*($J$6-$H$6)*($J$6-$I$6)))</f>
        <v/>
      </c>
      <c r="D487" s="17">
        <f>IF(P487&lt;$K$7,$H$7+SQRT(P487*($J$7-$H$7)*($I$7-$H$7)),$J$7-SQRT((1-P487)*($J$7-$H$7)*($J$7-$I$7)))</f>
        <v/>
      </c>
      <c r="E487" s="17">
        <f>SUM(B487:D487)</f>
        <v/>
      </c>
      <c r="N487" s="16">
        <f>RAND()</f>
        <v/>
      </c>
      <c r="O487" s="16">
        <f>RAND()</f>
        <v/>
      </c>
      <c r="P487" s="16">
        <f>RAND()</f>
        <v/>
      </c>
    </row>
    <row r="488">
      <c r="A488" s="13" t="n">
        <v>484</v>
      </c>
      <c r="B488" s="17">
        <f>IF(N488&lt;$K$5,$H$5+SQRT(N488*($J$5-$H$5)*($I$5-$H$5)),$J$5-SQRT((1-N488)*($J$5-$H$5)*($J$5-$I$5)))</f>
        <v/>
      </c>
      <c r="C488" s="17">
        <f>IF(O488&lt;$K$6,$H$6+SQRT(O488*($J$6-$H$6)*($I$6-$H$6)),$J$6-SQRT((1-O488)*($J$6-$H$6)*($J$6-$I$6)))</f>
        <v/>
      </c>
      <c r="D488" s="17">
        <f>IF(P488&lt;$K$7,$H$7+SQRT(P488*($J$7-$H$7)*($I$7-$H$7)),$J$7-SQRT((1-P488)*($J$7-$H$7)*($J$7-$I$7)))</f>
        <v/>
      </c>
      <c r="E488" s="17">
        <f>SUM(B488:D488)</f>
        <v/>
      </c>
      <c r="N488" s="16">
        <f>RAND()</f>
        <v/>
      </c>
      <c r="O488" s="16">
        <f>RAND()</f>
        <v/>
      </c>
      <c r="P488" s="16">
        <f>RAND()</f>
        <v/>
      </c>
    </row>
    <row r="489">
      <c r="A489" s="13" t="n">
        <v>485</v>
      </c>
      <c r="B489" s="17">
        <f>IF(N489&lt;$K$5,$H$5+SQRT(N489*($J$5-$H$5)*($I$5-$H$5)),$J$5-SQRT((1-N489)*($J$5-$H$5)*($J$5-$I$5)))</f>
        <v/>
      </c>
      <c r="C489" s="17">
        <f>IF(O489&lt;$K$6,$H$6+SQRT(O489*($J$6-$H$6)*($I$6-$H$6)),$J$6-SQRT((1-O489)*($J$6-$H$6)*($J$6-$I$6)))</f>
        <v/>
      </c>
      <c r="D489" s="17">
        <f>IF(P489&lt;$K$7,$H$7+SQRT(P489*($J$7-$H$7)*($I$7-$H$7)),$J$7-SQRT((1-P489)*($J$7-$H$7)*($J$7-$I$7)))</f>
        <v/>
      </c>
      <c r="E489" s="17">
        <f>SUM(B489:D489)</f>
        <v/>
      </c>
      <c r="N489" s="16">
        <f>RAND()</f>
        <v/>
      </c>
      <c r="O489" s="16">
        <f>RAND()</f>
        <v/>
      </c>
      <c r="P489" s="16">
        <f>RAND()</f>
        <v/>
      </c>
    </row>
    <row r="490">
      <c r="A490" s="13" t="n">
        <v>486</v>
      </c>
      <c r="B490" s="17">
        <f>IF(N490&lt;$K$5,$H$5+SQRT(N490*($J$5-$H$5)*($I$5-$H$5)),$J$5-SQRT((1-N490)*($J$5-$H$5)*($J$5-$I$5)))</f>
        <v/>
      </c>
      <c r="C490" s="17">
        <f>IF(O490&lt;$K$6,$H$6+SQRT(O490*($J$6-$H$6)*($I$6-$H$6)),$J$6-SQRT((1-O490)*($J$6-$H$6)*($J$6-$I$6)))</f>
        <v/>
      </c>
      <c r="D490" s="17">
        <f>IF(P490&lt;$K$7,$H$7+SQRT(P490*($J$7-$H$7)*($I$7-$H$7)),$J$7-SQRT((1-P490)*($J$7-$H$7)*($J$7-$I$7)))</f>
        <v/>
      </c>
      <c r="E490" s="17">
        <f>SUM(B490:D490)</f>
        <v/>
      </c>
      <c r="N490" s="16">
        <f>RAND()</f>
        <v/>
      </c>
      <c r="O490" s="16">
        <f>RAND()</f>
        <v/>
      </c>
      <c r="P490" s="16">
        <f>RAND()</f>
        <v/>
      </c>
    </row>
    <row r="491">
      <c r="A491" s="13" t="n">
        <v>487</v>
      </c>
      <c r="B491" s="17">
        <f>IF(N491&lt;$K$5,$H$5+SQRT(N491*($J$5-$H$5)*($I$5-$H$5)),$J$5-SQRT((1-N491)*($J$5-$H$5)*($J$5-$I$5)))</f>
        <v/>
      </c>
      <c r="C491" s="17">
        <f>IF(O491&lt;$K$6,$H$6+SQRT(O491*($J$6-$H$6)*($I$6-$H$6)),$J$6-SQRT((1-O491)*($J$6-$H$6)*($J$6-$I$6)))</f>
        <v/>
      </c>
      <c r="D491" s="17">
        <f>IF(P491&lt;$K$7,$H$7+SQRT(P491*($J$7-$H$7)*($I$7-$H$7)),$J$7-SQRT((1-P491)*($J$7-$H$7)*($J$7-$I$7)))</f>
        <v/>
      </c>
      <c r="E491" s="17">
        <f>SUM(B491:D491)</f>
        <v/>
      </c>
      <c r="N491" s="16">
        <f>RAND()</f>
        <v/>
      </c>
      <c r="O491" s="16">
        <f>RAND()</f>
        <v/>
      </c>
      <c r="P491" s="16">
        <f>RAND()</f>
        <v/>
      </c>
    </row>
    <row r="492">
      <c r="A492" s="13" t="n">
        <v>488</v>
      </c>
      <c r="B492" s="17">
        <f>IF(N492&lt;$K$5,$H$5+SQRT(N492*($J$5-$H$5)*($I$5-$H$5)),$J$5-SQRT((1-N492)*($J$5-$H$5)*($J$5-$I$5)))</f>
        <v/>
      </c>
      <c r="C492" s="17">
        <f>IF(O492&lt;$K$6,$H$6+SQRT(O492*($J$6-$H$6)*($I$6-$H$6)),$J$6-SQRT((1-O492)*($J$6-$H$6)*($J$6-$I$6)))</f>
        <v/>
      </c>
      <c r="D492" s="17">
        <f>IF(P492&lt;$K$7,$H$7+SQRT(P492*($J$7-$H$7)*($I$7-$H$7)),$J$7-SQRT((1-P492)*($J$7-$H$7)*($J$7-$I$7)))</f>
        <v/>
      </c>
      <c r="E492" s="17">
        <f>SUM(B492:D492)</f>
        <v/>
      </c>
      <c r="N492" s="16">
        <f>RAND()</f>
        <v/>
      </c>
      <c r="O492" s="16">
        <f>RAND()</f>
        <v/>
      </c>
      <c r="P492" s="16">
        <f>RAND()</f>
        <v/>
      </c>
    </row>
    <row r="493">
      <c r="A493" s="13" t="n">
        <v>489</v>
      </c>
      <c r="B493" s="17">
        <f>IF(N493&lt;$K$5,$H$5+SQRT(N493*($J$5-$H$5)*($I$5-$H$5)),$J$5-SQRT((1-N493)*($J$5-$H$5)*($J$5-$I$5)))</f>
        <v/>
      </c>
      <c r="C493" s="17">
        <f>IF(O493&lt;$K$6,$H$6+SQRT(O493*($J$6-$H$6)*($I$6-$H$6)),$J$6-SQRT((1-O493)*($J$6-$H$6)*($J$6-$I$6)))</f>
        <v/>
      </c>
      <c r="D493" s="17">
        <f>IF(P493&lt;$K$7,$H$7+SQRT(P493*($J$7-$H$7)*($I$7-$H$7)),$J$7-SQRT((1-P493)*($J$7-$H$7)*($J$7-$I$7)))</f>
        <v/>
      </c>
      <c r="E493" s="17">
        <f>SUM(B493:D493)</f>
        <v/>
      </c>
      <c r="N493" s="16">
        <f>RAND()</f>
        <v/>
      </c>
      <c r="O493" s="16">
        <f>RAND()</f>
        <v/>
      </c>
      <c r="P493" s="16">
        <f>RAND()</f>
        <v/>
      </c>
    </row>
    <row r="494">
      <c r="A494" s="13" t="n">
        <v>490</v>
      </c>
      <c r="B494" s="17">
        <f>IF(N494&lt;$K$5,$H$5+SQRT(N494*($J$5-$H$5)*($I$5-$H$5)),$J$5-SQRT((1-N494)*($J$5-$H$5)*($J$5-$I$5)))</f>
        <v/>
      </c>
      <c r="C494" s="17">
        <f>IF(O494&lt;$K$6,$H$6+SQRT(O494*($J$6-$H$6)*($I$6-$H$6)),$J$6-SQRT((1-O494)*($J$6-$H$6)*($J$6-$I$6)))</f>
        <v/>
      </c>
      <c r="D494" s="17">
        <f>IF(P494&lt;$K$7,$H$7+SQRT(P494*($J$7-$H$7)*($I$7-$H$7)),$J$7-SQRT((1-P494)*($J$7-$H$7)*($J$7-$I$7)))</f>
        <v/>
      </c>
      <c r="E494" s="17">
        <f>SUM(B494:D494)</f>
        <v/>
      </c>
      <c r="N494" s="16">
        <f>RAND()</f>
        <v/>
      </c>
      <c r="O494" s="16">
        <f>RAND()</f>
        <v/>
      </c>
      <c r="P494" s="16">
        <f>RAND()</f>
        <v/>
      </c>
    </row>
    <row r="495">
      <c r="A495" s="13" t="n">
        <v>491</v>
      </c>
      <c r="B495" s="17">
        <f>IF(N495&lt;$K$5,$H$5+SQRT(N495*($J$5-$H$5)*($I$5-$H$5)),$J$5-SQRT((1-N495)*($J$5-$H$5)*($J$5-$I$5)))</f>
        <v/>
      </c>
      <c r="C495" s="17">
        <f>IF(O495&lt;$K$6,$H$6+SQRT(O495*($J$6-$H$6)*($I$6-$H$6)),$J$6-SQRT((1-O495)*($J$6-$H$6)*($J$6-$I$6)))</f>
        <v/>
      </c>
      <c r="D495" s="17">
        <f>IF(P495&lt;$K$7,$H$7+SQRT(P495*($J$7-$H$7)*($I$7-$H$7)),$J$7-SQRT((1-P495)*($J$7-$H$7)*($J$7-$I$7)))</f>
        <v/>
      </c>
      <c r="E495" s="17">
        <f>SUM(B495:D495)</f>
        <v/>
      </c>
      <c r="N495" s="16">
        <f>RAND()</f>
        <v/>
      </c>
      <c r="O495" s="16">
        <f>RAND()</f>
        <v/>
      </c>
      <c r="P495" s="16">
        <f>RAND()</f>
        <v/>
      </c>
    </row>
    <row r="496">
      <c r="A496" s="13" t="n">
        <v>492</v>
      </c>
      <c r="B496" s="17">
        <f>IF(N496&lt;$K$5,$H$5+SQRT(N496*($J$5-$H$5)*($I$5-$H$5)),$J$5-SQRT((1-N496)*($J$5-$H$5)*($J$5-$I$5)))</f>
        <v/>
      </c>
      <c r="C496" s="17">
        <f>IF(O496&lt;$K$6,$H$6+SQRT(O496*($J$6-$H$6)*($I$6-$H$6)),$J$6-SQRT((1-O496)*($J$6-$H$6)*($J$6-$I$6)))</f>
        <v/>
      </c>
      <c r="D496" s="17">
        <f>IF(P496&lt;$K$7,$H$7+SQRT(P496*($J$7-$H$7)*($I$7-$H$7)),$J$7-SQRT((1-P496)*($J$7-$H$7)*($J$7-$I$7)))</f>
        <v/>
      </c>
      <c r="E496" s="17">
        <f>SUM(B496:D496)</f>
        <v/>
      </c>
      <c r="N496" s="16">
        <f>RAND()</f>
        <v/>
      </c>
      <c r="O496" s="16">
        <f>RAND()</f>
        <v/>
      </c>
      <c r="P496" s="16">
        <f>RAND()</f>
        <v/>
      </c>
    </row>
    <row r="497">
      <c r="A497" s="13" t="n">
        <v>493</v>
      </c>
      <c r="B497" s="17">
        <f>IF(N497&lt;$K$5,$H$5+SQRT(N497*($J$5-$H$5)*($I$5-$H$5)),$J$5-SQRT((1-N497)*($J$5-$H$5)*($J$5-$I$5)))</f>
        <v/>
      </c>
      <c r="C497" s="17">
        <f>IF(O497&lt;$K$6,$H$6+SQRT(O497*($J$6-$H$6)*($I$6-$H$6)),$J$6-SQRT((1-O497)*($J$6-$H$6)*($J$6-$I$6)))</f>
        <v/>
      </c>
      <c r="D497" s="17">
        <f>IF(P497&lt;$K$7,$H$7+SQRT(P497*($J$7-$H$7)*($I$7-$H$7)),$J$7-SQRT((1-P497)*($J$7-$H$7)*($J$7-$I$7)))</f>
        <v/>
      </c>
      <c r="E497" s="17">
        <f>SUM(B497:D497)</f>
        <v/>
      </c>
      <c r="N497" s="16">
        <f>RAND()</f>
        <v/>
      </c>
      <c r="O497" s="16">
        <f>RAND()</f>
        <v/>
      </c>
      <c r="P497" s="16">
        <f>RAND()</f>
        <v/>
      </c>
    </row>
    <row r="498">
      <c r="A498" s="13" t="n">
        <v>494</v>
      </c>
      <c r="B498" s="17">
        <f>IF(N498&lt;$K$5,$H$5+SQRT(N498*($J$5-$H$5)*($I$5-$H$5)),$J$5-SQRT((1-N498)*($J$5-$H$5)*($J$5-$I$5)))</f>
        <v/>
      </c>
      <c r="C498" s="17">
        <f>IF(O498&lt;$K$6,$H$6+SQRT(O498*($J$6-$H$6)*($I$6-$H$6)),$J$6-SQRT((1-O498)*($J$6-$H$6)*($J$6-$I$6)))</f>
        <v/>
      </c>
      <c r="D498" s="17">
        <f>IF(P498&lt;$K$7,$H$7+SQRT(P498*($J$7-$H$7)*($I$7-$H$7)),$J$7-SQRT((1-P498)*($J$7-$H$7)*($J$7-$I$7)))</f>
        <v/>
      </c>
      <c r="E498" s="17">
        <f>SUM(B498:D498)</f>
        <v/>
      </c>
      <c r="N498" s="16">
        <f>RAND()</f>
        <v/>
      </c>
      <c r="O498" s="16">
        <f>RAND()</f>
        <v/>
      </c>
      <c r="P498" s="16">
        <f>RAND()</f>
        <v/>
      </c>
    </row>
    <row r="499">
      <c r="A499" s="13" t="n">
        <v>495</v>
      </c>
      <c r="B499" s="17">
        <f>IF(N499&lt;$K$5,$H$5+SQRT(N499*($J$5-$H$5)*($I$5-$H$5)),$J$5-SQRT((1-N499)*($J$5-$H$5)*($J$5-$I$5)))</f>
        <v/>
      </c>
      <c r="C499" s="17">
        <f>IF(O499&lt;$K$6,$H$6+SQRT(O499*($J$6-$H$6)*($I$6-$H$6)),$J$6-SQRT((1-O499)*($J$6-$H$6)*($J$6-$I$6)))</f>
        <v/>
      </c>
      <c r="D499" s="17">
        <f>IF(P499&lt;$K$7,$H$7+SQRT(P499*($J$7-$H$7)*($I$7-$H$7)),$J$7-SQRT((1-P499)*($J$7-$H$7)*($J$7-$I$7)))</f>
        <v/>
      </c>
      <c r="E499" s="17">
        <f>SUM(B499:D499)</f>
        <v/>
      </c>
      <c r="N499" s="16">
        <f>RAND()</f>
        <v/>
      </c>
      <c r="O499" s="16">
        <f>RAND()</f>
        <v/>
      </c>
      <c r="P499" s="16">
        <f>RAND()</f>
        <v/>
      </c>
    </row>
    <row r="500">
      <c r="A500" s="13" t="n">
        <v>496</v>
      </c>
      <c r="B500" s="17">
        <f>IF(N500&lt;$K$5,$H$5+SQRT(N500*($J$5-$H$5)*($I$5-$H$5)),$J$5-SQRT((1-N500)*($J$5-$H$5)*($J$5-$I$5)))</f>
        <v/>
      </c>
      <c r="C500" s="17">
        <f>IF(O500&lt;$K$6,$H$6+SQRT(O500*($J$6-$H$6)*($I$6-$H$6)),$J$6-SQRT((1-O500)*($J$6-$H$6)*($J$6-$I$6)))</f>
        <v/>
      </c>
      <c r="D500" s="17">
        <f>IF(P500&lt;$K$7,$H$7+SQRT(P500*($J$7-$H$7)*($I$7-$H$7)),$J$7-SQRT((1-P500)*($J$7-$H$7)*($J$7-$I$7)))</f>
        <v/>
      </c>
      <c r="E500" s="17">
        <f>SUM(B500:D500)</f>
        <v/>
      </c>
      <c r="N500" s="16">
        <f>RAND()</f>
        <v/>
      </c>
      <c r="O500" s="16">
        <f>RAND()</f>
        <v/>
      </c>
      <c r="P500" s="16">
        <f>RAND()</f>
        <v/>
      </c>
    </row>
    <row r="501">
      <c r="A501" s="13" t="n">
        <v>497</v>
      </c>
      <c r="B501" s="17">
        <f>IF(N501&lt;$K$5,$H$5+SQRT(N501*($J$5-$H$5)*($I$5-$H$5)),$J$5-SQRT((1-N501)*($J$5-$H$5)*($J$5-$I$5)))</f>
        <v/>
      </c>
      <c r="C501" s="17">
        <f>IF(O501&lt;$K$6,$H$6+SQRT(O501*($J$6-$H$6)*($I$6-$H$6)),$J$6-SQRT((1-O501)*($J$6-$H$6)*($J$6-$I$6)))</f>
        <v/>
      </c>
      <c r="D501" s="17">
        <f>IF(P501&lt;$K$7,$H$7+SQRT(P501*($J$7-$H$7)*($I$7-$H$7)),$J$7-SQRT((1-P501)*($J$7-$H$7)*($J$7-$I$7)))</f>
        <v/>
      </c>
      <c r="E501" s="17">
        <f>SUM(B501:D501)</f>
        <v/>
      </c>
      <c r="N501" s="16">
        <f>RAND()</f>
        <v/>
      </c>
      <c r="O501" s="16">
        <f>RAND()</f>
        <v/>
      </c>
      <c r="P501" s="16">
        <f>RAND()</f>
        <v/>
      </c>
    </row>
    <row r="502">
      <c r="A502" s="13" t="n">
        <v>498</v>
      </c>
      <c r="B502" s="17">
        <f>IF(N502&lt;$K$5,$H$5+SQRT(N502*($J$5-$H$5)*($I$5-$H$5)),$J$5-SQRT((1-N502)*($J$5-$H$5)*($J$5-$I$5)))</f>
        <v/>
      </c>
      <c r="C502" s="17">
        <f>IF(O502&lt;$K$6,$H$6+SQRT(O502*($J$6-$H$6)*($I$6-$H$6)),$J$6-SQRT((1-O502)*($J$6-$H$6)*($J$6-$I$6)))</f>
        <v/>
      </c>
      <c r="D502" s="17">
        <f>IF(P502&lt;$K$7,$H$7+SQRT(P502*($J$7-$H$7)*($I$7-$H$7)),$J$7-SQRT((1-P502)*($J$7-$H$7)*($J$7-$I$7)))</f>
        <v/>
      </c>
      <c r="E502" s="17">
        <f>SUM(B502:D502)</f>
        <v/>
      </c>
      <c r="N502" s="16">
        <f>RAND()</f>
        <v/>
      </c>
      <c r="O502" s="16">
        <f>RAND()</f>
        <v/>
      </c>
      <c r="P502" s="16">
        <f>RAND()</f>
        <v/>
      </c>
    </row>
    <row r="503">
      <c r="A503" s="13" t="n">
        <v>499</v>
      </c>
      <c r="B503" s="17">
        <f>IF(N503&lt;$K$5,$H$5+SQRT(N503*($J$5-$H$5)*($I$5-$H$5)),$J$5-SQRT((1-N503)*($J$5-$H$5)*($J$5-$I$5)))</f>
        <v/>
      </c>
      <c r="C503" s="17">
        <f>IF(O503&lt;$K$6,$H$6+SQRT(O503*($J$6-$H$6)*($I$6-$H$6)),$J$6-SQRT((1-O503)*($J$6-$H$6)*($J$6-$I$6)))</f>
        <v/>
      </c>
      <c r="D503" s="17">
        <f>IF(P503&lt;$K$7,$H$7+SQRT(P503*($J$7-$H$7)*($I$7-$H$7)),$J$7-SQRT((1-P503)*($J$7-$H$7)*($J$7-$I$7)))</f>
        <v/>
      </c>
      <c r="E503" s="17">
        <f>SUM(B503:D503)</f>
        <v/>
      </c>
      <c r="N503" s="16">
        <f>RAND()</f>
        <v/>
      </c>
      <c r="O503" s="16">
        <f>RAND()</f>
        <v/>
      </c>
      <c r="P503" s="16">
        <f>RAND()</f>
        <v/>
      </c>
    </row>
    <row r="504">
      <c r="A504" s="13" t="n">
        <v>500</v>
      </c>
      <c r="B504" s="17">
        <f>IF(N504&lt;$K$5,$H$5+SQRT(N504*($J$5-$H$5)*($I$5-$H$5)),$J$5-SQRT((1-N504)*($J$5-$H$5)*($J$5-$I$5)))</f>
        <v/>
      </c>
      <c r="C504" s="17">
        <f>IF(O504&lt;$K$6,$H$6+SQRT(O504*($J$6-$H$6)*($I$6-$H$6)),$J$6-SQRT((1-O504)*($J$6-$H$6)*($J$6-$I$6)))</f>
        <v/>
      </c>
      <c r="D504" s="17">
        <f>IF(P504&lt;$K$7,$H$7+SQRT(P504*($J$7-$H$7)*($I$7-$H$7)),$J$7-SQRT((1-P504)*($J$7-$H$7)*($J$7-$I$7)))</f>
        <v/>
      </c>
      <c r="E504" s="17">
        <f>SUM(B504:D504)</f>
        <v/>
      </c>
      <c r="N504" s="16">
        <f>RAND()</f>
        <v/>
      </c>
      <c r="O504" s="16">
        <f>RAND()</f>
        <v/>
      </c>
      <c r="P504" s="16">
        <f>RAND()</f>
        <v/>
      </c>
    </row>
    <row r="505">
      <c r="A505" s="13" t="n">
        <v>501</v>
      </c>
      <c r="B505" s="17">
        <f>IF(N505&lt;$K$5,$H$5+SQRT(N505*($J$5-$H$5)*($I$5-$H$5)),$J$5-SQRT((1-N505)*($J$5-$H$5)*($J$5-$I$5)))</f>
        <v/>
      </c>
      <c r="C505" s="17">
        <f>IF(O505&lt;$K$6,$H$6+SQRT(O505*($J$6-$H$6)*($I$6-$H$6)),$J$6-SQRT((1-O505)*($J$6-$H$6)*($J$6-$I$6)))</f>
        <v/>
      </c>
      <c r="D505" s="17">
        <f>IF(P505&lt;$K$7,$H$7+SQRT(P505*($J$7-$H$7)*($I$7-$H$7)),$J$7-SQRT((1-P505)*($J$7-$H$7)*($J$7-$I$7)))</f>
        <v/>
      </c>
      <c r="E505" s="17">
        <f>SUM(B505:D505)</f>
        <v/>
      </c>
      <c r="N505" s="16">
        <f>RAND()</f>
        <v/>
      </c>
      <c r="O505" s="16">
        <f>RAND()</f>
        <v/>
      </c>
      <c r="P505" s="16">
        <f>RAND()</f>
        <v/>
      </c>
    </row>
    <row r="506">
      <c r="A506" s="13" t="n">
        <v>502</v>
      </c>
      <c r="B506" s="17">
        <f>IF(N506&lt;$K$5,$H$5+SQRT(N506*($J$5-$H$5)*($I$5-$H$5)),$J$5-SQRT((1-N506)*($J$5-$H$5)*($J$5-$I$5)))</f>
        <v/>
      </c>
      <c r="C506" s="17">
        <f>IF(O506&lt;$K$6,$H$6+SQRT(O506*($J$6-$H$6)*($I$6-$H$6)),$J$6-SQRT((1-O506)*($J$6-$H$6)*($J$6-$I$6)))</f>
        <v/>
      </c>
      <c r="D506" s="17">
        <f>IF(P506&lt;$K$7,$H$7+SQRT(P506*($J$7-$H$7)*($I$7-$H$7)),$J$7-SQRT((1-P506)*($J$7-$H$7)*($J$7-$I$7)))</f>
        <v/>
      </c>
      <c r="E506" s="17">
        <f>SUM(B506:D506)</f>
        <v/>
      </c>
      <c r="N506" s="16">
        <f>RAND()</f>
        <v/>
      </c>
      <c r="O506" s="16">
        <f>RAND()</f>
        <v/>
      </c>
      <c r="P506" s="16">
        <f>RAND()</f>
        <v/>
      </c>
    </row>
    <row r="507">
      <c r="A507" s="13" t="n">
        <v>503</v>
      </c>
      <c r="B507" s="17">
        <f>IF(N507&lt;$K$5,$H$5+SQRT(N507*($J$5-$H$5)*($I$5-$H$5)),$J$5-SQRT((1-N507)*($J$5-$H$5)*($J$5-$I$5)))</f>
        <v/>
      </c>
      <c r="C507" s="17">
        <f>IF(O507&lt;$K$6,$H$6+SQRT(O507*($J$6-$H$6)*($I$6-$H$6)),$J$6-SQRT((1-O507)*($J$6-$H$6)*($J$6-$I$6)))</f>
        <v/>
      </c>
      <c r="D507" s="17">
        <f>IF(P507&lt;$K$7,$H$7+SQRT(P507*($J$7-$H$7)*($I$7-$H$7)),$J$7-SQRT((1-P507)*($J$7-$H$7)*($J$7-$I$7)))</f>
        <v/>
      </c>
      <c r="E507" s="17">
        <f>SUM(B507:D507)</f>
        <v/>
      </c>
      <c r="N507" s="16">
        <f>RAND()</f>
        <v/>
      </c>
      <c r="O507" s="16">
        <f>RAND()</f>
        <v/>
      </c>
      <c r="P507" s="16">
        <f>RAND()</f>
        <v/>
      </c>
    </row>
    <row r="508">
      <c r="A508" s="13" t="n">
        <v>504</v>
      </c>
      <c r="B508" s="17">
        <f>IF(N508&lt;$K$5,$H$5+SQRT(N508*($J$5-$H$5)*($I$5-$H$5)),$J$5-SQRT((1-N508)*($J$5-$H$5)*($J$5-$I$5)))</f>
        <v/>
      </c>
      <c r="C508" s="17">
        <f>IF(O508&lt;$K$6,$H$6+SQRT(O508*($J$6-$H$6)*($I$6-$H$6)),$J$6-SQRT((1-O508)*($J$6-$H$6)*($J$6-$I$6)))</f>
        <v/>
      </c>
      <c r="D508" s="17">
        <f>IF(P508&lt;$K$7,$H$7+SQRT(P508*($J$7-$H$7)*($I$7-$H$7)),$J$7-SQRT((1-P508)*($J$7-$H$7)*($J$7-$I$7)))</f>
        <v/>
      </c>
      <c r="E508" s="17">
        <f>SUM(B508:D508)</f>
        <v/>
      </c>
      <c r="N508" s="16">
        <f>RAND()</f>
        <v/>
      </c>
      <c r="O508" s="16">
        <f>RAND()</f>
        <v/>
      </c>
      <c r="P508" s="16">
        <f>RAND()</f>
        <v/>
      </c>
    </row>
    <row r="509">
      <c r="A509" s="13" t="n">
        <v>505</v>
      </c>
      <c r="B509" s="17">
        <f>IF(N509&lt;$K$5,$H$5+SQRT(N509*($J$5-$H$5)*($I$5-$H$5)),$J$5-SQRT((1-N509)*($J$5-$H$5)*($J$5-$I$5)))</f>
        <v/>
      </c>
      <c r="C509" s="17">
        <f>IF(O509&lt;$K$6,$H$6+SQRT(O509*($J$6-$H$6)*($I$6-$H$6)),$J$6-SQRT((1-O509)*($J$6-$H$6)*($J$6-$I$6)))</f>
        <v/>
      </c>
      <c r="D509" s="17">
        <f>IF(P509&lt;$K$7,$H$7+SQRT(P509*($J$7-$H$7)*($I$7-$H$7)),$J$7-SQRT((1-P509)*($J$7-$H$7)*($J$7-$I$7)))</f>
        <v/>
      </c>
      <c r="E509" s="17">
        <f>SUM(B509:D509)</f>
        <v/>
      </c>
      <c r="N509" s="16">
        <f>RAND()</f>
        <v/>
      </c>
      <c r="O509" s="16">
        <f>RAND()</f>
        <v/>
      </c>
      <c r="P509" s="16">
        <f>RAND()</f>
        <v/>
      </c>
    </row>
    <row r="510">
      <c r="A510" s="13" t="n">
        <v>506</v>
      </c>
      <c r="B510" s="17">
        <f>IF(N510&lt;$K$5,$H$5+SQRT(N510*($J$5-$H$5)*($I$5-$H$5)),$J$5-SQRT((1-N510)*($J$5-$H$5)*($J$5-$I$5)))</f>
        <v/>
      </c>
      <c r="C510" s="17">
        <f>IF(O510&lt;$K$6,$H$6+SQRT(O510*($J$6-$H$6)*($I$6-$H$6)),$J$6-SQRT((1-O510)*($J$6-$H$6)*($J$6-$I$6)))</f>
        <v/>
      </c>
      <c r="D510" s="17">
        <f>IF(P510&lt;$K$7,$H$7+SQRT(P510*($J$7-$H$7)*($I$7-$H$7)),$J$7-SQRT((1-P510)*($J$7-$H$7)*($J$7-$I$7)))</f>
        <v/>
      </c>
      <c r="E510" s="17">
        <f>SUM(B510:D510)</f>
        <v/>
      </c>
      <c r="N510" s="16">
        <f>RAND()</f>
        <v/>
      </c>
      <c r="O510" s="16">
        <f>RAND()</f>
        <v/>
      </c>
      <c r="P510" s="16">
        <f>RAND()</f>
        <v/>
      </c>
    </row>
    <row r="511">
      <c r="A511" s="13" t="n">
        <v>507</v>
      </c>
      <c r="B511" s="17">
        <f>IF(N511&lt;$K$5,$H$5+SQRT(N511*($J$5-$H$5)*($I$5-$H$5)),$J$5-SQRT((1-N511)*($J$5-$H$5)*($J$5-$I$5)))</f>
        <v/>
      </c>
      <c r="C511" s="17">
        <f>IF(O511&lt;$K$6,$H$6+SQRT(O511*($J$6-$H$6)*($I$6-$H$6)),$J$6-SQRT((1-O511)*($J$6-$H$6)*($J$6-$I$6)))</f>
        <v/>
      </c>
      <c r="D511" s="17">
        <f>IF(P511&lt;$K$7,$H$7+SQRT(P511*($J$7-$H$7)*($I$7-$H$7)),$J$7-SQRT((1-P511)*($J$7-$H$7)*($J$7-$I$7)))</f>
        <v/>
      </c>
      <c r="E511" s="17">
        <f>SUM(B511:D511)</f>
        <v/>
      </c>
      <c r="N511" s="16">
        <f>RAND()</f>
        <v/>
      </c>
      <c r="O511" s="16">
        <f>RAND()</f>
        <v/>
      </c>
      <c r="P511" s="16">
        <f>RAND()</f>
        <v/>
      </c>
    </row>
    <row r="512">
      <c r="A512" s="13" t="n">
        <v>508</v>
      </c>
      <c r="B512" s="17">
        <f>IF(N512&lt;$K$5,$H$5+SQRT(N512*($J$5-$H$5)*($I$5-$H$5)),$J$5-SQRT((1-N512)*($J$5-$H$5)*($J$5-$I$5)))</f>
        <v/>
      </c>
      <c r="C512" s="17">
        <f>IF(O512&lt;$K$6,$H$6+SQRT(O512*($J$6-$H$6)*($I$6-$H$6)),$J$6-SQRT((1-O512)*($J$6-$H$6)*($J$6-$I$6)))</f>
        <v/>
      </c>
      <c r="D512" s="17">
        <f>IF(P512&lt;$K$7,$H$7+SQRT(P512*($J$7-$H$7)*($I$7-$H$7)),$J$7-SQRT((1-P512)*($J$7-$H$7)*($J$7-$I$7)))</f>
        <v/>
      </c>
      <c r="E512" s="17">
        <f>SUM(B512:D512)</f>
        <v/>
      </c>
      <c r="N512" s="16">
        <f>RAND()</f>
        <v/>
      </c>
      <c r="O512" s="16">
        <f>RAND()</f>
        <v/>
      </c>
      <c r="P512" s="16">
        <f>RAND()</f>
        <v/>
      </c>
    </row>
    <row r="513">
      <c r="A513" s="13" t="n">
        <v>509</v>
      </c>
      <c r="B513" s="17">
        <f>IF(N513&lt;$K$5,$H$5+SQRT(N513*($J$5-$H$5)*($I$5-$H$5)),$J$5-SQRT((1-N513)*($J$5-$H$5)*($J$5-$I$5)))</f>
        <v/>
      </c>
      <c r="C513" s="17">
        <f>IF(O513&lt;$K$6,$H$6+SQRT(O513*($J$6-$H$6)*($I$6-$H$6)),$J$6-SQRT((1-O513)*($J$6-$H$6)*($J$6-$I$6)))</f>
        <v/>
      </c>
      <c r="D513" s="17">
        <f>IF(P513&lt;$K$7,$H$7+SQRT(P513*($J$7-$H$7)*($I$7-$H$7)),$J$7-SQRT((1-P513)*($J$7-$H$7)*($J$7-$I$7)))</f>
        <v/>
      </c>
      <c r="E513" s="17">
        <f>SUM(B513:D513)</f>
        <v/>
      </c>
      <c r="N513" s="16">
        <f>RAND()</f>
        <v/>
      </c>
      <c r="O513" s="16">
        <f>RAND()</f>
        <v/>
      </c>
      <c r="P513" s="16">
        <f>RAND()</f>
        <v/>
      </c>
    </row>
    <row r="514">
      <c r="A514" s="13" t="n">
        <v>510</v>
      </c>
      <c r="B514" s="17">
        <f>IF(N514&lt;$K$5,$H$5+SQRT(N514*($J$5-$H$5)*($I$5-$H$5)),$J$5-SQRT((1-N514)*($J$5-$H$5)*($J$5-$I$5)))</f>
        <v/>
      </c>
      <c r="C514" s="17">
        <f>IF(O514&lt;$K$6,$H$6+SQRT(O514*($J$6-$H$6)*($I$6-$H$6)),$J$6-SQRT((1-O514)*($J$6-$H$6)*($J$6-$I$6)))</f>
        <v/>
      </c>
      <c r="D514" s="17">
        <f>IF(P514&lt;$K$7,$H$7+SQRT(P514*($J$7-$H$7)*($I$7-$H$7)),$J$7-SQRT((1-P514)*($J$7-$H$7)*($J$7-$I$7)))</f>
        <v/>
      </c>
      <c r="E514" s="17">
        <f>SUM(B514:D514)</f>
        <v/>
      </c>
      <c r="N514" s="16">
        <f>RAND()</f>
        <v/>
      </c>
      <c r="O514" s="16">
        <f>RAND()</f>
        <v/>
      </c>
      <c r="P514" s="16">
        <f>RAND()</f>
        <v/>
      </c>
    </row>
    <row r="515">
      <c r="A515" s="13" t="n">
        <v>511</v>
      </c>
      <c r="B515" s="17">
        <f>IF(N515&lt;$K$5,$H$5+SQRT(N515*($J$5-$H$5)*($I$5-$H$5)),$J$5-SQRT((1-N515)*($J$5-$H$5)*($J$5-$I$5)))</f>
        <v/>
      </c>
      <c r="C515" s="17">
        <f>IF(O515&lt;$K$6,$H$6+SQRT(O515*($J$6-$H$6)*($I$6-$H$6)),$J$6-SQRT((1-O515)*($J$6-$H$6)*($J$6-$I$6)))</f>
        <v/>
      </c>
      <c r="D515" s="17">
        <f>IF(P515&lt;$K$7,$H$7+SQRT(P515*($J$7-$H$7)*($I$7-$H$7)),$J$7-SQRT((1-P515)*($J$7-$H$7)*($J$7-$I$7)))</f>
        <v/>
      </c>
      <c r="E515" s="17">
        <f>SUM(B515:D515)</f>
        <v/>
      </c>
      <c r="N515" s="16">
        <f>RAND()</f>
        <v/>
      </c>
      <c r="O515" s="16">
        <f>RAND()</f>
        <v/>
      </c>
      <c r="P515" s="16">
        <f>RAND()</f>
        <v/>
      </c>
    </row>
    <row r="516">
      <c r="A516" s="13" t="n">
        <v>512</v>
      </c>
      <c r="B516" s="17">
        <f>IF(N516&lt;$K$5,$H$5+SQRT(N516*($J$5-$H$5)*($I$5-$H$5)),$J$5-SQRT((1-N516)*($J$5-$H$5)*($J$5-$I$5)))</f>
        <v/>
      </c>
      <c r="C516" s="17">
        <f>IF(O516&lt;$K$6,$H$6+SQRT(O516*($J$6-$H$6)*($I$6-$H$6)),$J$6-SQRT((1-O516)*($J$6-$H$6)*($J$6-$I$6)))</f>
        <v/>
      </c>
      <c r="D516" s="17">
        <f>IF(P516&lt;$K$7,$H$7+SQRT(P516*($J$7-$H$7)*($I$7-$H$7)),$J$7-SQRT((1-P516)*($J$7-$H$7)*($J$7-$I$7)))</f>
        <v/>
      </c>
      <c r="E516" s="17">
        <f>SUM(B516:D516)</f>
        <v/>
      </c>
      <c r="N516" s="16">
        <f>RAND()</f>
        <v/>
      </c>
      <c r="O516" s="16">
        <f>RAND()</f>
        <v/>
      </c>
      <c r="P516" s="16">
        <f>RAND()</f>
        <v/>
      </c>
    </row>
    <row r="517">
      <c r="A517" s="13" t="n">
        <v>513</v>
      </c>
      <c r="B517" s="17">
        <f>IF(N517&lt;$K$5,$H$5+SQRT(N517*($J$5-$H$5)*($I$5-$H$5)),$J$5-SQRT((1-N517)*($J$5-$H$5)*($J$5-$I$5)))</f>
        <v/>
      </c>
      <c r="C517" s="17">
        <f>IF(O517&lt;$K$6,$H$6+SQRT(O517*($J$6-$H$6)*($I$6-$H$6)),$J$6-SQRT((1-O517)*($J$6-$H$6)*($J$6-$I$6)))</f>
        <v/>
      </c>
      <c r="D517" s="17">
        <f>IF(P517&lt;$K$7,$H$7+SQRT(P517*($J$7-$H$7)*($I$7-$H$7)),$J$7-SQRT((1-P517)*($J$7-$H$7)*($J$7-$I$7)))</f>
        <v/>
      </c>
      <c r="E517" s="17">
        <f>SUM(B517:D517)</f>
        <v/>
      </c>
      <c r="N517" s="16">
        <f>RAND()</f>
        <v/>
      </c>
      <c r="O517" s="16">
        <f>RAND()</f>
        <v/>
      </c>
      <c r="P517" s="16">
        <f>RAND()</f>
        <v/>
      </c>
    </row>
    <row r="518">
      <c r="A518" s="13" t="n">
        <v>514</v>
      </c>
      <c r="B518" s="17">
        <f>IF(N518&lt;$K$5,$H$5+SQRT(N518*($J$5-$H$5)*($I$5-$H$5)),$J$5-SQRT((1-N518)*($J$5-$H$5)*($J$5-$I$5)))</f>
        <v/>
      </c>
      <c r="C518" s="17">
        <f>IF(O518&lt;$K$6,$H$6+SQRT(O518*($J$6-$H$6)*($I$6-$H$6)),$J$6-SQRT((1-O518)*($J$6-$H$6)*($J$6-$I$6)))</f>
        <v/>
      </c>
      <c r="D518" s="17">
        <f>IF(P518&lt;$K$7,$H$7+SQRT(P518*($J$7-$H$7)*($I$7-$H$7)),$J$7-SQRT((1-P518)*($J$7-$H$7)*($J$7-$I$7)))</f>
        <v/>
      </c>
      <c r="E518" s="17">
        <f>SUM(B518:D518)</f>
        <v/>
      </c>
      <c r="N518" s="16">
        <f>RAND()</f>
        <v/>
      </c>
      <c r="O518" s="16">
        <f>RAND()</f>
        <v/>
      </c>
      <c r="P518" s="16">
        <f>RAND()</f>
        <v/>
      </c>
    </row>
    <row r="519">
      <c r="A519" s="13" t="n">
        <v>515</v>
      </c>
      <c r="B519" s="17">
        <f>IF(N519&lt;$K$5,$H$5+SQRT(N519*($J$5-$H$5)*($I$5-$H$5)),$J$5-SQRT((1-N519)*($J$5-$H$5)*($J$5-$I$5)))</f>
        <v/>
      </c>
      <c r="C519" s="17">
        <f>IF(O519&lt;$K$6,$H$6+SQRT(O519*($J$6-$H$6)*($I$6-$H$6)),$J$6-SQRT((1-O519)*($J$6-$H$6)*($J$6-$I$6)))</f>
        <v/>
      </c>
      <c r="D519" s="17">
        <f>IF(P519&lt;$K$7,$H$7+SQRT(P519*($J$7-$H$7)*($I$7-$H$7)),$J$7-SQRT((1-P519)*($J$7-$H$7)*($J$7-$I$7)))</f>
        <v/>
      </c>
      <c r="E519" s="17">
        <f>SUM(B519:D519)</f>
        <v/>
      </c>
      <c r="N519" s="16">
        <f>RAND()</f>
        <v/>
      </c>
      <c r="O519" s="16">
        <f>RAND()</f>
        <v/>
      </c>
      <c r="P519" s="16">
        <f>RAND()</f>
        <v/>
      </c>
    </row>
    <row r="520">
      <c r="A520" s="13" t="n">
        <v>516</v>
      </c>
      <c r="B520" s="17">
        <f>IF(N520&lt;$K$5,$H$5+SQRT(N520*($J$5-$H$5)*($I$5-$H$5)),$J$5-SQRT((1-N520)*($J$5-$H$5)*($J$5-$I$5)))</f>
        <v/>
      </c>
      <c r="C520" s="17">
        <f>IF(O520&lt;$K$6,$H$6+SQRT(O520*($J$6-$H$6)*($I$6-$H$6)),$J$6-SQRT((1-O520)*($J$6-$H$6)*($J$6-$I$6)))</f>
        <v/>
      </c>
      <c r="D520" s="17">
        <f>IF(P520&lt;$K$7,$H$7+SQRT(P520*($J$7-$H$7)*($I$7-$H$7)),$J$7-SQRT((1-P520)*($J$7-$H$7)*($J$7-$I$7)))</f>
        <v/>
      </c>
      <c r="E520" s="17">
        <f>SUM(B520:D520)</f>
        <v/>
      </c>
      <c r="N520" s="16">
        <f>RAND()</f>
        <v/>
      </c>
      <c r="O520" s="16">
        <f>RAND()</f>
        <v/>
      </c>
      <c r="P520" s="16">
        <f>RAND()</f>
        <v/>
      </c>
    </row>
    <row r="521">
      <c r="A521" s="13" t="n">
        <v>517</v>
      </c>
      <c r="B521" s="17">
        <f>IF(N521&lt;$K$5,$H$5+SQRT(N521*($J$5-$H$5)*($I$5-$H$5)),$J$5-SQRT((1-N521)*($J$5-$H$5)*($J$5-$I$5)))</f>
        <v/>
      </c>
      <c r="C521" s="17">
        <f>IF(O521&lt;$K$6,$H$6+SQRT(O521*($J$6-$H$6)*($I$6-$H$6)),$J$6-SQRT((1-O521)*($J$6-$H$6)*($J$6-$I$6)))</f>
        <v/>
      </c>
      <c r="D521" s="17">
        <f>IF(P521&lt;$K$7,$H$7+SQRT(P521*($J$7-$H$7)*($I$7-$H$7)),$J$7-SQRT((1-P521)*($J$7-$H$7)*($J$7-$I$7)))</f>
        <v/>
      </c>
      <c r="E521" s="17">
        <f>SUM(B521:D521)</f>
        <v/>
      </c>
      <c r="N521" s="16">
        <f>RAND()</f>
        <v/>
      </c>
      <c r="O521" s="16">
        <f>RAND()</f>
        <v/>
      </c>
      <c r="P521" s="16">
        <f>RAND()</f>
        <v/>
      </c>
    </row>
    <row r="522">
      <c r="A522" s="13" t="n">
        <v>518</v>
      </c>
      <c r="B522" s="17">
        <f>IF(N522&lt;$K$5,$H$5+SQRT(N522*($J$5-$H$5)*($I$5-$H$5)),$J$5-SQRT((1-N522)*($J$5-$H$5)*($J$5-$I$5)))</f>
        <v/>
      </c>
      <c r="C522" s="17">
        <f>IF(O522&lt;$K$6,$H$6+SQRT(O522*($J$6-$H$6)*($I$6-$H$6)),$J$6-SQRT((1-O522)*($J$6-$H$6)*($J$6-$I$6)))</f>
        <v/>
      </c>
      <c r="D522" s="17">
        <f>IF(P522&lt;$K$7,$H$7+SQRT(P522*($J$7-$H$7)*($I$7-$H$7)),$J$7-SQRT((1-P522)*($J$7-$H$7)*($J$7-$I$7)))</f>
        <v/>
      </c>
      <c r="E522" s="17">
        <f>SUM(B522:D522)</f>
        <v/>
      </c>
      <c r="N522" s="16">
        <f>RAND()</f>
        <v/>
      </c>
      <c r="O522" s="16">
        <f>RAND()</f>
        <v/>
      </c>
      <c r="P522" s="16">
        <f>RAND()</f>
        <v/>
      </c>
    </row>
    <row r="523">
      <c r="A523" s="13" t="n">
        <v>519</v>
      </c>
      <c r="B523" s="17">
        <f>IF(N523&lt;$K$5,$H$5+SQRT(N523*($J$5-$H$5)*($I$5-$H$5)),$J$5-SQRT((1-N523)*($J$5-$H$5)*($J$5-$I$5)))</f>
        <v/>
      </c>
      <c r="C523" s="17">
        <f>IF(O523&lt;$K$6,$H$6+SQRT(O523*($J$6-$H$6)*($I$6-$H$6)),$J$6-SQRT((1-O523)*($J$6-$H$6)*($J$6-$I$6)))</f>
        <v/>
      </c>
      <c r="D523" s="17">
        <f>IF(P523&lt;$K$7,$H$7+SQRT(P523*($J$7-$H$7)*($I$7-$H$7)),$J$7-SQRT((1-P523)*($J$7-$H$7)*($J$7-$I$7)))</f>
        <v/>
      </c>
      <c r="E523" s="17">
        <f>SUM(B523:D523)</f>
        <v/>
      </c>
      <c r="N523" s="16">
        <f>RAND()</f>
        <v/>
      </c>
      <c r="O523" s="16">
        <f>RAND()</f>
        <v/>
      </c>
      <c r="P523" s="16">
        <f>RAND()</f>
        <v/>
      </c>
    </row>
    <row r="524">
      <c r="A524" s="13" t="n">
        <v>520</v>
      </c>
      <c r="B524" s="17">
        <f>IF(N524&lt;$K$5,$H$5+SQRT(N524*($J$5-$H$5)*($I$5-$H$5)),$J$5-SQRT((1-N524)*($J$5-$H$5)*($J$5-$I$5)))</f>
        <v/>
      </c>
      <c r="C524" s="17">
        <f>IF(O524&lt;$K$6,$H$6+SQRT(O524*($J$6-$H$6)*($I$6-$H$6)),$J$6-SQRT((1-O524)*($J$6-$H$6)*($J$6-$I$6)))</f>
        <v/>
      </c>
      <c r="D524" s="17">
        <f>IF(P524&lt;$K$7,$H$7+SQRT(P524*($J$7-$H$7)*($I$7-$H$7)),$J$7-SQRT((1-P524)*($J$7-$H$7)*($J$7-$I$7)))</f>
        <v/>
      </c>
      <c r="E524" s="17">
        <f>SUM(B524:D524)</f>
        <v/>
      </c>
      <c r="N524" s="16">
        <f>RAND()</f>
        <v/>
      </c>
      <c r="O524" s="16">
        <f>RAND()</f>
        <v/>
      </c>
      <c r="P524" s="16">
        <f>RAND()</f>
        <v/>
      </c>
    </row>
    <row r="525">
      <c r="A525" s="13" t="n">
        <v>521</v>
      </c>
      <c r="B525" s="17">
        <f>IF(N525&lt;$K$5,$H$5+SQRT(N525*($J$5-$H$5)*($I$5-$H$5)),$J$5-SQRT((1-N525)*($J$5-$H$5)*($J$5-$I$5)))</f>
        <v/>
      </c>
      <c r="C525" s="17">
        <f>IF(O525&lt;$K$6,$H$6+SQRT(O525*($J$6-$H$6)*($I$6-$H$6)),$J$6-SQRT((1-O525)*($J$6-$H$6)*($J$6-$I$6)))</f>
        <v/>
      </c>
      <c r="D525" s="17">
        <f>IF(P525&lt;$K$7,$H$7+SQRT(P525*($J$7-$H$7)*($I$7-$H$7)),$J$7-SQRT((1-P525)*($J$7-$H$7)*($J$7-$I$7)))</f>
        <v/>
      </c>
      <c r="E525" s="17">
        <f>SUM(B525:D525)</f>
        <v/>
      </c>
      <c r="N525" s="16">
        <f>RAND()</f>
        <v/>
      </c>
      <c r="O525" s="16">
        <f>RAND()</f>
        <v/>
      </c>
      <c r="P525" s="16">
        <f>RAND()</f>
        <v/>
      </c>
    </row>
    <row r="526">
      <c r="A526" s="13" t="n">
        <v>522</v>
      </c>
      <c r="B526" s="17">
        <f>IF(N526&lt;$K$5,$H$5+SQRT(N526*($J$5-$H$5)*($I$5-$H$5)),$J$5-SQRT((1-N526)*($J$5-$H$5)*($J$5-$I$5)))</f>
        <v/>
      </c>
      <c r="C526" s="17">
        <f>IF(O526&lt;$K$6,$H$6+SQRT(O526*($J$6-$H$6)*($I$6-$H$6)),$J$6-SQRT((1-O526)*($J$6-$H$6)*($J$6-$I$6)))</f>
        <v/>
      </c>
      <c r="D526" s="17">
        <f>IF(P526&lt;$K$7,$H$7+SQRT(P526*($J$7-$H$7)*($I$7-$H$7)),$J$7-SQRT((1-P526)*($J$7-$H$7)*($J$7-$I$7)))</f>
        <v/>
      </c>
      <c r="E526" s="17">
        <f>SUM(B526:D526)</f>
        <v/>
      </c>
      <c r="N526" s="16">
        <f>RAND()</f>
        <v/>
      </c>
      <c r="O526" s="16">
        <f>RAND()</f>
        <v/>
      </c>
      <c r="P526" s="16">
        <f>RAND()</f>
        <v/>
      </c>
    </row>
    <row r="527">
      <c r="A527" s="13" t="n">
        <v>523</v>
      </c>
      <c r="B527" s="17">
        <f>IF(N527&lt;$K$5,$H$5+SQRT(N527*($J$5-$H$5)*($I$5-$H$5)),$J$5-SQRT((1-N527)*($J$5-$H$5)*($J$5-$I$5)))</f>
        <v/>
      </c>
      <c r="C527" s="17">
        <f>IF(O527&lt;$K$6,$H$6+SQRT(O527*($J$6-$H$6)*($I$6-$H$6)),$J$6-SQRT((1-O527)*($J$6-$H$6)*($J$6-$I$6)))</f>
        <v/>
      </c>
      <c r="D527" s="17">
        <f>IF(P527&lt;$K$7,$H$7+SQRT(P527*($J$7-$H$7)*($I$7-$H$7)),$J$7-SQRT((1-P527)*($J$7-$H$7)*($J$7-$I$7)))</f>
        <v/>
      </c>
      <c r="E527" s="17">
        <f>SUM(B527:D527)</f>
        <v/>
      </c>
      <c r="N527" s="16">
        <f>RAND()</f>
        <v/>
      </c>
      <c r="O527" s="16">
        <f>RAND()</f>
        <v/>
      </c>
      <c r="P527" s="16">
        <f>RAND()</f>
        <v/>
      </c>
    </row>
    <row r="528">
      <c r="A528" s="13" t="n">
        <v>524</v>
      </c>
      <c r="B528" s="17">
        <f>IF(N528&lt;$K$5,$H$5+SQRT(N528*($J$5-$H$5)*($I$5-$H$5)),$J$5-SQRT((1-N528)*($J$5-$H$5)*($J$5-$I$5)))</f>
        <v/>
      </c>
      <c r="C528" s="17">
        <f>IF(O528&lt;$K$6,$H$6+SQRT(O528*($J$6-$H$6)*($I$6-$H$6)),$J$6-SQRT((1-O528)*($J$6-$H$6)*($J$6-$I$6)))</f>
        <v/>
      </c>
      <c r="D528" s="17">
        <f>IF(P528&lt;$K$7,$H$7+SQRT(P528*($J$7-$H$7)*($I$7-$H$7)),$J$7-SQRT((1-P528)*($J$7-$H$7)*($J$7-$I$7)))</f>
        <v/>
      </c>
      <c r="E528" s="17">
        <f>SUM(B528:D528)</f>
        <v/>
      </c>
      <c r="N528" s="16">
        <f>RAND()</f>
        <v/>
      </c>
      <c r="O528" s="16">
        <f>RAND()</f>
        <v/>
      </c>
      <c r="P528" s="16">
        <f>RAND()</f>
        <v/>
      </c>
    </row>
    <row r="529">
      <c r="A529" s="13" t="n">
        <v>525</v>
      </c>
      <c r="B529" s="17">
        <f>IF(N529&lt;$K$5,$H$5+SQRT(N529*($J$5-$H$5)*($I$5-$H$5)),$J$5-SQRT((1-N529)*($J$5-$H$5)*($J$5-$I$5)))</f>
        <v/>
      </c>
      <c r="C529" s="17">
        <f>IF(O529&lt;$K$6,$H$6+SQRT(O529*($J$6-$H$6)*($I$6-$H$6)),$J$6-SQRT((1-O529)*($J$6-$H$6)*($J$6-$I$6)))</f>
        <v/>
      </c>
      <c r="D529" s="17">
        <f>IF(P529&lt;$K$7,$H$7+SQRT(P529*($J$7-$H$7)*($I$7-$H$7)),$J$7-SQRT((1-P529)*($J$7-$H$7)*($J$7-$I$7)))</f>
        <v/>
      </c>
      <c r="E529" s="17">
        <f>SUM(B529:D529)</f>
        <v/>
      </c>
      <c r="N529" s="16">
        <f>RAND()</f>
        <v/>
      </c>
      <c r="O529" s="16">
        <f>RAND()</f>
        <v/>
      </c>
      <c r="P529" s="16">
        <f>RAND()</f>
        <v/>
      </c>
    </row>
    <row r="530">
      <c r="A530" s="13" t="n">
        <v>526</v>
      </c>
      <c r="B530" s="17">
        <f>IF(N530&lt;$K$5,$H$5+SQRT(N530*($J$5-$H$5)*($I$5-$H$5)),$J$5-SQRT((1-N530)*($J$5-$H$5)*($J$5-$I$5)))</f>
        <v/>
      </c>
      <c r="C530" s="17">
        <f>IF(O530&lt;$K$6,$H$6+SQRT(O530*($J$6-$H$6)*($I$6-$H$6)),$J$6-SQRT((1-O530)*($J$6-$H$6)*($J$6-$I$6)))</f>
        <v/>
      </c>
      <c r="D530" s="17">
        <f>IF(P530&lt;$K$7,$H$7+SQRT(P530*($J$7-$H$7)*($I$7-$H$7)),$J$7-SQRT((1-P530)*($J$7-$H$7)*($J$7-$I$7)))</f>
        <v/>
      </c>
      <c r="E530" s="17">
        <f>SUM(B530:D530)</f>
        <v/>
      </c>
      <c r="N530" s="16">
        <f>RAND()</f>
        <v/>
      </c>
      <c r="O530" s="16">
        <f>RAND()</f>
        <v/>
      </c>
      <c r="P530" s="16">
        <f>RAND()</f>
        <v/>
      </c>
    </row>
    <row r="531">
      <c r="A531" s="13" t="n">
        <v>527</v>
      </c>
      <c r="B531" s="17">
        <f>IF(N531&lt;$K$5,$H$5+SQRT(N531*($J$5-$H$5)*($I$5-$H$5)),$J$5-SQRT((1-N531)*($J$5-$H$5)*($J$5-$I$5)))</f>
        <v/>
      </c>
      <c r="C531" s="17">
        <f>IF(O531&lt;$K$6,$H$6+SQRT(O531*($J$6-$H$6)*($I$6-$H$6)),$J$6-SQRT((1-O531)*($J$6-$H$6)*($J$6-$I$6)))</f>
        <v/>
      </c>
      <c r="D531" s="17">
        <f>IF(P531&lt;$K$7,$H$7+SQRT(P531*($J$7-$H$7)*($I$7-$H$7)),$J$7-SQRT((1-P531)*($J$7-$H$7)*($J$7-$I$7)))</f>
        <v/>
      </c>
      <c r="E531" s="17">
        <f>SUM(B531:D531)</f>
        <v/>
      </c>
      <c r="N531" s="16">
        <f>RAND()</f>
        <v/>
      </c>
      <c r="O531" s="16">
        <f>RAND()</f>
        <v/>
      </c>
      <c r="P531" s="16">
        <f>RAND()</f>
        <v/>
      </c>
    </row>
    <row r="532">
      <c r="A532" s="13" t="n">
        <v>528</v>
      </c>
      <c r="B532" s="17">
        <f>IF(N532&lt;$K$5,$H$5+SQRT(N532*($J$5-$H$5)*($I$5-$H$5)),$J$5-SQRT((1-N532)*($J$5-$H$5)*($J$5-$I$5)))</f>
        <v/>
      </c>
      <c r="C532" s="17">
        <f>IF(O532&lt;$K$6,$H$6+SQRT(O532*($J$6-$H$6)*($I$6-$H$6)),$J$6-SQRT((1-O532)*($J$6-$H$6)*($J$6-$I$6)))</f>
        <v/>
      </c>
      <c r="D532" s="17">
        <f>IF(P532&lt;$K$7,$H$7+SQRT(P532*($J$7-$H$7)*($I$7-$H$7)),$J$7-SQRT((1-P532)*($J$7-$H$7)*($J$7-$I$7)))</f>
        <v/>
      </c>
      <c r="E532" s="17">
        <f>SUM(B532:D532)</f>
        <v/>
      </c>
      <c r="N532" s="16">
        <f>RAND()</f>
        <v/>
      </c>
      <c r="O532" s="16">
        <f>RAND()</f>
        <v/>
      </c>
      <c r="P532" s="16">
        <f>RAND()</f>
        <v/>
      </c>
    </row>
    <row r="533">
      <c r="A533" s="13" t="n">
        <v>529</v>
      </c>
      <c r="B533" s="17">
        <f>IF(N533&lt;$K$5,$H$5+SQRT(N533*($J$5-$H$5)*($I$5-$H$5)),$J$5-SQRT((1-N533)*($J$5-$H$5)*($J$5-$I$5)))</f>
        <v/>
      </c>
      <c r="C533" s="17">
        <f>IF(O533&lt;$K$6,$H$6+SQRT(O533*($J$6-$H$6)*($I$6-$H$6)),$J$6-SQRT((1-O533)*($J$6-$H$6)*($J$6-$I$6)))</f>
        <v/>
      </c>
      <c r="D533" s="17">
        <f>IF(P533&lt;$K$7,$H$7+SQRT(P533*($J$7-$H$7)*($I$7-$H$7)),$J$7-SQRT((1-P533)*($J$7-$H$7)*($J$7-$I$7)))</f>
        <v/>
      </c>
      <c r="E533" s="17">
        <f>SUM(B533:D533)</f>
        <v/>
      </c>
      <c r="N533" s="16">
        <f>RAND()</f>
        <v/>
      </c>
      <c r="O533" s="16">
        <f>RAND()</f>
        <v/>
      </c>
      <c r="P533" s="16">
        <f>RAND()</f>
        <v/>
      </c>
    </row>
    <row r="534">
      <c r="A534" s="13" t="n">
        <v>530</v>
      </c>
      <c r="B534" s="17">
        <f>IF(N534&lt;$K$5,$H$5+SQRT(N534*($J$5-$H$5)*($I$5-$H$5)),$J$5-SQRT((1-N534)*($J$5-$H$5)*($J$5-$I$5)))</f>
        <v/>
      </c>
      <c r="C534" s="17">
        <f>IF(O534&lt;$K$6,$H$6+SQRT(O534*($J$6-$H$6)*($I$6-$H$6)),$J$6-SQRT((1-O534)*($J$6-$H$6)*($J$6-$I$6)))</f>
        <v/>
      </c>
      <c r="D534" s="17">
        <f>IF(P534&lt;$K$7,$H$7+SQRT(P534*($J$7-$H$7)*($I$7-$H$7)),$J$7-SQRT((1-P534)*($J$7-$H$7)*($J$7-$I$7)))</f>
        <v/>
      </c>
      <c r="E534" s="17">
        <f>SUM(B534:D534)</f>
        <v/>
      </c>
      <c r="N534" s="16">
        <f>RAND()</f>
        <v/>
      </c>
      <c r="O534" s="16">
        <f>RAND()</f>
        <v/>
      </c>
      <c r="P534" s="16">
        <f>RAND()</f>
        <v/>
      </c>
    </row>
    <row r="535">
      <c r="A535" s="13" t="n">
        <v>531</v>
      </c>
      <c r="B535" s="17">
        <f>IF(N535&lt;$K$5,$H$5+SQRT(N535*($J$5-$H$5)*($I$5-$H$5)),$J$5-SQRT((1-N535)*($J$5-$H$5)*($J$5-$I$5)))</f>
        <v/>
      </c>
      <c r="C535" s="17">
        <f>IF(O535&lt;$K$6,$H$6+SQRT(O535*($J$6-$H$6)*($I$6-$H$6)),$J$6-SQRT((1-O535)*($J$6-$H$6)*($J$6-$I$6)))</f>
        <v/>
      </c>
      <c r="D535" s="17">
        <f>IF(P535&lt;$K$7,$H$7+SQRT(P535*($J$7-$H$7)*($I$7-$H$7)),$J$7-SQRT((1-P535)*($J$7-$H$7)*($J$7-$I$7)))</f>
        <v/>
      </c>
      <c r="E535" s="17">
        <f>SUM(B535:D535)</f>
        <v/>
      </c>
      <c r="N535" s="16">
        <f>RAND()</f>
        <v/>
      </c>
      <c r="O535" s="16">
        <f>RAND()</f>
        <v/>
      </c>
      <c r="P535" s="16">
        <f>RAND()</f>
        <v/>
      </c>
    </row>
    <row r="536">
      <c r="A536" s="13" t="n">
        <v>532</v>
      </c>
      <c r="B536" s="17">
        <f>IF(N536&lt;$K$5,$H$5+SQRT(N536*($J$5-$H$5)*($I$5-$H$5)),$J$5-SQRT((1-N536)*($J$5-$H$5)*($J$5-$I$5)))</f>
        <v/>
      </c>
      <c r="C536" s="17">
        <f>IF(O536&lt;$K$6,$H$6+SQRT(O536*($J$6-$H$6)*($I$6-$H$6)),$J$6-SQRT((1-O536)*($J$6-$H$6)*($J$6-$I$6)))</f>
        <v/>
      </c>
      <c r="D536" s="17">
        <f>IF(P536&lt;$K$7,$H$7+SQRT(P536*($J$7-$H$7)*($I$7-$H$7)),$J$7-SQRT((1-P536)*($J$7-$H$7)*($J$7-$I$7)))</f>
        <v/>
      </c>
      <c r="E536" s="17">
        <f>SUM(B536:D536)</f>
        <v/>
      </c>
      <c r="N536" s="16">
        <f>RAND()</f>
        <v/>
      </c>
      <c r="O536" s="16">
        <f>RAND()</f>
        <v/>
      </c>
      <c r="P536" s="16">
        <f>RAND()</f>
        <v/>
      </c>
    </row>
    <row r="537">
      <c r="A537" s="13" t="n">
        <v>533</v>
      </c>
      <c r="B537" s="17">
        <f>IF(N537&lt;$K$5,$H$5+SQRT(N537*($J$5-$H$5)*($I$5-$H$5)),$J$5-SQRT((1-N537)*($J$5-$H$5)*($J$5-$I$5)))</f>
        <v/>
      </c>
      <c r="C537" s="17">
        <f>IF(O537&lt;$K$6,$H$6+SQRT(O537*($J$6-$H$6)*($I$6-$H$6)),$J$6-SQRT((1-O537)*($J$6-$H$6)*($J$6-$I$6)))</f>
        <v/>
      </c>
      <c r="D537" s="17">
        <f>IF(P537&lt;$K$7,$H$7+SQRT(P537*($J$7-$H$7)*($I$7-$H$7)),$J$7-SQRT((1-P537)*($J$7-$H$7)*($J$7-$I$7)))</f>
        <v/>
      </c>
      <c r="E537" s="17">
        <f>SUM(B537:D537)</f>
        <v/>
      </c>
      <c r="N537" s="16">
        <f>RAND()</f>
        <v/>
      </c>
      <c r="O537" s="16">
        <f>RAND()</f>
        <v/>
      </c>
      <c r="P537" s="16">
        <f>RAND()</f>
        <v/>
      </c>
    </row>
    <row r="538">
      <c r="A538" s="13" t="n">
        <v>534</v>
      </c>
      <c r="B538" s="17">
        <f>IF(N538&lt;$K$5,$H$5+SQRT(N538*($J$5-$H$5)*($I$5-$H$5)),$J$5-SQRT((1-N538)*($J$5-$H$5)*($J$5-$I$5)))</f>
        <v/>
      </c>
      <c r="C538" s="17">
        <f>IF(O538&lt;$K$6,$H$6+SQRT(O538*($J$6-$H$6)*($I$6-$H$6)),$J$6-SQRT((1-O538)*($J$6-$H$6)*($J$6-$I$6)))</f>
        <v/>
      </c>
      <c r="D538" s="17">
        <f>IF(P538&lt;$K$7,$H$7+SQRT(P538*($J$7-$H$7)*($I$7-$H$7)),$J$7-SQRT((1-P538)*($J$7-$H$7)*($J$7-$I$7)))</f>
        <v/>
      </c>
      <c r="E538" s="17">
        <f>SUM(B538:D538)</f>
        <v/>
      </c>
      <c r="N538" s="16">
        <f>RAND()</f>
        <v/>
      </c>
      <c r="O538" s="16">
        <f>RAND()</f>
        <v/>
      </c>
      <c r="P538" s="16">
        <f>RAND()</f>
        <v/>
      </c>
    </row>
    <row r="539">
      <c r="A539" s="13" t="n">
        <v>535</v>
      </c>
      <c r="B539" s="17">
        <f>IF(N539&lt;$K$5,$H$5+SQRT(N539*($J$5-$H$5)*($I$5-$H$5)),$J$5-SQRT((1-N539)*($J$5-$H$5)*($J$5-$I$5)))</f>
        <v/>
      </c>
      <c r="C539" s="17">
        <f>IF(O539&lt;$K$6,$H$6+SQRT(O539*($J$6-$H$6)*($I$6-$H$6)),$J$6-SQRT((1-O539)*($J$6-$H$6)*($J$6-$I$6)))</f>
        <v/>
      </c>
      <c r="D539" s="17">
        <f>IF(P539&lt;$K$7,$H$7+SQRT(P539*($J$7-$H$7)*($I$7-$H$7)),$J$7-SQRT((1-P539)*($J$7-$H$7)*($J$7-$I$7)))</f>
        <v/>
      </c>
      <c r="E539" s="17">
        <f>SUM(B539:D539)</f>
        <v/>
      </c>
      <c r="N539" s="16">
        <f>RAND()</f>
        <v/>
      </c>
      <c r="O539" s="16">
        <f>RAND()</f>
        <v/>
      </c>
      <c r="P539" s="16">
        <f>RAND()</f>
        <v/>
      </c>
    </row>
    <row r="540">
      <c r="A540" s="13" t="n">
        <v>536</v>
      </c>
      <c r="B540" s="17">
        <f>IF(N540&lt;$K$5,$H$5+SQRT(N540*($J$5-$H$5)*($I$5-$H$5)),$J$5-SQRT((1-N540)*($J$5-$H$5)*($J$5-$I$5)))</f>
        <v/>
      </c>
      <c r="C540" s="17">
        <f>IF(O540&lt;$K$6,$H$6+SQRT(O540*($J$6-$H$6)*($I$6-$H$6)),$J$6-SQRT((1-O540)*($J$6-$H$6)*($J$6-$I$6)))</f>
        <v/>
      </c>
      <c r="D540" s="17">
        <f>IF(P540&lt;$K$7,$H$7+SQRT(P540*($J$7-$H$7)*($I$7-$H$7)),$J$7-SQRT((1-P540)*($J$7-$H$7)*($J$7-$I$7)))</f>
        <v/>
      </c>
      <c r="E540" s="17">
        <f>SUM(B540:D540)</f>
        <v/>
      </c>
      <c r="N540" s="16">
        <f>RAND()</f>
        <v/>
      </c>
      <c r="O540" s="16">
        <f>RAND()</f>
        <v/>
      </c>
      <c r="P540" s="16">
        <f>RAND()</f>
        <v/>
      </c>
    </row>
    <row r="541">
      <c r="A541" s="13" t="n">
        <v>537</v>
      </c>
      <c r="B541" s="17">
        <f>IF(N541&lt;$K$5,$H$5+SQRT(N541*($J$5-$H$5)*($I$5-$H$5)),$J$5-SQRT((1-N541)*($J$5-$H$5)*($J$5-$I$5)))</f>
        <v/>
      </c>
      <c r="C541" s="17">
        <f>IF(O541&lt;$K$6,$H$6+SQRT(O541*($J$6-$H$6)*($I$6-$H$6)),$J$6-SQRT((1-O541)*($J$6-$H$6)*($J$6-$I$6)))</f>
        <v/>
      </c>
      <c r="D541" s="17">
        <f>IF(P541&lt;$K$7,$H$7+SQRT(P541*($J$7-$H$7)*($I$7-$H$7)),$J$7-SQRT((1-P541)*($J$7-$H$7)*($J$7-$I$7)))</f>
        <v/>
      </c>
      <c r="E541" s="17">
        <f>SUM(B541:D541)</f>
        <v/>
      </c>
      <c r="N541" s="16">
        <f>RAND()</f>
        <v/>
      </c>
      <c r="O541" s="16">
        <f>RAND()</f>
        <v/>
      </c>
      <c r="P541" s="16">
        <f>RAND()</f>
        <v/>
      </c>
    </row>
    <row r="542">
      <c r="A542" s="13" t="n">
        <v>538</v>
      </c>
      <c r="B542" s="17">
        <f>IF(N542&lt;$K$5,$H$5+SQRT(N542*($J$5-$H$5)*($I$5-$H$5)),$J$5-SQRT((1-N542)*($J$5-$H$5)*($J$5-$I$5)))</f>
        <v/>
      </c>
      <c r="C542" s="17">
        <f>IF(O542&lt;$K$6,$H$6+SQRT(O542*($J$6-$H$6)*($I$6-$H$6)),$J$6-SQRT((1-O542)*($J$6-$H$6)*($J$6-$I$6)))</f>
        <v/>
      </c>
      <c r="D542" s="17">
        <f>IF(P542&lt;$K$7,$H$7+SQRT(P542*($J$7-$H$7)*($I$7-$H$7)),$J$7-SQRT((1-P542)*($J$7-$H$7)*($J$7-$I$7)))</f>
        <v/>
      </c>
      <c r="E542" s="17">
        <f>SUM(B542:D542)</f>
        <v/>
      </c>
      <c r="N542" s="16">
        <f>RAND()</f>
        <v/>
      </c>
      <c r="O542" s="16">
        <f>RAND()</f>
        <v/>
      </c>
      <c r="P542" s="16">
        <f>RAND()</f>
        <v/>
      </c>
    </row>
    <row r="543">
      <c r="A543" s="13" t="n">
        <v>539</v>
      </c>
      <c r="B543" s="17">
        <f>IF(N543&lt;$K$5,$H$5+SQRT(N543*($J$5-$H$5)*($I$5-$H$5)),$J$5-SQRT((1-N543)*($J$5-$H$5)*($J$5-$I$5)))</f>
        <v/>
      </c>
      <c r="C543" s="17">
        <f>IF(O543&lt;$K$6,$H$6+SQRT(O543*($J$6-$H$6)*($I$6-$H$6)),$J$6-SQRT((1-O543)*($J$6-$H$6)*($J$6-$I$6)))</f>
        <v/>
      </c>
      <c r="D543" s="17">
        <f>IF(P543&lt;$K$7,$H$7+SQRT(P543*($J$7-$H$7)*($I$7-$H$7)),$J$7-SQRT((1-P543)*($J$7-$H$7)*($J$7-$I$7)))</f>
        <v/>
      </c>
      <c r="E543" s="17">
        <f>SUM(B543:D543)</f>
        <v/>
      </c>
      <c r="N543" s="16">
        <f>RAND()</f>
        <v/>
      </c>
      <c r="O543" s="16">
        <f>RAND()</f>
        <v/>
      </c>
      <c r="P543" s="16">
        <f>RAND()</f>
        <v/>
      </c>
    </row>
    <row r="544">
      <c r="A544" s="13" t="n">
        <v>540</v>
      </c>
      <c r="B544" s="17">
        <f>IF(N544&lt;$K$5,$H$5+SQRT(N544*($J$5-$H$5)*($I$5-$H$5)),$J$5-SQRT((1-N544)*($J$5-$H$5)*($J$5-$I$5)))</f>
        <v/>
      </c>
      <c r="C544" s="17">
        <f>IF(O544&lt;$K$6,$H$6+SQRT(O544*($J$6-$H$6)*($I$6-$H$6)),$J$6-SQRT((1-O544)*($J$6-$H$6)*($J$6-$I$6)))</f>
        <v/>
      </c>
      <c r="D544" s="17">
        <f>IF(P544&lt;$K$7,$H$7+SQRT(P544*($J$7-$H$7)*($I$7-$H$7)),$J$7-SQRT((1-P544)*($J$7-$H$7)*($J$7-$I$7)))</f>
        <v/>
      </c>
      <c r="E544" s="17">
        <f>SUM(B544:D544)</f>
        <v/>
      </c>
      <c r="N544" s="16">
        <f>RAND()</f>
        <v/>
      </c>
      <c r="O544" s="16">
        <f>RAND()</f>
        <v/>
      </c>
      <c r="P544" s="16">
        <f>RAND()</f>
        <v/>
      </c>
    </row>
    <row r="545">
      <c r="A545" s="13" t="n">
        <v>541</v>
      </c>
      <c r="B545" s="17">
        <f>IF(N545&lt;$K$5,$H$5+SQRT(N545*($J$5-$H$5)*($I$5-$H$5)),$J$5-SQRT((1-N545)*($J$5-$H$5)*($J$5-$I$5)))</f>
        <v/>
      </c>
      <c r="C545" s="17">
        <f>IF(O545&lt;$K$6,$H$6+SQRT(O545*($J$6-$H$6)*($I$6-$H$6)),$J$6-SQRT((1-O545)*($J$6-$H$6)*($J$6-$I$6)))</f>
        <v/>
      </c>
      <c r="D545" s="17">
        <f>IF(P545&lt;$K$7,$H$7+SQRT(P545*($J$7-$H$7)*($I$7-$H$7)),$J$7-SQRT((1-P545)*($J$7-$H$7)*($J$7-$I$7)))</f>
        <v/>
      </c>
      <c r="E545" s="17">
        <f>SUM(B545:D545)</f>
        <v/>
      </c>
      <c r="N545" s="16">
        <f>RAND()</f>
        <v/>
      </c>
      <c r="O545" s="16">
        <f>RAND()</f>
        <v/>
      </c>
      <c r="P545" s="16">
        <f>RAND()</f>
        <v/>
      </c>
    </row>
    <row r="546">
      <c r="A546" s="13" t="n">
        <v>542</v>
      </c>
      <c r="B546" s="17">
        <f>IF(N546&lt;$K$5,$H$5+SQRT(N546*($J$5-$H$5)*($I$5-$H$5)),$J$5-SQRT((1-N546)*($J$5-$H$5)*($J$5-$I$5)))</f>
        <v/>
      </c>
      <c r="C546" s="17">
        <f>IF(O546&lt;$K$6,$H$6+SQRT(O546*($J$6-$H$6)*($I$6-$H$6)),$J$6-SQRT((1-O546)*($J$6-$H$6)*($J$6-$I$6)))</f>
        <v/>
      </c>
      <c r="D546" s="17">
        <f>IF(P546&lt;$K$7,$H$7+SQRT(P546*($J$7-$H$7)*($I$7-$H$7)),$J$7-SQRT((1-P546)*($J$7-$H$7)*($J$7-$I$7)))</f>
        <v/>
      </c>
      <c r="E546" s="17">
        <f>SUM(B546:D546)</f>
        <v/>
      </c>
      <c r="N546" s="16">
        <f>RAND()</f>
        <v/>
      </c>
      <c r="O546" s="16">
        <f>RAND()</f>
        <v/>
      </c>
      <c r="P546" s="16">
        <f>RAND()</f>
        <v/>
      </c>
    </row>
    <row r="547">
      <c r="A547" s="13" t="n">
        <v>543</v>
      </c>
      <c r="B547" s="17">
        <f>IF(N547&lt;$K$5,$H$5+SQRT(N547*($J$5-$H$5)*($I$5-$H$5)),$J$5-SQRT((1-N547)*($J$5-$H$5)*($J$5-$I$5)))</f>
        <v/>
      </c>
      <c r="C547" s="17">
        <f>IF(O547&lt;$K$6,$H$6+SQRT(O547*($J$6-$H$6)*($I$6-$H$6)),$J$6-SQRT((1-O547)*($J$6-$H$6)*($J$6-$I$6)))</f>
        <v/>
      </c>
      <c r="D547" s="17">
        <f>IF(P547&lt;$K$7,$H$7+SQRT(P547*($J$7-$H$7)*($I$7-$H$7)),$J$7-SQRT((1-P547)*($J$7-$H$7)*($J$7-$I$7)))</f>
        <v/>
      </c>
      <c r="E547" s="17">
        <f>SUM(B547:D547)</f>
        <v/>
      </c>
      <c r="N547" s="16">
        <f>RAND()</f>
        <v/>
      </c>
      <c r="O547" s="16">
        <f>RAND()</f>
        <v/>
      </c>
      <c r="P547" s="16">
        <f>RAND()</f>
        <v/>
      </c>
    </row>
    <row r="548">
      <c r="A548" s="13" t="n">
        <v>544</v>
      </c>
      <c r="B548" s="17">
        <f>IF(N548&lt;$K$5,$H$5+SQRT(N548*($J$5-$H$5)*($I$5-$H$5)),$J$5-SQRT((1-N548)*($J$5-$H$5)*($J$5-$I$5)))</f>
        <v/>
      </c>
      <c r="C548" s="17">
        <f>IF(O548&lt;$K$6,$H$6+SQRT(O548*($J$6-$H$6)*($I$6-$H$6)),$J$6-SQRT((1-O548)*($J$6-$H$6)*($J$6-$I$6)))</f>
        <v/>
      </c>
      <c r="D548" s="17">
        <f>IF(P548&lt;$K$7,$H$7+SQRT(P548*($J$7-$H$7)*($I$7-$H$7)),$J$7-SQRT((1-P548)*($J$7-$H$7)*($J$7-$I$7)))</f>
        <v/>
      </c>
      <c r="E548" s="17">
        <f>SUM(B548:D548)</f>
        <v/>
      </c>
      <c r="N548" s="16">
        <f>RAND()</f>
        <v/>
      </c>
      <c r="O548" s="16">
        <f>RAND()</f>
        <v/>
      </c>
      <c r="P548" s="16">
        <f>RAND()</f>
        <v/>
      </c>
    </row>
    <row r="549">
      <c r="A549" s="13" t="n">
        <v>545</v>
      </c>
      <c r="B549" s="17">
        <f>IF(N549&lt;$K$5,$H$5+SQRT(N549*($J$5-$H$5)*($I$5-$H$5)),$J$5-SQRT((1-N549)*($J$5-$H$5)*($J$5-$I$5)))</f>
        <v/>
      </c>
      <c r="C549" s="17">
        <f>IF(O549&lt;$K$6,$H$6+SQRT(O549*($J$6-$H$6)*($I$6-$H$6)),$J$6-SQRT((1-O549)*($J$6-$H$6)*($J$6-$I$6)))</f>
        <v/>
      </c>
      <c r="D549" s="17">
        <f>IF(P549&lt;$K$7,$H$7+SQRT(P549*($J$7-$H$7)*($I$7-$H$7)),$J$7-SQRT((1-P549)*($J$7-$H$7)*($J$7-$I$7)))</f>
        <v/>
      </c>
      <c r="E549" s="17">
        <f>SUM(B549:D549)</f>
        <v/>
      </c>
      <c r="N549" s="16">
        <f>RAND()</f>
        <v/>
      </c>
      <c r="O549" s="16">
        <f>RAND()</f>
        <v/>
      </c>
      <c r="P549" s="16">
        <f>RAND()</f>
        <v/>
      </c>
    </row>
    <row r="550">
      <c r="A550" s="13" t="n">
        <v>546</v>
      </c>
      <c r="B550" s="17">
        <f>IF(N550&lt;$K$5,$H$5+SQRT(N550*($J$5-$H$5)*($I$5-$H$5)),$J$5-SQRT((1-N550)*($J$5-$H$5)*($J$5-$I$5)))</f>
        <v/>
      </c>
      <c r="C550" s="17">
        <f>IF(O550&lt;$K$6,$H$6+SQRT(O550*($J$6-$H$6)*($I$6-$H$6)),$J$6-SQRT((1-O550)*($J$6-$H$6)*($J$6-$I$6)))</f>
        <v/>
      </c>
      <c r="D550" s="17">
        <f>IF(P550&lt;$K$7,$H$7+SQRT(P550*($J$7-$H$7)*($I$7-$H$7)),$J$7-SQRT((1-P550)*($J$7-$H$7)*($J$7-$I$7)))</f>
        <v/>
      </c>
      <c r="E550" s="17">
        <f>SUM(B550:D550)</f>
        <v/>
      </c>
      <c r="N550" s="16">
        <f>RAND()</f>
        <v/>
      </c>
      <c r="O550" s="16">
        <f>RAND()</f>
        <v/>
      </c>
      <c r="P550" s="16">
        <f>RAND()</f>
        <v/>
      </c>
    </row>
    <row r="551">
      <c r="A551" s="13" t="n">
        <v>547</v>
      </c>
      <c r="B551" s="17">
        <f>IF(N551&lt;$K$5,$H$5+SQRT(N551*($J$5-$H$5)*($I$5-$H$5)),$J$5-SQRT((1-N551)*($J$5-$H$5)*($J$5-$I$5)))</f>
        <v/>
      </c>
      <c r="C551" s="17">
        <f>IF(O551&lt;$K$6,$H$6+SQRT(O551*($J$6-$H$6)*($I$6-$H$6)),$J$6-SQRT((1-O551)*($J$6-$H$6)*($J$6-$I$6)))</f>
        <v/>
      </c>
      <c r="D551" s="17">
        <f>IF(P551&lt;$K$7,$H$7+SQRT(P551*($J$7-$H$7)*($I$7-$H$7)),$J$7-SQRT((1-P551)*($J$7-$H$7)*($J$7-$I$7)))</f>
        <v/>
      </c>
      <c r="E551" s="17">
        <f>SUM(B551:D551)</f>
        <v/>
      </c>
      <c r="N551" s="16">
        <f>RAND()</f>
        <v/>
      </c>
      <c r="O551" s="16">
        <f>RAND()</f>
        <v/>
      </c>
      <c r="P551" s="16">
        <f>RAND()</f>
        <v/>
      </c>
    </row>
    <row r="552">
      <c r="A552" s="13" t="n">
        <v>548</v>
      </c>
      <c r="B552" s="17">
        <f>IF(N552&lt;$K$5,$H$5+SQRT(N552*($J$5-$H$5)*($I$5-$H$5)),$J$5-SQRT((1-N552)*($J$5-$H$5)*($J$5-$I$5)))</f>
        <v/>
      </c>
      <c r="C552" s="17">
        <f>IF(O552&lt;$K$6,$H$6+SQRT(O552*($J$6-$H$6)*($I$6-$H$6)),$J$6-SQRT((1-O552)*($J$6-$H$6)*($J$6-$I$6)))</f>
        <v/>
      </c>
      <c r="D552" s="17">
        <f>IF(P552&lt;$K$7,$H$7+SQRT(P552*($J$7-$H$7)*($I$7-$H$7)),$J$7-SQRT((1-P552)*($J$7-$H$7)*($J$7-$I$7)))</f>
        <v/>
      </c>
      <c r="E552" s="17">
        <f>SUM(B552:D552)</f>
        <v/>
      </c>
      <c r="N552" s="16">
        <f>RAND()</f>
        <v/>
      </c>
      <c r="O552" s="16">
        <f>RAND()</f>
        <v/>
      </c>
      <c r="P552" s="16">
        <f>RAND()</f>
        <v/>
      </c>
    </row>
    <row r="553">
      <c r="A553" s="13" t="n">
        <v>549</v>
      </c>
      <c r="B553" s="17">
        <f>IF(N553&lt;$K$5,$H$5+SQRT(N553*($J$5-$H$5)*($I$5-$H$5)),$J$5-SQRT((1-N553)*($J$5-$H$5)*($J$5-$I$5)))</f>
        <v/>
      </c>
      <c r="C553" s="17">
        <f>IF(O553&lt;$K$6,$H$6+SQRT(O553*($J$6-$H$6)*($I$6-$H$6)),$J$6-SQRT((1-O553)*($J$6-$H$6)*($J$6-$I$6)))</f>
        <v/>
      </c>
      <c r="D553" s="17">
        <f>IF(P553&lt;$K$7,$H$7+SQRT(P553*($J$7-$H$7)*($I$7-$H$7)),$J$7-SQRT((1-P553)*($J$7-$H$7)*($J$7-$I$7)))</f>
        <v/>
      </c>
      <c r="E553" s="17">
        <f>SUM(B553:D553)</f>
        <v/>
      </c>
      <c r="N553" s="16">
        <f>RAND()</f>
        <v/>
      </c>
      <c r="O553" s="16">
        <f>RAND()</f>
        <v/>
      </c>
      <c r="P553" s="16">
        <f>RAND()</f>
        <v/>
      </c>
    </row>
    <row r="554">
      <c r="A554" s="13" t="n">
        <v>550</v>
      </c>
      <c r="B554" s="17">
        <f>IF(N554&lt;$K$5,$H$5+SQRT(N554*($J$5-$H$5)*($I$5-$H$5)),$J$5-SQRT((1-N554)*($J$5-$H$5)*($J$5-$I$5)))</f>
        <v/>
      </c>
      <c r="C554" s="17">
        <f>IF(O554&lt;$K$6,$H$6+SQRT(O554*($J$6-$H$6)*($I$6-$H$6)),$J$6-SQRT((1-O554)*($J$6-$H$6)*($J$6-$I$6)))</f>
        <v/>
      </c>
      <c r="D554" s="17">
        <f>IF(P554&lt;$K$7,$H$7+SQRT(P554*($J$7-$H$7)*($I$7-$H$7)),$J$7-SQRT((1-P554)*($J$7-$H$7)*($J$7-$I$7)))</f>
        <v/>
      </c>
      <c r="E554" s="17">
        <f>SUM(B554:D554)</f>
        <v/>
      </c>
      <c r="N554" s="16">
        <f>RAND()</f>
        <v/>
      </c>
      <c r="O554" s="16">
        <f>RAND()</f>
        <v/>
      </c>
      <c r="P554" s="16">
        <f>RAND()</f>
        <v/>
      </c>
    </row>
    <row r="555">
      <c r="A555" s="13" t="n">
        <v>551</v>
      </c>
      <c r="B555" s="17">
        <f>IF(N555&lt;$K$5,$H$5+SQRT(N555*($J$5-$H$5)*($I$5-$H$5)),$J$5-SQRT((1-N555)*($J$5-$H$5)*($J$5-$I$5)))</f>
        <v/>
      </c>
      <c r="C555" s="17">
        <f>IF(O555&lt;$K$6,$H$6+SQRT(O555*($J$6-$H$6)*($I$6-$H$6)),$J$6-SQRT((1-O555)*($J$6-$H$6)*($J$6-$I$6)))</f>
        <v/>
      </c>
      <c r="D555" s="17">
        <f>IF(P555&lt;$K$7,$H$7+SQRT(P555*($J$7-$H$7)*($I$7-$H$7)),$J$7-SQRT((1-P555)*($J$7-$H$7)*($J$7-$I$7)))</f>
        <v/>
      </c>
      <c r="E555" s="17">
        <f>SUM(B555:D555)</f>
        <v/>
      </c>
      <c r="N555" s="16">
        <f>RAND()</f>
        <v/>
      </c>
      <c r="O555" s="16">
        <f>RAND()</f>
        <v/>
      </c>
      <c r="P555" s="16">
        <f>RAND()</f>
        <v/>
      </c>
    </row>
    <row r="556">
      <c r="A556" s="13" t="n">
        <v>552</v>
      </c>
      <c r="B556" s="17">
        <f>IF(N556&lt;$K$5,$H$5+SQRT(N556*($J$5-$H$5)*($I$5-$H$5)),$J$5-SQRT((1-N556)*($J$5-$H$5)*($J$5-$I$5)))</f>
        <v/>
      </c>
      <c r="C556" s="17">
        <f>IF(O556&lt;$K$6,$H$6+SQRT(O556*($J$6-$H$6)*($I$6-$H$6)),$J$6-SQRT((1-O556)*($J$6-$H$6)*($J$6-$I$6)))</f>
        <v/>
      </c>
      <c r="D556" s="17">
        <f>IF(P556&lt;$K$7,$H$7+SQRT(P556*($J$7-$H$7)*($I$7-$H$7)),$J$7-SQRT((1-P556)*($J$7-$H$7)*($J$7-$I$7)))</f>
        <v/>
      </c>
      <c r="E556" s="17">
        <f>SUM(B556:D556)</f>
        <v/>
      </c>
      <c r="N556" s="16">
        <f>RAND()</f>
        <v/>
      </c>
      <c r="O556" s="16">
        <f>RAND()</f>
        <v/>
      </c>
      <c r="P556" s="16">
        <f>RAND()</f>
        <v/>
      </c>
    </row>
    <row r="557">
      <c r="A557" s="13" t="n">
        <v>553</v>
      </c>
      <c r="B557" s="17">
        <f>IF(N557&lt;$K$5,$H$5+SQRT(N557*($J$5-$H$5)*($I$5-$H$5)),$J$5-SQRT((1-N557)*($J$5-$H$5)*($J$5-$I$5)))</f>
        <v/>
      </c>
      <c r="C557" s="17">
        <f>IF(O557&lt;$K$6,$H$6+SQRT(O557*($J$6-$H$6)*($I$6-$H$6)),$J$6-SQRT((1-O557)*($J$6-$H$6)*($J$6-$I$6)))</f>
        <v/>
      </c>
      <c r="D557" s="17">
        <f>IF(P557&lt;$K$7,$H$7+SQRT(P557*($J$7-$H$7)*($I$7-$H$7)),$J$7-SQRT((1-P557)*($J$7-$H$7)*($J$7-$I$7)))</f>
        <v/>
      </c>
      <c r="E557" s="17">
        <f>SUM(B557:D557)</f>
        <v/>
      </c>
      <c r="N557" s="16">
        <f>RAND()</f>
        <v/>
      </c>
      <c r="O557" s="16">
        <f>RAND()</f>
        <v/>
      </c>
      <c r="P557" s="16">
        <f>RAND()</f>
        <v/>
      </c>
    </row>
    <row r="558">
      <c r="A558" s="13" t="n">
        <v>554</v>
      </c>
      <c r="B558" s="17">
        <f>IF(N558&lt;$K$5,$H$5+SQRT(N558*($J$5-$H$5)*($I$5-$H$5)),$J$5-SQRT((1-N558)*($J$5-$H$5)*($J$5-$I$5)))</f>
        <v/>
      </c>
      <c r="C558" s="17">
        <f>IF(O558&lt;$K$6,$H$6+SQRT(O558*($J$6-$H$6)*($I$6-$H$6)),$J$6-SQRT((1-O558)*($J$6-$H$6)*($J$6-$I$6)))</f>
        <v/>
      </c>
      <c r="D558" s="17">
        <f>IF(P558&lt;$K$7,$H$7+SQRT(P558*($J$7-$H$7)*($I$7-$H$7)),$J$7-SQRT((1-P558)*($J$7-$H$7)*($J$7-$I$7)))</f>
        <v/>
      </c>
      <c r="E558" s="17">
        <f>SUM(B558:D558)</f>
        <v/>
      </c>
      <c r="N558" s="16">
        <f>RAND()</f>
        <v/>
      </c>
      <c r="O558" s="16">
        <f>RAND()</f>
        <v/>
      </c>
      <c r="P558" s="16">
        <f>RAND()</f>
        <v/>
      </c>
    </row>
    <row r="559">
      <c r="A559" s="13" t="n">
        <v>555</v>
      </c>
      <c r="B559" s="17">
        <f>IF(N559&lt;$K$5,$H$5+SQRT(N559*($J$5-$H$5)*($I$5-$H$5)),$J$5-SQRT((1-N559)*($J$5-$H$5)*($J$5-$I$5)))</f>
        <v/>
      </c>
      <c r="C559" s="17">
        <f>IF(O559&lt;$K$6,$H$6+SQRT(O559*($J$6-$H$6)*($I$6-$H$6)),$J$6-SQRT((1-O559)*($J$6-$H$6)*($J$6-$I$6)))</f>
        <v/>
      </c>
      <c r="D559" s="17">
        <f>IF(P559&lt;$K$7,$H$7+SQRT(P559*($J$7-$H$7)*($I$7-$H$7)),$J$7-SQRT((1-P559)*($J$7-$H$7)*($J$7-$I$7)))</f>
        <v/>
      </c>
      <c r="E559" s="17">
        <f>SUM(B559:D559)</f>
        <v/>
      </c>
      <c r="N559" s="16">
        <f>RAND()</f>
        <v/>
      </c>
      <c r="O559" s="16">
        <f>RAND()</f>
        <v/>
      </c>
      <c r="P559" s="16">
        <f>RAND()</f>
        <v/>
      </c>
    </row>
    <row r="560">
      <c r="A560" s="13" t="n">
        <v>556</v>
      </c>
      <c r="B560" s="17">
        <f>IF(N560&lt;$K$5,$H$5+SQRT(N560*($J$5-$H$5)*($I$5-$H$5)),$J$5-SQRT((1-N560)*($J$5-$H$5)*($J$5-$I$5)))</f>
        <v/>
      </c>
      <c r="C560" s="17">
        <f>IF(O560&lt;$K$6,$H$6+SQRT(O560*($J$6-$H$6)*($I$6-$H$6)),$J$6-SQRT((1-O560)*($J$6-$H$6)*($J$6-$I$6)))</f>
        <v/>
      </c>
      <c r="D560" s="17">
        <f>IF(P560&lt;$K$7,$H$7+SQRT(P560*($J$7-$H$7)*($I$7-$H$7)),$J$7-SQRT((1-P560)*($J$7-$H$7)*($J$7-$I$7)))</f>
        <v/>
      </c>
      <c r="E560" s="17">
        <f>SUM(B560:D560)</f>
        <v/>
      </c>
      <c r="N560" s="16">
        <f>RAND()</f>
        <v/>
      </c>
      <c r="O560" s="16">
        <f>RAND()</f>
        <v/>
      </c>
      <c r="P560" s="16">
        <f>RAND()</f>
        <v/>
      </c>
    </row>
    <row r="561">
      <c r="A561" s="13" t="n">
        <v>557</v>
      </c>
      <c r="B561" s="17">
        <f>IF(N561&lt;$K$5,$H$5+SQRT(N561*($J$5-$H$5)*($I$5-$H$5)),$J$5-SQRT((1-N561)*($J$5-$H$5)*($J$5-$I$5)))</f>
        <v/>
      </c>
      <c r="C561" s="17">
        <f>IF(O561&lt;$K$6,$H$6+SQRT(O561*($J$6-$H$6)*($I$6-$H$6)),$J$6-SQRT((1-O561)*($J$6-$H$6)*($J$6-$I$6)))</f>
        <v/>
      </c>
      <c r="D561" s="17">
        <f>IF(P561&lt;$K$7,$H$7+SQRT(P561*($J$7-$H$7)*($I$7-$H$7)),$J$7-SQRT((1-P561)*($J$7-$H$7)*($J$7-$I$7)))</f>
        <v/>
      </c>
      <c r="E561" s="17">
        <f>SUM(B561:D561)</f>
        <v/>
      </c>
      <c r="N561" s="16">
        <f>RAND()</f>
        <v/>
      </c>
      <c r="O561" s="16">
        <f>RAND()</f>
        <v/>
      </c>
      <c r="P561" s="16">
        <f>RAND()</f>
        <v/>
      </c>
    </row>
    <row r="562">
      <c r="A562" s="13" t="n">
        <v>558</v>
      </c>
      <c r="B562" s="17">
        <f>IF(N562&lt;$K$5,$H$5+SQRT(N562*($J$5-$H$5)*($I$5-$H$5)),$J$5-SQRT((1-N562)*($J$5-$H$5)*($J$5-$I$5)))</f>
        <v/>
      </c>
      <c r="C562" s="17">
        <f>IF(O562&lt;$K$6,$H$6+SQRT(O562*($J$6-$H$6)*($I$6-$H$6)),$J$6-SQRT((1-O562)*($J$6-$H$6)*($J$6-$I$6)))</f>
        <v/>
      </c>
      <c r="D562" s="17">
        <f>IF(P562&lt;$K$7,$H$7+SQRT(P562*($J$7-$H$7)*($I$7-$H$7)),$J$7-SQRT((1-P562)*($J$7-$H$7)*($J$7-$I$7)))</f>
        <v/>
      </c>
      <c r="E562" s="17">
        <f>SUM(B562:D562)</f>
        <v/>
      </c>
      <c r="N562" s="16">
        <f>RAND()</f>
        <v/>
      </c>
      <c r="O562" s="16">
        <f>RAND()</f>
        <v/>
      </c>
      <c r="P562" s="16">
        <f>RAND()</f>
        <v/>
      </c>
    </row>
    <row r="563">
      <c r="A563" s="13" t="n">
        <v>559</v>
      </c>
      <c r="B563" s="17">
        <f>IF(N563&lt;$K$5,$H$5+SQRT(N563*($J$5-$H$5)*($I$5-$H$5)),$J$5-SQRT((1-N563)*($J$5-$H$5)*($J$5-$I$5)))</f>
        <v/>
      </c>
      <c r="C563" s="17">
        <f>IF(O563&lt;$K$6,$H$6+SQRT(O563*($J$6-$H$6)*($I$6-$H$6)),$J$6-SQRT((1-O563)*($J$6-$H$6)*($J$6-$I$6)))</f>
        <v/>
      </c>
      <c r="D563" s="17">
        <f>IF(P563&lt;$K$7,$H$7+SQRT(P563*($J$7-$H$7)*($I$7-$H$7)),$J$7-SQRT((1-P563)*($J$7-$H$7)*($J$7-$I$7)))</f>
        <v/>
      </c>
      <c r="E563" s="17">
        <f>SUM(B563:D563)</f>
        <v/>
      </c>
      <c r="N563" s="16">
        <f>RAND()</f>
        <v/>
      </c>
      <c r="O563" s="16">
        <f>RAND()</f>
        <v/>
      </c>
      <c r="P563" s="16">
        <f>RAND()</f>
        <v/>
      </c>
    </row>
    <row r="564">
      <c r="A564" s="13" t="n">
        <v>560</v>
      </c>
      <c r="B564" s="17">
        <f>IF(N564&lt;$K$5,$H$5+SQRT(N564*($J$5-$H$5)*($I$5-$H$5)),$J$5-SQRT((1-N564)*($J$5-$H$5)*($J$5-$I$5)))</f>
        <v/>
      </c>
      <c r="C564" s="17">
        <f>IF(O564&lt;$K$6,$H$6+SQRT(O564*($J$6-$H$6)*($I$6-$H$6)),$J$6-SQRT((1-O564)*($J$6-$H$6)*($J$6-$I$6)))</f>
        <v/>
      </c>
      <c r="D564" s="17">
        <f>IF(P564&lt;$K$7,$H$7+SQRT(P564*($J$7-$H$7)*($I$7-$H$7)),$J$7-SQRT((1-P564)*($J$7-$H$7)*($J$7-$I$7)))</f>
        <v/>
      </c>
      <c r="E564" s="17">
        <f>SUM(B564:D564)</f>
        <v/>
      </c>
      <c r="N564" s="16">
        <f>RAND()</f>
        <v/>
      </c>
      <c r="O564" s="16">
        <f>RAND()</f>
        <v/>
      </c>
      <c r="P564" s="16">
        <f>RAND()</f>
        <v/>
      </c>
    </row>
    <row r="565">
      <c r="A565" s="13" t="n">
        <v>561</v>
      </c>
      <c r="B565" s="17">
        <f>IF(N565&lt;$K$5,$H$5+SQRT(N565*($J$5-$H$5)*($I$5-$H$5)),$J$5-SQRT((1-N565)*($J$5-$H$5)*($J$5-$I$5)))</f>
        <v/>
      </c>
      <c r="C565" s="17">
        <f>IF(O565&lt;$K$6,$H$6+SQRT(O565*($J$6-$H$6)*($I$6-$H$6)),$J$6-SQRT((1-O565)*($J$6-$H$6)*($J$6-$I$6)))</f>
        <v/>
      </c>
      <c r="D565" s="17">
        <f>IF(P565&lt;$K$7,$H$7+SQRT(P565*($J$7-$H$7)*($I$7-$H$7)),$J$7-SQRT((1-P565)*($J$7-$H$7)*($J$7-$I$7)))</f>
        <v/>
      </c>
      <c r="E565" s="17">
        <f>SUM(B565:D565)</f>
        <v/>
      </c>
      <c r="N565" s="16">
        <f>RAND()</f>
        <v/>
      </c>
      <c r="O565" s="16">
        <f>RAND()</f>
        <v/>
      </c>
      <c r="P565" s="16">
        <f>RAND()</f>
        <v/>
      </c>
    </row>
    <row r="566">
      <c r="A566" s="13" t="n">
        <v>562</v>
      </c>
      <c r="B566" s="17">
        <f>IF(N566&lt;$K$5,$H$5+SQRT(N566*($J$5-$H$5)*($I$5-$H$5)),$J$5-SQRT((1-N566)*($J$5-$H$5)*($J$5-$I$5)))</f>
        <v/>
      </c>
      <c r="C566" s="17">
        <f>IF(O566&lt;$K$6,$H$6+SQRT(O566*($J$6-$H$6)*($I$6-$H$6)),$J$6-SQRT((1-O566)*($J$6-$H$6)*($J$6-$I$6)))</f>
        <v/>
      </c>
      <c r="D566" s="17">
        <f>IF(P566&lt;$K$7,$H$7+SQRT(P566*($J$7-$H$7)*($I$7-$H$7)),$J$7-SQRT((1-P566)*($J$7-$H$7)*($J$7-$I$7)))</f>
        <v/>
      </c>
      <c r="E566" s="17">
        <f>SUM(B566:D566)</f>
        <v/>
      </c>
      <c r="N566" s="16">
        <f>RAND()</f>
        <v/>
      </c>
      <c r="O566" s="16">
        <f>RAND()</f>
        <v/>
      </c>
      <c r="P566" s="16">
        <f>RAND()</f>
        <v/>
      </c>
    </row>
    <row r="567">
      <c r="A567" s="13" t="n">
        <v>563</v>
      </c>
      <c r="B567" s="17">
        <f>IF(N567&lt;$K$5,$H$5+SQRT(N567*($J$5-$H$5)*($I$5-$H$5)),$J$5-SQRT((1-N567)*($J$5-$H$5)*($J$5-$I$5)))</f>
        <v/>
      </c>
      <c r="C567" s="17">
        <f>IF(O567&lt;$K$6,$H$6+SQRT(O567*($J$6-$H$6)*($I$6-$H$6)),$J$6-SQRT((1-O567)*($J$6-$H$6)*($J$6-$I$6)))</f>
        <v/>
      </c>
      <c r="D567" s="17">
        <f>IF(P567&lt;$K$7,$H$7+SQRT(P567*($J$7-$H$7)*($I$7-$H$7)),$J$7-SQRT((1-P567)*($J$7-$H$7)*($J$7-$I$7)))</f>
        <v/>
      </c>
      <c r="E567" s="17">
        <f>SUM(B567:D567)</f>
        <v/>
      </c>
      <c r="N567" s="16">
        <f>RAND()</f>
        <v/>
      </c>
      <c r="O567" s="16">
        <f>RAND()</f>
        <v/>
      </c>
      <c r="P567" s="16">
        <f>RAND()</f>
        <v/>
      </c>
    </row>
    <row r="568">
      <c r="A568" s="13" t="n">
        <v>564</v>
      </c>
      <c r="B568" s="17">
        <f>IF(N568&lt;$K$5,$H$5+SQRT(N568*($J$5-$H$5)*($I$5-$H$5)),$J$5-SQRT((1-N568)*($J$5-$H$5)*($J$5-$I$5)))</f>
        <v/>
      </c>
      <c r="C568" s="17">
        <f>IF(O568&lt;$K$6,$H$6+SQRT(O568*($J$6-$H$6)*($I$6-$H$6)),$J$6-SQRT((1-O568)*($J$6-$H$6)*($J$6-$I$6)))</f>
        <v/>
      </c>
      <c r="D568" s="17">
        <f>IF(P568&lt;$K$7,$H$7+SQRT(P568*($J$7-$H$7)*($I$7-$H$7)),$J$7-SQRT((1-P568)*($J$7-$H$7)*($J$7-$I$7)))</f>
        <v/>
      </c>
      <c r="E568" s="17">
        <f>SUM(B568:D568)</f>
        <v/>
      </c>
      <c r="N568" s="16">
        <f>RAND()</f>
        <v/>
      </c>
      <c r="O568" s="16">
        <f>RAND()</f>
        <v/>
      </c>
      <c r="P568" s="16">
        <f>RAND()</f>
        <v/>
      </c>
    </row>
    <row r="569">
      <c r="A569" s="13" t="n">
        <v>565</v>
      </c>
      <c r="B569" s="17">
        <f>IF(N569&lt;$K$5,$H$5+SQRT(N569*($J$5-$H$5)*($I$5-$H$5)),$J$5-SQRT((1-N569)*($J$5-$H$5)*($J$5-$I$5)))</f>
        <v/>
      </c>
      <c r="C569" s="17">
        <f>IF(O569&lt;$K$6,$H$6+SQRT(O569*($J$6-$H$6)*($I$6-$H$6)),$J$6-SQRT((1-O569)*($J$6-$H$6)*($J$6-$I$6)))</f>
        <v/>
      </c>
      <c r="D569" s="17">
        <f>IF(P569&lt;$K$7,$H$7+SQRT(P569*($J$7-$H$7)*($I$7-$H$7)),$J$7-SQRT((1-P569)*($J$7-$H$7)*($J$7-$I$7)))</f>
        <v/>
      </c>
      <c r="E569" s="17">
        <f>SUM(B569:D569)</f>
        <v/>
      </c>
      <c r="N569" s="16">
        <f>RAND()</f>
        <v/>
      </c>
      <c r="O569" s="16">
        <f>RAND()</f>
        <v/>
      </c>
      <c r="P569" s="16">
        <f>RAND()</f>
        <v/>
      </c>
    </row>
    <row r="570">
      <c r="A570" s="13" t="n">
        <v>566</v>
      </c>
      <c r="B570" s="17">
        <f>IF(N570&lt;$K$5,$H$5+SQRT(N570*($J$5-$H$5)*($I$5-$H$5)),$J$5-SQRT((1-N570)*($J$5-$H$5)*($J$5-$I$5)))</f>
        <v/>
      </c>
      <c r="C570" s="17">
        <f>IF(O570&lt;$K$6,$H$6+SQRT(O570*($J$6-$H$6)*($I$6-$H$6)),$J$6-SQRT((1-O570)*($J$6-$H$6)*($J$6-$I$6)))</f>
        <v/>
      </c>
      <c r="D570" s="17">
        <f>IF(P570&lt;$K$7,$H$7+SQRT(P570*($J$7-$H$7)*($I$7-$H$7)),$J$7-SQRT((1-P570)*($J$7-$H$7)*($J$7-$I$7)))</f>
        <v/>
      </c>
      <c r="E570" s="17">
        <f>SUM(B570:D570)</f>
        <v/>
      </c>
      <c r="N570" s="16">
        <f>RAND()</f>
        <v/>
      </c>
      <c r="O570" s="16">
        <f>RAND()</f>
        <v/>
      </c>
      <c r="P570" s="16">
        <f>RAND()</f>
        <v/>
      </c>
    </row>
    <row r="571">
      <c r="A571" s="13" t="n">
        <v>567</v>
      </c>
      <c r="B571" s="17">
        <f>IF(N571&lt;$K$5,$H$5+SQRT(N571*($J$5-$H$5)*($I$5-$H$5)),$J$5-SQRT((1-N571)*($J$5-$H$5)*($J$5-$I$5)))</f>
        <v/>
      </c>
      <c r="C571" s="17">
        <f>IF(O571&lt;$K$6,$H$6+SQRT(O571*($J$6-$H$6)*($I$6-$H$6)),$J$6-SQRT((1-O571)*($J$6-$H$6)*($J$6-$I$6)))</f>
        <v/>
      </c>
      <c r="D571" s="17">
        <f>IF(P571&lt;$K$7,$H$7+SQRT(P571*($J$7-$H$7)*($I$7-$H$7)),$J$7-SQRT((1-P571)*($J$7-$H$7)*($J$7-$I$7)))</f>
        <v/>
      </c>
      <c r="E571" s="17">
        <f>SUM(B571:D571)</f>
        <v/>
      </c>
      <c r="N571" s="16">
        <f>RAND()</f>
        <v/>
      </c>
      <c r="O571" s="16">
        <f>RAND()</f>
        <v/>
      </c>
      <c r="P571" s="16">
        <f>RAND()</f>
        <v/>
      </c>
    </row>
    <row r="572">
      <c r="A572" s="13" t="n">
        <v>568</v>
      </c>
      <c r="B572" s="17">
        <f>IF(N572&lt;$K$5,$H$5+SQRT(N572*($J$5-$H$5)*($I$5-$H$5)),$J$5-SQRT((1-N572)*($J$5-$H$5)*($J$5-$I$5)))</f>
        <v/>
      </c>
      <c r="C572" s="17">
        <f>IF(O572&lt;$K$6,$H$6+SQRT(O572*($J$6-$H$6)*($I$6-$H$6)),$J$6-SQRT((1-O572)*($J$6-$H$6)*($J$6-$I$6)))</f>
        <v/>
      </c>
      <c r="D572" s="17">
        <f>IF(P572&lt;$K$7,$H$7+SQRT(P572*($J$7-$H$7)*($I$7-$H$7)),$J$7-SQRT((1-P572)*($J$7-$H$7)*($J$7-$I$7)))</f>
        <v/>
      </c>
      <c r="E572" s="17">
        <f>SUM(B572:D572)</f>
        <v/>
      </c>
      <c r="N572" s="16">
        <f>RAND()</f>
        <v/>
      </c>
      <c r="O572" s="16">
        <f>RAND()</f>
        <v/>
      </c>
      <c r="P572" s="16">
        <f>RAND()</f>
        <v/>
      </c>
    </row>
    <row r="573">
      <c r="A573" s="13" t="n">
        <v>569</v>
      </c>
      <c r="B573" s="17">
        <f>IF(N573&lt;$K$5,$H$5+SQRT(N573*($J$5-$H$5)*($I$5-$H$5)),$J$5-SQRT((1-N573)*($J$5-$H$5)*($J$5-$I$5)))</f>
        <v/>
      </c>
      <c r="C573" s="17">
        <f>IF(O573&lt;$K$6,$H$6+SQRT(O573*($J$6-$H$6)*($I$6-$H$6)),$J$6-SQRT((1-O573)*($J$6-$H$6)*($J$6-$I$6)))</f>
        <v/>
      </c>
      <c r="D573" s="17">
        <f>IF(P573&lt;$K$7,$H$7+SQRT(P573*($J$7-$H$7)*($I$7-$H$7)),$J$7-SQRT((1-P573)*($J$7-$H$7)*($J$7-$I$7)))</f>
        <v/>
      </c>
      <c r="E573" s="17">
        <f>SUM(B573:D573)</f>
        <v/>
      </c>
      <c r="N573" s="16">
        <f>RAND()</f>
        <v/>
      </c>
      <c r="O573" s="16">
        <f>RAND()</f>
        <v/>
      </c>
      <c r="P573" s="16">
        <f>RAND()</f>
        <v/>
      </c>
    </row>
    <row r="574">
      <c r="A574" s="13" t="n">
        <v>570</v>
      </c>
      <c r="B574" s="17">
        <f>IF(N574&lt;$K$5,$H$5+SQRT(N574*($J$5-$H$5)*($I$5-$H$5)),$J$5-SQRT((1-N574)*($J$5-$H$5)*($J$5-$I$5)))</f>
        <v/>
      </c>
      <c r="C574" s="17">
        <f>IF(O574&lt;$K$6,$H$6+SQRT(O574*($J$6-$H$6)*($I$6-$H$6)),$J$6-SQRT((1-O574)*($J$6-$H$6)*($J$6-$I$6)))</f>
        <v/>
      </c>
      <c r="D574" s="17">
        <f>IF(P574&lt;$K$7,$H$7+SQRT(P574*($J$7-$H$7)*($I$7-$H$7)),$J$7-SQRT((1-P574)*($J$7-$H$7)*($J$7-$I$7)))</f>
        <v/>
      </c>
      <c r="E574" s="17">
        <f>SUM(B574:D574)</f>
        <v/>
      </c>
      <c r="N574" s="16">
        <f>RAND()</f>
        <v/>
      </c>
      <c r="O574" s="16">
        <f>RAND()</f>
        <v/>
      </c>
      <c r="P574" s="16">
        <f>RAND()</f>
        <v/>
      </c>
    </row>
    <row r="575">
      <c r="A575" s="13" t="n">
        <v>571</v>
      </c>
      <c r="B575" s="17">
        <f>IF(N575&lt;$K$5,$H$5+SQRT(N575*($J$5-$H$5)*($I$5-$H$5)),$J$5-SQRT((1-N575)*($J$5-$H$5)*($J$5-$I$5)))</f>
        <v/>
      </c>
      <c r="C575" s="17">
        <f>IF(O575&lt;$K$6,$H$6+SQRT(O575*($J$6-$H$6)*($I$6-$H$6)),$J$6-SQRT((1-O575)*($J$6-$H$6)*($J$6-$I$6)))</f>
        <v/>
      </c>
      <c r="D575" s="17">
        <f>IF(P575&lt;$K$7,$H$7+SQRT(P575*($J$7-$H$7)*($I$7-$H$7)),$J$7-SQRT((1-P575)*($J$7-$H$7)*($J$7-$I$7)))</f>
        <v/>
      </c>
      <c r="E575" s="17">
        <f>SUM(B575:D575)</f>
        <v/>
      </c>
      <c r="N575" s="16">
        <f>RAND()</f>
        <v/>
      </c>
      <c r="O575" s="16">
        <f>RAND()</f>
        <v/>
      </c>
      <c r="P575" s="16">
        <f>RAND()</f>
        <v/>
      </c>
    </row>
    <row r="576">
      <c r="A576" s="13" t="n">
        <v>572</v>
      </c>
      <c r="B576" s="17">
        <f>IF(N576&lt;$K$5,$H$5+SQRT(N576*($J$5-$H$5)*($I$5-$H$5)),$J$5-SQRT((1-N576)*($J$5-$H$5)*($J$5-$I$5)))</f>
        <v/>
      </c>
      <c r="C576" s="17">
        <f>IF(O576&lt;$K$6,$H$6+SQRT(O576*($J$6-$H$6)*($I$6-$H$6)),$J$6-SQRT((1-O576)*($J$6-$H$6)*($J$6-$I$6)))</f>
        <v/>
      </c>
      <c r="D576" s="17">
        <f>IF(P576&lt;$K$7,$H$7+SQRT(P576*($J$7-$H$7)*($I$7-$H$7)),$J$7-SQRT((1-P576)*($J$7-$H$7)*($J$7-$I$7)))</f>
        <v/>
      </c>
      <c r="E576" s="17">
        <f>SUM(B576:D576)</f>
        <v/>
      </c>
      <c r="N576" s="16">
        <f>RAND()</f>
        <v/>
      </c>
      <c r="O576" s="16">
        <f>RAND()</f>
        <v/>
      </c>
      <c r="P576" s="16">
        <f>RAND()</f>
        <v/>
      </c>
    </row>
    <row r="577">
      <c r="A577" s="13" t="n">
        <v>573</v>
      </c>
      <c r="B577" s="17">
        <f>IF(N577&lt;$K$5,$H$5+SQRT(N577*($J$5-$H$5)*($I$5-$H$5)),$J$5-SQRT((1-N577)*($J$5-$H$5)*($J$5-$I$5)))</f>
        <v/>
      </c>
      <c r="C577" s="17">
        <f>IF(O577&lt;$K$6,$H$6+SQRT(O577*($J$6-$H$6)*($I$6-$H$6)),$J$6-SQRT((1-O577)*($J$6-$H$6)*($J$6-$I$6)))</f>
        <v/>
      </c>
      <c r="D577" s="17">
        <f>IF(P577&lt;$K$7,$H$7+SQRT(P577*($J$7-$H$7)*($I$7-$H$7)),$J$7-SQRT((1-P577)*($J$7-$H$7)*($J$7-$I$7)))</f>
        <v/>
      </c>
      <c r="E577" s="17">
        <f>SUM(B577:D577)</f>
        <v/>
      </c>
      <c r="N577" s="16">
        <f>RAND()</f>
        <v/>
      </c>
      <c r="O577" s="16">
        <f>RAND()</f>
        <v/>
      </c>
      <c r="P577" s="16">
        <f>RAND()</f>
        <v/>
      </c>
    </row>
    <row r="578">
      <c r="A578" s="13" t="n">
        <v>574</v>
      </c>
      <c r="B578" s="17">
        <f>IF(N578&lt;$K$5,$H$5+SQRT(N578*($J$5-$H$5)*($I$5-$H$5)),$J$5-SQRT((1-N578)*($J$5-$H$5)*($J$5-$I$5)))</f>
        <v/>
      </c>
      <c r="C578" s="17">
        <f>IF(O578&lt;$K$6,$H$6+SQRT(O578*($J$6-$H$6)*($I$6-$H$6)),$J$6-SQRT((1-O578)*($J$6-$H$6)*($J$6-$I$6)))</f>
        <v/>
      </c>
      <c r="D578" s="17">
        <f>IF(P578&lt;$K$7,$H$7+SQRT(P578*($J$7-$H$7)*($I$7-$H$7)),$J$7-SQRT((1-P578)*($J$7-$H$7)*($J$7-$I$7)))</f>
        <v/>
      </c>
      <c r="E578" s="17">
        <f>SUM(B578:D578)</f>
        <v/>
      </c>
      <c r="N578" s="16">
        <f>RAND()</f>
        <v/>
      </c>
      <c r="O578" s="16">
        <f>RAND()</f>
        <v/>
      </c>
      <c r="P578" s="16">
        <f>RAND()</f>
        <v/>
      </c>
    </row>
    <row r="579">
      <c r="A579" s="13" t="n">
        <v>575</v>
      </c>
      <c r="B579" s="17">
        <f>IF(N579&lt;$K$5,$H$5+SQRT(N579*($J$5-$H$5)*($I$5-$H$5)),$J$5-SQRT((1-N579)*($J$5-$H$5)*($J$5-$I$5)))</f>
        <v/>
      </c>
      <c r="C579" s="17">
        <f>IF(O579&lt;$K$6,$H$6+SQRT(O579*($J$6-$H$6)*($I$6-$H$6)),$J$6-SQRT((1-O579)*($J$6-$H$6)*($J$6-$I$6)))</f>
        <v/>
      </c>
      <c r="D579" s="17">
        <f>IF(P579&lt;$K$7,$H$7+SQRT(P579*($J$7-$H$7)*($I$7-$H$7)),$J$7-SQRT((1-P579)*($J$7-$H$7)*($J$7-$I$7)))</f>
        <v/>
      </c>
      <c r="E579" s="17">
        <f>SUM(B579:D579)</f>
        <v/>
      </c>
      <c r="N579" s="16">
        <f>RAND()</f>
        <v/>
      </c>
      <c r="O579" s="16">
        <f>RAND()</f>
        <v/>
      </c>
      <c r="P579" s="16">
        <f>RAND()</f>
        <v/>
      </c>
    </row>
    <row r="580">
      <c r="A580" s="13" t="n">
        <v>576</v>
      </c>
      <c r="B580" s="17">
        <f>IF(N580&lt;$K$5,$H$5+SQRT(N580*($J$5-$H$5)*($I$5-$H$5)),$J$5-SQRT((1-N580)*($J$5-$H$5)*($J$5-$I$5)))</f>
        <v/>
      </c>
      <c r="C580" s="17">
        <f>IF(O580&lt;$K$6,$H$6+SQRT(O580*($J$6-$H$6)*($I$6-$H$6)),$J$6-SQRT((1-O580)*($J$6-$H$6)*($J$6-$I$6)))</f>
        <v/>
      </c>
      <c r="D580" s="17">
        <f>IF(P580&lt;$K$7,$H$7+SQRT(P580*($J$7-$H$7)*($I$7-$H$7)),$J$7-SQRT((1-P580)*($J$7-$H$7)*($J$7-$I$7)))</f>
        <v/>
      </c>
      <c r="E580" s="17">
        <f>SUM(B580:D580)</f>
        <v/>
      </c>
      <c r="N580" s="16">
        <f>RAND()</f>
        <v/>
      </c>
      <c r="O580" s="16">
        <f>RAND()</f>
        <v/>
      </c>
      <c r="P580" s="16">
        <f>RAND()</f>
        <v/>
      </c>
    </row>
    <row r="581">
      <c r="A581" s="13" t="n">
        <v>577</v>
      </c>
      <c r="B581" s="17">
        <f>IF(N581&lt;$K$5,$H$5+SQRT(N581*($J$5-$H$5)*($I$5-$H$5)),$J$5-SQRT((1-N581)*($J$5-$H$5)*($J$5-$I$5)))</f>
        <v/>
      </c>
      <c r="C581" s="17">
        <f>IF(O581&lt;$K$6,$H$6+SQRT(O581*($J$6-$H$6)*($I$6-$H$6)),$J$6-SQRT((1-O581)*($J$6-$H$6)*($J$6-$I$6)))</f>
        <v/>
      </c>
      <c r="D581" s="17">
        <f>IF(P581&lt;$K$7,$H$7+SQRT(P581*($J$7-$H$7)*($I$7-$H$7)),$J$7-SQRT((1-P581)*($J$7-$H$7)*($J$7-$I$7)))</f>
        <v/>
      </c>
      <c r="E581" s="17">
        <f>SUM(B581:D581)</f>
        <v/>
      </c>
      <c r="N581" s="16">
        <f>RAND()</f>
        <v/>
      </c>
      <c r="O581" s="16">
        <f>RAND()</f>
        <v/>
      </c>
      <c r="P581" s="16">
        <f>RAND()</f>
        <v/>
      </c>
    </row>
    <row r="582">
      <c r="A582" s="13" t="n">
        <v>578</v>
      </c>
      <c r="B582" s="17">
        <f>IF(N582&lt;$K$5,$H$5+SQRT(N582*($J$5-$H$5)*($I$5-$H$5)),$J$5-SQRT((1-N582)*($J$5-$H$5)*($J$5-$I$5)))</f>
        <v/>
      </c>
      <c r="C582" s="17">
        <f>IF(O582&lt;$K$6,$H$6+SQRT(O582*($J$6-$H$6)*($I$6-$H$6)),$J$6-SQRT((1-O582)*($J$6-$H$6)*($J$6-$I$6)))</f>
        <v/>
      </c>
      <c r="D582" s="17">
        <f>IF(P582&lt;$K$7,$H$7+SQRT(P582*($J$7-$H$7)*($I$7-$H$7)),$J$7-SQRT((1-P582)*($J$7-$H$7)*($J$7-$I$7)))</f>
        <v/>
      </c>
      <c r="E582" s="17">
        <f>SUM(B582:D582)</f>
        <v/>
      </c>
      <c r="N582" s="16">
        <f>RAND()</f>
        <v/>
      </c>
      <c r="O582" s="16">
        <f>RAND()</f>
        <v/>
      </c>
      <c r="P582" s="16">
        <f>RAND()</f>
        <v/>
      </c>
    </row>
    <row r="583">
      <c r="A583" s="13" t="n">
        <v>579</v>
      </c>
      <c r="B583" s="17">
        <f>IF(N583&lt;$K$5,$H$5+SQRT(N583*($J$5-$H$5)*($I$5-$H$5)),$J$5-SQRT((1-N583)*($J$5-$H$5)*($J$5-$I$5)))</f>
        <v/>
      </c>
      <c r="C583" s="17">
        <f>IF(O583&lt;$K$6,$H$6+SQRT(O583*($J$6-$H$6)*($I$6-$H$6)),$J$6-SQRT((1-O583)*($J$6-$H$6)*($J$6-$I$6)))</f>
        <v/>
      </c>
      <c r="D583" s="17">
        <f>IF(P583&lt;$K$7,$H$7+SQRT(P583*($J$7-$H$7)*($I$7-$H$7)),$J$7-SQRT((1-P583)*($J$7-$H$7)*($J$7-$I$7)))</f>
        <v/>
      </c>
      <c r="E583" s="17">
        <f>SUM(B583:D583)</f>
        <v/>
      </c>
      <c r="N583" s="16">
        <f>RAND()</f>
        <v/>
      </c>
      <c r="O583" s="16">
        <f>RAND()</f>
        <v/>
      </c>
      <c r="P583" s="16">
        <f>RAND()</f>
        <v/>
      </c>
    </row>
    <row r="584">
      <c r="A584" s="13" t="n">
        <v>580</v>
      </c>
      <c r="B584" s="17">
        <f>IF(N584&lt;$K$5,$H$5+SQRT(N584*($J$5-$H$5)*($I$5-$H$5)),$J$5-SQRT((1-N584)*($J$5-$H$5)*($J$5-$I$5)))</f>
        <v/>
      </c>
      <c r="C584" s="17">
        <f>IF(O584&lt;$K$6,$H$6+SQRT(O584*($J$6-$H$6)*($I$6-$H$6)),$J$6-SQRT((1-O584)*($J$6-$H$6)*($J$6-$I$6)))</f>
        <v/>
      </c>
      <c r="D584" s="17">
        <f>IF(P584&lt;$K$7,$H$7+SQRT(P584*($J$7-$H$7)*($I$7-$H$7)),$J$7-SQRT((1-P584)*($J$7-$H$7)*($J$7-$I$7)))</f>
        <v/>
      </c>
      <c r="E584" s="17">
        <f>SUM(B584:D584)</f>
        <v/>
      </c>
      <c r="N584" s="16">
        <f>RAND()</f>
        <v/>
      </c>
      <c r="O584" s="16">
        <f>RAND()</f>
        <v/>
      </c>
      <c r="P584" s="16">
        <f>RAND()</f>
        <v/>
      </c>
    </row>
    <row r="585">
      <c r="A585" s="13" t="n">
        <v>581</v>
      </c>
      <c r="B585" s="17">
        <f>IF(N585&lt;$K$5,$H$5+SQRT(N585*($J$5-$H$5)*($I$5-$H$5)),$J$5-SQRT((1-N585)*($J$5-$H$5)*($J$5-$I$5)))</f>
        <v/>
      </c>
      <c r="C585" s="17">
        <f>IF(O585&lt;$K$6,$H$6+SQRT(O585*($J$6-$H$6)*($I$6-$H$6)),$J$6-SQRT((1-O585)*($J$6-$H$6)*($J$6-$I$6)))</f>
        <v/>
      </c>
      <c r="D585" s="17">
        <f>IF(P585&lt;$K$7,$H$7+SQRT(P585*($J$7-$H$7)*($I$7-$H$7)),$J$7-SQRT((1-P585)*($J$7-$H$7)*($J$7-$I$7)))</f>
        <v/>
      </c>
      <c r="E585" s="17">
        <f>SUM(B585:D585)</f>
        <v/>
      </c>
      <c r="N585" s="16">
        <f>RAND()</f>
        <v/>
      </c>
      <c r="O585" s="16">
        <f>RAND()</f>
        <v/>
      </c>
      <c r="P585" s="16">
        <f>RAND()</f>
        <v/>
      </c>
    </row>
    <row r="586">
      <c r="A586" s="13" t="n">
        <v>582</v>
      </c>
      <c r="B586" s="17">
        <f>IF(N586&lt;$K$5,$H$5+SQRT(N586*($J$5-$H$5)*($I$5-$H$5)),$J$5-SQRT((1-N586)*($J$5-$H$5)*($J$5-$I$5)))</f>
        <v/>
      </c>
      <c r="C586" s="17">
        <f>IF(O586&lt;$K$6,$H$6+SQRT(O586*($J$6-$H$6)*($I$6-$H$6)),$J$6-SQRT((1-O586)*($J$6-$H$6)*($J$6-$I$6)))</f>
        <v/>
      </c>
      <c r="D586" s="17">
        <f>IF(P586&lt;$K$7,$H$7+SQRT(P586*($J$7-$H$7)*($I$7-$H$7)),$J$7-SQRT((1-P586)*($J$7-$H$7)*($J$7-$I$7)))</f>
        <v/>
      </c>
      <c r="E586" s="17">
        <f>SUM(B586:D586)</f>
        <v/>
      </c>
      <c r="N586" s="16">
        <f>RAND()</f>
        <v/>
      </c>
      <c r="O586" s="16">
        <f>RAND()</f>
        <v/>
      </c>
      <c r="P586" s="16">
        <f>RAND()</f>
        <v/>
      </c>
    </row>
    <row r="587">
      <c r="A587" s="13" t="n">
        <v>583</v>
      </c>
      <c r="B587" s="17">
        <f>IF(N587&lt;$K$5,$H$5+SQRT(N587*($J$5-$H$5)*($I$5-$H$5)),$J$5-SQRT((1-N587)*($J$5-$H$5)*($J$5-$I$5)))</f>
        <v/>
      </c>
      <c r="C587" s="17">
        <f>IF(O587&lt;$K$6,$H$6+SQRT(O587*($J$6-$H$6)*($I$6-$H$6)),$J$6-SQRT((1-O587)*($J$6-$H$6)*($J$6-$I$6)))</f>
        <v/>
      </c>
      <c r="D587" s="17">
        <f>IF(P587&lt;$K$7,$H$7+SQRT(P587*($J$7-$H$7)*($I$7-$H$7)),$J$7-SQRT((1-P587)*($J$7-$H$7)*($J$7-$I$7)))</f>
        <v/>
      </c>
      <c r="E587" s="17">
        <f>SUM(B587:D587)</f>
        <v/>
      </c>
      <c r="N587" s="16">
        <f>RAND()</f>
        <v/>
      </c>
      <c r="O587" s="16">
        <f>RAND()</f>
        <v/>
      </c>
      <c r="P587" s="16">
        <f>RAND()</f>
        <v/>
      </c>
    </row>
    <row r="588">
      <c r="A588" s="13" t="n">
        <v>584</v>
      </c>
      <c r="B588" s="17">
        <f>IF(N588&lt;$K$5,$H$5+SQRT(N588*($J$5-$H$5)*($I$5-$H$5)),$J$5-SQRT((1-N588)*($J$5-$H$5)*($J$5-$I$5)))</f>
        <v/>
      </c>
      <c r="C588" s="17">
        <f>IF(O588&lt;$K$6,$H$6+SQRT(O588*($J$6-$H$6)*($I$6-$H$6)),$J$6-SQRT((1-O588)*($J$6-$H$6)*($J$6-$I$6)))</f>
        <v/>
      </c>
      <c r="D588" s="17">
        <f>IF(P588&lt;$K$7,$H$7+SQRT(P588*($J$7-$H$7)*($I$7-$H$7)),$J$7-SQRT((1-P588)*($J$7-$H$7)*($J$7-$I$7)))</f>
        <v/>
      </c>
      <c r="E588" s="17">
        <f>SUM(B588:D588)</f>
        <v/>
      </c>
      <c r="N588" s="16">
        <f>RAND()</f>
        <v/>
      </c>
      <c r="O588" s="16">
        <f>RAND()</f>
        <v/>
      </c>
      <c r="P588" s="16">
        <f>RAND()</f>
        <v/>
      </c>
    </row>
    <row r="589">
      <c r="A589" s="13" t="n">
        <v>585</v>
      </c>
      <c r="B589" s="17">
        <f>IF(N589&lt;$K$5,$H$5+SQRT(N589*($J$5-$H$5)*($I$5-$H$5)),$J$5-SQRT((1-N589)*($J$5-$H$5)*($J$5-$I$5)))</f>
        <v/>
      </c>
      <c r="C589" s="17">
        <f>IF(O589&lt;$K$6,$H$6+SQRT(O589*($J$6-$H$6)*($I$6-$H$6)),$J$6-SQRT((1-O589)*($J$6-$H$6)*($J$6-$I$6)))</f>
        <v/>
      </c>
      <c r="D589" s="17">
        <f>IF(P589&lt;$K$7,$H$7+SQRT(P589*($J$7-$H$7)*($I$7-$H$7)),$J$7-SQRT((1-P589)*($J$7-$H$7)*($J$7-$I$7)))</f>
        <v/>
      </c>
      <c r="E589" s="17">
        <f>SUM(B589:D589)</f>
        <v/>
      </c>
      <c r="N589" s="16">
        <f>RAND()</f>
        <v/>
      </c>
      <c r="O589" s="16">
        <f>RAND()</f>
        <v/>
      </c>
      <c r="P589" s="16">
        <f>RAND()</f>
        <v/>
      </c>
    </row>
    <row r="590">
      <c r="A590" s="13" t="n">
        <v>586</v>
      </c>
      <c r="B590" s="17">
        <f>IF(N590&lt;$K$5,$H$5+SQRT(N590*($J$5-$H$5)*($I$5-$H$5)),$J$5-SQRT((1-N590)*($J$5-$H$5)*($J$5-$I$5)))</f>
        <v/>
      </c>
      <c r="C590" s="17">
        <f>IF(O590&lt;$K$6,$H$6+SQRT(O590*($J$6-$H$6)*($I$6-$H$6)),$J$6-SQRT((1-O590)*($J$6-$H$6)*($J$6-$I$6)))</f>
        <v/>
      </c>
      <c r="D590" s="17">
        <f>IF(P590&lt;$K$7,$H$7+SQRT(P590*($J$7-$H$7)*($I$7-$H$7)),$J$7-SQRT((1-P590)*($J$7-$H$7)*($J$7-$I$7)))</f>
        <v/>
      </c>
      <c r="E590" s="17">
        <f>SUM(B590:D590)</f>
        <v/>
      </c>
      <c r="N590" s="16">
        <f>RAND()</f>
        <v/>
      </c>
      <c r="O590" s="16">
        <f>RAND()</f>
        <v/>
      </c>
      <c r="P590" s="16">
        <f>RAND()</f>
        <v/>
      </c>
    </row>
    <row r="591">
      <c r="A591" s="13" t="n">
        <v>587</v>
      </c>
      <c r="B591" s="17">
        <f>IF(N591&lt;$K$5,$H$5+SQRT(N591*($J$5-$H$5)*($I$5-$H$5)),$J$5-SQRT((1-N591)*($J$5-$H$5)*($J$5-$I$5)))</f>
        <v/>
      </c>
      <c r="C591" s="17">
        <f>IF(O591&lt;$K$6,$H$6+SQRT(O591*($J$6-$H$6)*($I$6-$H$6)),$J$6-SQRT((1-O591)*($J$6-$H$6)*($J$6-$I$6)))</f>
        <v/>
      </c>
      <c r="D591" s="17">
        <f>IF(P591&lt;$K$7,$H$7+SQRT(P591*($J$7-$H$7)*($I$7-$H$7)),$J$7-SQRT((1-P591)*($J$7-$H$7)*($J$7-$I$7)))</f>
        <v/>
      </c>
      <c r="E591" s="17">
        <f>SUM(B591:D591)</f>
        <v/>
      </c>
      <c r="N591" s="16">
        <f>RAND()</f>
        <v/>
      </c>
      <c r="O591" s="16">
        <f>RAND()</f>
        <v/>
      </c>
      <c r="P591" s="16">
        <f>RAND()</f>
        <v/>
      </c>
    </row>
    <row r="592">
      <c r="A592" s="13" t="n">
        <v>588</v>
      </c>
      <c r="B592" s="17">
        <f>IF(N592&lt;$K$5,$H$5+SQRT(N592*($J$5-$H$5)*($I$5-$H$5)),$J$5-SQRT((1-N592)*($J$5-$H$5)*($J$5-$I$5)))</f>
        <v/>
      </c>
      <c r="C592" s="17">
        <f>IF(O592&lt;$K$6,$H$6+SQRT(O592*($J$6-$H$6)*($I$6-$H$6)),$J$6-SQRT((1-O592)*($J$6-$H$6)*($J$6-$I$6)))</f>
        <v/>
      </c>
      <c r="D592" s="17">
        <f>IF(P592&lt;$K$7,$H$7+SQRT(P592*($J$7-$H$7)*($I$7-$H$7)),$J$7-SQRT((1-P592)*($J$7-$H$7)*($J$7-$I$7)))</f>
        <v/>
      </c>
      <c r="E592" s="17">
        <f>SUM(B592:D592)</f>
        <v/>
      </c>
      <c r="N592" s="16">
        <f>RAND()</f>
        <v/>
      </c>
      <c r="O592" s="16">
        <f>RAND()</f>
        <v/>
      </c>
      <c r="P592" s="16">
        <f>RAND()</f>
        <v/>
      </c>
    </row>
    <row r="593">
      <c r="A593" s="13" t="n">
        <v>589</v>
      </c>
      <c r="B593" s="17">
        <f>IF(N593&lt;$K$5,$H$5+SQRT(N593*($J$5-$H$5)*($I$5-$H$5)),$J$5-SQRT((1-N593)*($J$5-$H$5)*($J$5-$I$5)))</f>
        <v/>
      </c>
      <c r="C593" s="17">
        <f>IF(O593&lt;$K$6,$H$6+SQRT(O593*($J$6-$H$6)*($I$6-$H$6)),$J$6-SQRT((1-O593)*($J$6-$H$6)*($J$6-$I$6)))</f>
        <v/>
      </c>
      <c r="D593" s="17">
        <f>IF(P593&lt;$K$7,$H$7+SQRT(P593*($J$7-$H$7)*($I$7-$H$7)),$J$7-SQRT((1-P593)*($J$7-$H$7)*($J$7-$I$7)))</f>
        <v/>
      </c>
      <c r="E593" s="17">
        <f>SUM(B593:D593)</f>
        <v/>
      </c>
      <c r="N593" s="16">
        <f>RAND()</f>
        <v/>
      </c>
      <c r="O593" s="16">
        <f>RAND()</f>
        <v/>
      </c>
      <c r="P593" s="16">
        <f>RAND()</f>
        <v/>
      </c>
    </row>
    <row r="594">
      <c r="A594" s="13" t="n">
        <v>590</v>
      </c>
      <c r="B594" s="17">
        <f>IF(N594&lt;$K$5,$H$5+SQRT(N594*($J$5-$H$5)*($I$5-$H$5)),$J$5-SQRT((1-N594)*($J$5-$H$5)*($J$5-$I$5)))</f>
        <v/>
      </c>
      <c r="C594" s="17">
        <f>IF(O594&lt;$K$6,$H$6+SQRT(O594*($J$6-$H$6)*($I$6-$H$6)),$J$6-SQRT((1-O594)*($J$6-$H$6)*($J$6-$I$6)))</f>
        <v/>
      </c>
      <c r="D594" s="17">
        <f>IF(P594&lt;$K$7,$H$7+SQRT(P594*($J$7-$H$7)*($I$7-$H$7)),$J$7-SQRT((1-P594)*($J$7-$H$7)*($J$7-$I$7)))</f>
        <v/>
      </c>
      <c r="E594" s="17">
        <f>SUM(B594:D594)</f>
        <v/>
      </c>
      <c r="N594" s="16">
        <f>RAND()</f>
        <v/>
      </c>
      <c r="O594" s="16">
        <f>RAND()</f>
        <v/>
      </c>
      <c r="P594" s="16">
        <f>RAND()</f>
        <v/>
      </c>
    </row>
    <row r="595">
      <c r="A595" s="13" t="n">
        <v>591</v>
      </c>
      <c r="B595" s="17">
        <f>IF(N595&lt;$K$5,$H$5+SQRT(N595*($J$5-$H$5)*($I$5-$H$5)),$J$5-SQRT((1-N595)*($J$5-$H$5)*($J$5-$I$5)))</f>
        <v/>
      </c>
      <c r="C595" s="17">
        <f>IF(O595&lt;$K$6,$H$6+SQRT(O595*($J$6-$H$6)*($I$6-$H$6)),$J$6-SQRT((1-O595)*($J$6-$H$6)*($J$6-$I$6)))</f>
        <v/>
      </c>
      <c r="D595" s="17">
        <f>IF(P595&lt;$K$7,$H$7+SQRT(P595*($J$7-$H$7)*($I$7-$H$7)),$J$7-SQRT((1-P595)*($J$7-$H$7)*($J$7-$I$7)))</f>
        <v/>
      </c>
      <c r="E595" s="17">
        <f>SUM(B595:D595)</f>
        <v/>
      </c>
      <c r="N595" s="16">
        <f>RAND()</f>
        <v/>
      </c>
      <c r="O595" s="16">
        <f>RAND()</f>
        <v/>
      </c>
      <c r="P595" s="16">
        <f>RAND()</f>
        <v/>
      </c>
    </row>
    <row r="596">
      <c r="A596" s="13" t="n">
        <v>592</v>
      </c>
      <c r="B596" s="17">
        <f>IF(N596&lt;$K$5,$H$5+SQRT(N596*($J$5-$H$5)*($I$5-$H$5)),$J$5-SQRT((1-N596)*($J$5-$H$5)*($J$5-$I$5)))</f>
        <v/>
      </c>
      <c r="C596" s="17">
        <f>IF(O596&lt;$K$6,$H$6+SQRT(O596*($J$6-$H$6)*($I$6-$H$6)),$J$6-SQRT((1-O596)*($J$6-$H$6)*($J$6-$I$6)))</f>
        <v/>
      </c>
      <c r="D596" s="17">
        <f>IF(P596&lt;$K$7,$H$7+SQRT(P596*($J$7-$H$7)*($I$7-$H$7)),$J$7-SQRT((1-P596)*($J$7-$H$7)*($J$7-$I$7)))</f>
        <v/>
      </c>
      <c r="E596" s="17">
        <f>SUM(B596:D596)</f>
        <v/>
      </c>
      <c r="N596" s="16">
        <f>RAND()</f>
        <v/>
      </c>
      <c r="O596" s="16">
        <f>RAND()</f>
        <v/>
      </c>
      <c r="P596" s="16">
        <f>RAND()</f>
        <v/>
      </c>
    </row>
    <row r="597">
      <c r="A597" s="13" t="n">
        <v>593</v>
      </c>
      <c r="B597" s="17">
        <f>IF(N597&lt;$K$5,$H$5+SQRT(N597*($J$5-$H$5)*($I$5-$H$5)),$J$5-SQRT((1-N597)*($J$5-$H$5)*($J$5-$I$5)))</f>
        <v/>
      </c>
      <c r="C597" s="17">
        <f>IF(O597&lt;$K$6,$H$6+SQRT(O597*($J$6-$H$6)*($I$6-$H$6)),$J$6-SQRT((1-O597)*($J$6-$H$6)*($J$6-$I$6)))</f>
        <v/>
      </c>
      <c r="D597" s="17">
        <f>IF(P597&lt;$K$7,$H$7+SQRT(P597*($J$7-$H$7)*($I$7-$H$7)),$J$7-SQRT((1-P597)*($J$7-$H$7)*($J$7-$I$7)))</f>
        <v/>
      </c>
      <c r="E597" s="17">
        <f>SUM(B597:D597)</f>
        <v/>
      </c>
      <c r="N597" s="16">
        <f>RAND()</f>
        <v/>
      </c>
      <c r="O597" s="16">
        <f>RAND()</f>
        <v/>
      </c>
      <c r="P597" s="16">
        <f>RAND()</f>
        <v/>
      </c>
    </row>
    <row r="598">
      <c r="A598" s="13" t="n">
        <v>594</v>
      </c>
      <c r="B598" s="17">
        <f>IF(N598&lt;$K$5,$H$5+SQRT(N598*($J$5-$H$5)*($I$5-$H$5)),$J$5-SQRT((1-N598)*($J$5-$H$5)*($J$5-$I$5)))</f>
        <v/>
      </c>
      <c r="C598" s="17">
        <f>IF(O598&lt;$K$6,$H$6+SQRT(O598*($J$6-$H$6)*($I$6-$H$6)),$J$6-SQRT((1-O598)*($J$6-$H$6)*($J$6-$I$6)))</f>
        <v/>
      </c>
      <c r="D598" s="17">
        <f>IF(P598&lt;$K$7,$H$7+SQRT(P598*($J$7-$H$7)*($I$7-$H$7)),$J$7-SQRT((1-P598)*($J$7-$H$7)*($J$7-$I$7)))</f>
        <v/>
      </c>
      <c r="E598" s="17">
        <f>SUM(B598:D598)</f>
        <v/>
      </c>
      <c r="N598" s="16">
        <f>RAND()</f>
        <v/>
      </c>
      <c r="O598" s="16">
        <f>RAND()</f>
        <v/>
      </c>
      <c r="P598" s="16">
        <f>RAND()</f>
        <v/>
      </c>
    </row>
    <row r="599">
      <c r="A599" s="13" t="n">
        <v>595</v>
      </c>
      <c r="B599" s="17">
        <f>IF(N599&lt;$K$5,$H$5+SQRT(N599*($J$5-$H$5)*($I$5-$H$5)),$J$5-SQRT((1-N599)*($J$5-$H$5)*($J$5-$I$5)))</f>
        <v/>
      </c>
      <c r="C599" s="17">
        <f>IF(O599&lt;$K$6,$H$6+SQRT(O599*($J$6-$H$6)*($I$6-$H$6)),$J$6-SQRT((1-O599)*($J$6-$H$6)*($J$6-$I$6)))</f>
        <v/>
      </c>
      <c r="D599" s="17">
        <f>IF(P599&lt;$K$7,$H$7+SQRT(P599*($J$7-$H$7)*($I$7-$H$7)),$J$7-SQRT((1-P599)*($J$7-$H$7)*($J$7-$I$7)))</f>
        <v/>
      </c>
      <c r="E599" s="17">
        <f>SUM(B599:D599)</f>
        <v/>
      </c>
      <c r="N599" s="16">
        <f>RAND()</f>
        <v/>
      </c>
      <c r="O599" s="16">
        <f>RAND()</f>
        <v/>
      </c>
      <c r="P599" s="16">
        <f>RAND()</f>
        <v/>
      </c>
    </row>
    <row r="600">
      <c r="A600" s="13" t="n">
        <v>596</v>
      </c>
      <c r="B600" s="17">
        <f>IF(N600&lt;$K$5,$H$5+SQRT(N600*($J$5-$H$5)*($I$5-$H$5)),$J$5-SQRT((1-N600)*($J$5-$H$5)*($J$5-$I$5)))</f>
        <v/>
      </c>
      <c r="C600" s="17">
        <f>IF(O600&lt;$K$6,$H$6+SQRT(O600*($J$6-$H$6)*($I$6-$H$6)),$J$6-SQRT((1-O600)*($J$6-$H$6)*($J$6-$I$6)))</f>
        <v/>
      </c>
      <c r="D600" s="17">
        <f>IF(P600&lt;$K$7,$H$7+SQRT(P600*($J$7-$H$7)*($I$7-$H$7)),$J$7-SQRT((1-P600)*($J$7-$H$7)*($J$7-$I$7)))</f>
        <v/>
      </c>
      <c r="E600" s="17">
        <f>SUM(B600:D600)</f>
        <v/>
      </c>
      <c r="N600" s="16">
        <f>RAND()</f>
        <v/>
      </c>
      <c r="O600" s="16">
        <f>RAND()</f>
        <v/>
      </c>
      <c r="P600" s="16">
        <f>RAND()</f>
        <v/>
      </c>
    </row>
    <row r="601">
      <c r="A601" s="13" t="n">
        <v>597</v>
      </c>
      <c r="B601" s="17">
        <f>IF(N601&lt;$K$5,$H$5+SQRT(N601*($J$5-$H$5)*($I$5-$H$5)),$J$5-SQRT((1-N601)*($J$5-$H$5)*($J$5-$I$5)))</f>
        <v/>
      </c>
      <c r="C601" s="17">
        <f>IF(O601&lt;$K$6,$H$6+SQRT(O601*($J$6-$H$6)*($I$6-$H$6)),$J$6-SQRT((1-O601)*($J$6-$H$6)*($J$6-$I$6)))</f>
        <v/>
      </c>
      <c r="D601" s="17">
        <f>IF(P601&lt;$K$7,$H$7+SQRT(P601*($J$7-$H$7)*($I$7-$H$7)),$J$7-SQRT((1-P601)*($J$7-$H$7)*($J$7-$I$7)))</f>
        <v/>
      </c>
      <c r="E601" s="17">
        <f>SUM(B601:D601)</f>
        <v/>
      </c>
      <c r="N601" s="16">
        <f>RAND()</f>
        <v/>
      </c>
      <c r="O601" s="16">
        <f>RAND()</f>
        <v/>
      </c>
      <c r="P601" s="16">
        <f>RAND()</f>
        <v/>
      </c>
    </row>
    <row r="602">
      <c r="A602" s="13" t="n">
        <v>598</v>
      </c>
      <c r="B602" s="17">
        <f>IF(N602&lt;$K$5,$H$5+SQRT(N602*($J$5-$H$5)*($I$5-$H$5)),$J$5-SQRT((1-N602)*($J$5-$H$5)*($J$5-$I$5)))</f>
        <v/>
      </c>
      <c r="C602" s="17">
        <f>IF(O602&lt;$K$6,$H$6+SQRT(O602*($J$6-$H$6)*($I$6-$H$6)),$J$6-SQRT((1-O602)*($J$6-$H$6)*($J$6-$I$6)))</f>
        <v/>
      </c>
      <c r="D602" s="17">
        <f>IF(P602&lt;$K$7,$H$7+SQRT(P602*($J$7-$H$7)*($I$7-$H$7)),$J$7-SQRT((1-P602)*($J$7-$H$7)*($J$7-$I$7)))</f>
        <v/>
      </c>
      <c r="E602" s="17">
        <f>SUM(B602:D602)</f>
        <v/>
      </c>
      <c r="N602" s="16">
        <f>RAND()</f>
        <v/>
      </c>
      <c r="O602" s="16">
        <f>RAND()</f>
        <v/>
      </c>
      <c r="P602" s="16">
        <f>RAND()</f>
        <v/>
      </c>
    </row>
    <row r="603">
      <c r="A603" s="13" t="n">
        <v>599</v>
      </c>
      <c r="B603" s="17">
        <f>IF(N603&lt;$K$5,$H$5+SQRT(N603*($J$5-$H$5)*($I$5-$H$5)),$J$5-SQRT((1-N603)*($J$5-$H$5)*($J$5-$I$5)))</f>
        <v/>
      </c>
      <c r="C603" s="17">
        <f>IF(O603&lt;$K$6,$H$6+SQRT(O603*($J$6-$H$6)*($I$6-$H$6)),$J$6-SQRT((1-O603)*($J$6-$H$6)*($J$6-$I$6)))</f>
        <v/>
      </c>
      <c r="D603" s="17">
        <f>IF(P603&lt;$K$7,$H$7+SQRT(P603*($J$7-$H$7)*($I$7-$H$7)),$J$7-SQRT((1-P603)*($J$7-$H$7)*($J$7-$I$7)))</f>
        <v/>
      </c>
      <c r="E603" s="17">
        <f>SUM(B603:D603)</f>
        <v/>
      </c>
      <c r="N603" s="16">
        <f>RAND()</f>
        <v/>
      </c>
      <c r="O603" s="16">
        <f>RAND()</f>
        <v/>
      </c>
      <c r="P603" s="16">
        <f>RAND()</f>
        <v/>
      </c>
    </row>
    <row r="604">
      <c r="A604" s="13" t="n">
        <v>600</v>
      </c>
      <c r="B604" s="17">
        <f>IF(N604&lt;$K$5,$H$5+SQRT(N604*($J$5-$H$5)*($I$5-$H$5)),$J$5-SQRT((1-N604)*($J$5-$H$5)*($J$5-$I$5)))</f>
        <v/>
      </c>
      <c r="C604" s="17">
        <f>IF(O604&lt;$K$6,$H$6+SQRT(O604*($J$6-$H$6)*($I$6-$H$6)),$J$6-SQRT((1-O604)*($J$6-$H$6)*($J$6-$I$6)))</f>
        <v/>
      </c>
      <c r="D604" s="17">
        <f>IF(P604&lt;$K$7,$H$7+SQRT(P604*($J$7-$H$7)*($I$7-$H$7)),$J$7-SQRT((1-P604)*($J$7-$H$7)*($J$7-$I$7)))</f>
        <v/>
      </c>
      <c r="E604" s="17">
        <f>SUM(B604:D604)</f>
        <v/>
      </c>
      <c r="N604" s="16">
        <f>RAND()</f>
        <v/>
      </c>
      <c r="O604" s="16">
        <f>RAND()</f>
        <v/>
      </c>
      <c r="P604" s="16">
        <f>RAND()</f>
        <v/>
      </c>
    </row>
    <row r="605">
      <c r="A605" s="13" t="n">
        <v>601</v>
      </c>
      <c r="B605" s="17">
        <f>IF(N605&lt;$K$5,$H$5+SQRT(N605*($J$5-$H$5)*($I$5-$H$5)),$J$5-SQRT((1-N605)*($J$5-$H$5)*($J$5-$I$5)))</f>
        <v/>
      </c>
      <c r="C605" s="17">
        <f>IF(O605&lt;$K$6,$H$6+SQRT(O605*($J$6-$H$6)*($I$6-$H$6)),$J$6-SQRT((1-O605)*($J$6-$H$6)*($J$6-$I$6)))</f>
        <v/>
      </c>
      <c r="D605" s="17">
        <f>IF(P605&lt;$K$7,$H$7+SQRT(P605*($J$7-$H$7)*($I$7-$H$7)),$J$7-SQRT((1-P605)*($J$7-$H$7)*($J$7-$I$7)))</f>
        <v/>
      </c>
      <c r="E605" s="17">
        <f>SUM(B605:D605)</f>
        <v/>
      </c>
      <c r="N605" s="16">
        <f>RAND()</f>
        <v/>
      </c>
      <c r="O605" s="16">
        <f>RAND()</f>
        <v/>
      </c>
      <c r="P605" s="16">
        <f>RAND()</f>
        <v/>
      </c>
    </row>
    <row r="606">
      <c r="A606" s="13" t="n">
        <v>602</v>
      </c>
      <c r="B606" s="17">
        <f>IF(N606&lt;$K$5,$H$5+SQRT(N606*($J$5-$H$5)*($I$5-$H$5)),$J$5-SQRT((1-N606)*($J$5-$H$5)*($J$5-$I$5)))</f>
        <v/>
      </c>
      <c r="C606" s="17">
        <f>IF(O606&lt;$K$6,$H$6+SQRT(O606*($J$6-$H$6)*($I$6-$H$6)),$J$6-SQRT((1-O606)*($J$6-$H$6)*($J$6-$I$6)))</f>
        <v/>
      </c>
      <c r="D606" s="17">
        <f>IF(P606&lt;$K$7,$H$7+SQRT(P606*($J$7-$H$7)*($I$7-$H$7)),$J$7-SQRT((1-P606)*($J$7-$H$7)*($J$7-$I$7)))</f>
        <v/>
      </c>
      <c r="E606" s="17">
        <f>SUM(B606:D606)</f>
        <v/>
      </c>
      <c r="N606" s="16">
        <f>RAND()</f>
        <v/>
      </c>
      <c r="O606" s="16">
        <f>RAND()</f>
        <v/>
      </c>
      <c r="P606" s="16">
        <f>RAND()</f>
        <v/>
      </c>
    </row>
    <row r="607">
      <c r="A607" s="13" t="n">
        <v>603</v>
      </c>
      <c r="B607" s="17">
        <f>IF(N607&lt;$K$5,$H$5+SQRT(N607*($J$5-$H$5)*($I$5-$H$5)),$J$5-SQRT((1-N607)*($J$5-$H$5)*($J$5-$I$5)))</f>
        <v/>
      </c>
      <c r="C607" s="17">
        <f>IF(O607&lt;$K$6,$H$6+SQRT(O607*($J$6-$H$6)*($I$6-$H$6)),$J$6-SQRT((1-O607)*($J$6-$H$6)*($J$6-$I$6)))</f>
        <v/>
      </c>
      <c r="D607" s="17">
        <f>IF(P607&lt;$K$7,$H$7+SQRT(P607*($J$7-$H$7)*($I$7-$H$7)),$J$7-SQRT((1-P607)*($J$7-$H$7)*($J$7-$I$7)))</f>
        <v/>
      </c>
      <c r="E607" s="17">
        <f>SUM(B607:D607)</f>
        <v/>
      </c>
      <c r="N607" s="16">
        <f>RAND()</f>
        <v/>
      </c>
      <c r="O607" s="16">
        <f>RAND()</f>
        <v/>
      </c>
      <c r="P607" s="16">
        <f>RAND()</f>
        <v/>
      </c>
    </row>
    <row r="608">
      <c r="A608" s="13" t="n">
        <v>604</v>
      </c>
      <c r="B608" s="17">
        <f>IF(N608&lt;$K$5,$H$5+SQRT(N608*($J$5-$H$5)*($I$5-$H$5)),$J$5-SQRT((1-N608)*($J$5-$H$5)*($J$5-$I$5)))</f>
        <v/>
      </c>
      <c r="C608" s="17">
        <f>IF(O608&lt;$K$6,$H$6+SQRT(O608*($J$6-$H$6)*($I$6-$H$6)),$J$6-SQRT((1-O608)*($J$6-$H$6)*($J$6-$I$6)))</f>
        <v/>
      </c>
      <c r="D608" s="17">
        <f>IF(P608&lt;$K$7,$H$7+SQRT(P608*($J$7-$H$7)*($I$7-$H$7)),$J$7-SQRT((1-P608)*($J$7-$H$7)*($J$7-$I$7)))</f>
        <v/>
      </c>
      <c r="E608" s="17">
        <f>SUM(B608:D608)</f>
        <v/>
      </c>
      <c r="N608" s="16">
        <f>RAND()</f>
        <v/>
      </c>
      <c r="O608" s="16">
        <f>RAND()</f>
        <v/>
      </c>
      <c r="P608" s="16">
        <f>RAND()</f>
        <v/>
      </c>
    </row>
    <row r="609">
      <c r="A609" s="13" t="n">
        <v>605</v>
      </c>
      <c r="B609" s="17">
        <f>IF(N609&lt;$K$5,$H$5+SQRT(N609*($J$5-$H$5)*($I$5-$H$5)),$J$5-SQRT((1-N609)*($J$5-$H$5)*($J$5-$I$5)))</f>
        <v/>
      </c>
      <c r="C609" s="17">
        <f>IF(O609&lt;$K$6,$H$6+SQRT(O609*($J$6-$H$6)*($I$6-$H$6)),$J$6-SQRT((1-O609)*($J$6-$H$6)*($J$6-$I$6)))</f>
        <v/>
      </c>
      <c r="D609" s="17">
        <f>IF(P609&lt;$K$7,$H$7+SQRT(P609*($J$7-$H$7)*($I$7-$H$7)),$J$7-SQRT((1-P609)*($J$7-$H$7)*($J$7-$I$7)))</f>
        <v/>
      </c>
      <c r="E609" s="17">
        <f>SUM(B609:D609)</f>
        <v/>
      </c>
      <c r="N609" s="16">
        <f>RAND()</f>
        <v/>
      </c>
      <c r="O609" s="16">
        <f>RAND()</f>
        <v/>
      </c>
      <c r="P609" s="16">
        <f>RAND()</f>
        <v/>
      </c>
    </row>
    <row r="610">
      <c r="A610" s="13" t="n">
        <v>606</v>
      </c>
      <c r="B610" s="17">
        <f>IF(N610&lt;$K$5,$H$5+SQRT(N610*($J$5-$H$5)*($I$5-$H$5)),$J$5-SQRT((1-N610)*($J$5-$H$5)*($J$5-$I$5)))</f>
        <v/>
      </c>
      <c r="C610" s="17">
        <f>IF(O610&lt;$K$6,$H$6+SQRT(O610*($J$6-$H$6)*($I$6-$H$6)),$J$6-SQRT((1-O610)*($J$6-$H$6)*($J$6-$I$6)))</f>
        <v/>
      </c>
      <c r="D610" s="17">
        <f>IF(P610&lt;$K$7,$H$7+SQRT(P610*($J$7-$H$7)*($I$7-$H$7)),$J$7-SQRT((1-P610)*($J$7-$H$7)*($J$7-$I$7)))</f>
        <v/>
      </c>
      <c r="E610" s="17">
        <f>SUM(B610:D610)</f>
        <v/>
      </c>
      <c r="N610" s="16">
        <f>RAND()</f>
        <v/>
      </c>
      <c r="O610" s="16">
        <f>RAND()</f>
        <v/>
      </c>
      <c r="P610" s="16">
        <f>RAND()</f>
        <v/>
      </c>
    </row>
    <row r="611">
      <c r="A611" s="13" t="n">
        <v>607</v>
      </c>
      <c r="B611" s="17">
        <f>IF(N611&lt;$K$5,$H$5+SQRT(N611*($J$5-$H$5)*($I$5-$H$5)),$J$5-SQRT((1-N611)*($J$5-$H$5)*($J$5-$I$5)))</f>
        <v/>
      </c>
      <c r="C611" s="17">
        <f>IF(O611&lt;$K$6,$H$6+SQRT(O611*($J$6-$H$6)*($I$6-$H$6)),$J$6-SQRT((1-O611)*($J$6-$H$6)*($J$6-$I$6)))</f>
        <v/>
      </c>
      <c r="D611" s="17">
        <f>IF(P611&lt;$K$7,$H$7+SQRT(P611*($J$7-$H$7)*($I$7-$H$7)),$J$7-SQRT((1-P611)*($J$7-$H$7)*($J$7-$I$7)))</f>
        <v/>
      </c>
      <c r="E611" s="17">
        <f>SUM(B611:D611)</f>
        <v/>
      </c>
      <c r="N611" s="16">
        <f>RAND()</f>
        <v/>
      </c>
      <c r="O611" s="16">
        <f>RAND()</f>
        <v/>
      </c>
      <c r="P611" s="16">
        <f>RAND()</f>
        <v/>
      </c>
    </row>
    <row r="612">
      <c r="A612" s="13" t="n">
        <v>608</v>
      </c>
      <c r="B612" s="17">
        <f>IF(N612&lt;$K$5,$H$5+SQRT(N612*($J$5-$H$5)*($I$5-$H$5)),$J$5-SQRT((1-N612)*($J$5-$H$5)*($J$5-$I$5)))</f>
        <v/>
      </c>
      <c r="C612" s="17">
        <f>IF(O612&lt;$K$6,$H$6+SQRT(O612*($J$6-$H$6)*($I$6-$H$6)),$J$6-SQRT((1-O612)*($J$6-$H$6)*($J$6-$I$6)))</f>
        <v/>
      </c>
      <c r="D612" s="17">
        <f>IF(P612&lt;$K$7,$H$7+SQRT(P612*($J$7-$H$7)*($I$7-$H$7)),$J$7-SQRT((1-P612)*($J$7-$H$7)*($J$7-$I$7)))</f>
        <v/>
      </c>
      <c r="E612" s="17">
        <f>SUM(B612:D612)</f>
        <v/>
      </c>
      <c r="N612" s="16">
        <f>RAND()</f>
        <v/>
      </c>
      <c r="O612" s="16">
        <f>RAND()</f>
        <v/>
      </c>
      <c r="P612" s="16">
        <f>RAND()</f>
        <v/>
      </c>
    </row>
    <row r="613">
      <c r="A613" s="13" t="n">
        <v>609</v>
      </c>
      <c r="B613" s="17">
        <f>IF(N613&lt;$K$5,$H$5+SQRT(N613*($J$5-$H$5)*($I$5-$H$5)),$J$5-SQRT((1-N613)*($J$5-$H$5)*($J$5-$I$5)))</f>
        <v/>
      </c>
      <c r="C613" s="17">
        <f>IF(O613&lt;$K$6,$H$6+SQRT(O613*($J$6-$H$6)*($I$6-$H$6)),$J$6-SQRT((1-O613)*($J$6-$H$6)*($J$6-$I$6)))</f>
        <v/>
      </c>
      <c r="D613" s="17">
        <f>IF(P613&lt;$K$7,$H$7+SQRT(P613*($J$7-$H$7)*($I$7-$H$7)),$J$7-SQRT((1-P613)*($J$7-$H$7)*($J$7-$I$7)))</f>
        <v/>
      </c>
      <c r="E613" s="17">
        <f>SUM(B613:D613)</f>
        <v/>
      </c>
      <c r="N613" s="16">
        <f>RAND()</f>
        <v/>
      </c>
      <c r="O613" s="16">
        <f>RAND()</f>
        <v/>
      </c>
      <c r="P613" s="16">
        <f>RAND()</f>
        <v/>
      </c>
    </row>
    <row r="614">
      <c r="A614" s="13" t="n">
        <v>610</v>
      </c>
      <c r="B614" s="17">
        <f>IF(N614&lt;$K$5,$H$5+SQRT(N614*($J$5-$H$5)*($I$5-$H$5)),$J$5-SQRT((1-N614)*($J$5-$H$5)*($J$5-$I$5)))</f>
        <v/>
      </c>
      <c r="C614" s="17">
        <f>IF(O614&lt;$K$6,$H$6+SQRT(O614*($J$6-$H$6)*($I$6-$H$6)),$J$6-SQRT((1-O614)*($J$6-$H$6)*($J$6-$I$6)))</f>
        <v/>
      </c>
      <c r="D614" s="17">
        <f>IF(P614&lt;$K$7,$H$7+SQRT(P614*($J$7-$H$7)*($I$7-$H$7)),$J$7-SQRT((1-P614)*($J$7-$H$7)*($J$7-$I$7)))</f>
        <v/>
      </c>
      <c r="E614" s="17">
        <f>SUM(B614:D614)</f>
        <v/>
      </c>
      <c r="N614" s="16">
        <f>RAND()</f>
        <v/>
      </c>
      <c r="O614" s="16">
        <f>RAND()</f>
        <v/>
      </c>
      <c r="P614" s="16">
        <f>RAND()</f>
        <v/>
      </c>
    </row>
    <row r="615">
      <c r="A615" s="13" t="n">
        <v>611</v>
      </c>
      <c r="B615" s="17">
        <f>IF(N615&lt;$K$5,$H$5+SQRT(N615*($J$5-$H$5)*($I$5-$H$5)),$J$5-SQRT((1-N615)*($J$5-$H$5)*($J$5-$I$5)))</f>
        <v/>
      </c>
      <c r="C615" s="17">
        <f>IF(O615&lt;$K$6,$H$6+SQRT(O615*($J$6-$H$6)*($I$6-$H$6)),$J$6-SQRT((1-O615)*($J$6-$H$6)*($J$6-$I$6)))</f>
        <v/>
      </c>
      <c r="D615" s="17">
        <f>IF(P615&lt;$K$7,$H$7+SQRT(P615*($J$7-$H$7)*($I$7-$H$7)),$J$7-SQRT((1-P615)*($J$7-$H$7)*($J$7-$I$7)))</f>
        <v/>
      </c>
      <c r="E615" s="17">
        <f>SUM(B615:D615)</f>
        <v/>
      </c>
      <c r="N615" s="16">
        <f>RAND()</f>
        <v/>
      </c>
      <c r="O615" s="16">
        <f>RAND()</f>
        <v/>
      </c>
      <c r="P615" s="16">
        <f>RAND()</f>
        <v/>
      </c>
    </row>
    <row r="616">
      <c r="A616" s="13" t="n">
        <v>612</v>
      </c>
      <c r="B616" s="17">
        <f>IF(N616&lt;$K$5,$H$5+SQRT(N616*($J$5-$H$5)*($I$5-$H$5)),$J$5-SQRT((1-N616)*($J$5-$H$5)*($J$5-$I$5)))</f>
        <v/>
      </c>
      <c r="C616" s="17">
        <f>IF(O616&lt;$K$6,$H$6+SQRT(O616*($J$6-$H$6)*($I$6-$H$6)),$J$6-SQRT((1-O616)*($J$6-$H$6)*($J$6-$I$6)))</f>
        <v/>
      </c>
      <c r="D616" s="17">
        <f>IF(P616&lt;$K$7,$H$7+SQRT(P616*($J$7-$H$7)*($I$7-$H$7)),$J$7-SQRT((1-P616)*($J$7-$H$7)*($J$7-$I$7)))</f>
        <v/>
      </c>
      <c r="E616" s="17">
        <f>SUM(B616:D616)</f>
        <v/>
      </c>
      <c r="N616" s="16">
        <f>RAND()</f>
        <v/>
      </c>
      <c r="O616" s="16">
        <f>RAND()</f>
        <v/>
      </c>
      <c r="P616" s="16">
        <f>RAND()</f>
        <v/>
      </c>
    </row>
    <row r="617">
      <c r="A617" s="13" t="n">
        <v>613</v>
      </c>
      <c r="B617" s="17">
        <f>IF(N617&lt;$K$5,$H$5+SQRT(N617*($J$5-$H$5)*($I$5-$H$5)),$J$5-SQRT((1-N617)*($J$5-$H$5)*($J$5-$I$5)))</f>
        <v/>
      </c>
      <c r="C617" s="17">
        <f>IF(O617&lt;$K$6,$H$6+SQRT(O617*($J$6-$H$6)*($I$6-$H$6)),$J$6-SQRT((1-O617)*($J$6-$H$6)*($J$6-$I$6)))</f>
        <v/>
      </c>
      <c r="D617" s="17">
        <f>IF(P617&lt;$K$7,$H$7+SQRT(P617*($J$7-$H$7)*($I$7-$H$7)),$J$7-SQRT((1-P617)*($J$7-$H$7)*($J$7-$I$7)))</f>
        <v/>
      </c>
      <c r="E617" s="17">
        <f>SUM(B617:D617)</f>
        <v/>
      </c>
      <c r="N617" s="16">
        <f>RAND()</f>
        <v/>
      </c>
      <c r="O617" s="16">
        <f>RAND()</f>
        <v/>
      </c>
      <c r="P617" s="16">
        <f>RAND()</f>
        <v/>
      </c>
    </row>
    <row r="618">
      <c r="A618" s="13" t="n">
        <v>614</v>
      </c>
      <c r="B618" s="17">
        <f>IF(N618&lt;$K$5,$H$5+SQRT(N618*($J$5-$H$5)*($I$5-$H$5)),$J$5-SQRT((1-N618)*($J$5-$H$5)*($J$5-$I$5)))</f>
        <v/>
      </c>
      <c r="C618" s="17">
        <f>IF(O618&lt;$K$6,$H$6+SQRT(O618*($J$6-$H$6)*($I$6-$H$6)),$J$6-SQRT((1-O618)*($J$6-$H$6)*($J$6-$I$6)))</f>
        <v/>
      </c>
      <c r="D618" s="17">
        <f>IF(P618&lt;$K$7,$H$7+SQRT(P618*($J$7-$H$7)*($I$7-$H$7)),$J$7-SQRT((1-P618)*($J$7-$H$7)*($J$7-$I$7)))</f>
        <v/>
      </c>
      <c r="E618" s="17">
        <f>SUM(B618:D618)</f>
        <v/>
      </c>
      <c r="N618" s="16">
        <f>RAND()</f>
        <v/>
      </c>
      <c r="O618" s="16">
        <f>RAND()</f>
        <v/>
      </c>
      <c r="P618" s="16">
        <f>RAND()</f>
        <v/>
      </c>
    </row>
    <row r="619">
      <c r="A619" s="13" t="n">
        <v>615</v>
      </c>
      <c r="B619" s="17">
        <f>IF(N619&lt;$K$5,$H$5+SQRT(N619*($J$5-$H$5)*($I$5-$H$5)),$J$5-SQRT((1-N619)*($J$5-$H$5)*($J$5-$I$5)))</f>
        <v/>
      </c>
      <c r="C619" s="17">
        <f>IF(O619&lt;$K$6,$H$6+SQRT(O619*($J$6-$H$6)*($I$6-$H$6)),$J$6-SQRT((1-O619)*($J$6-$H$6)*($J$6-$I$6)))</f>
        <v/>
      </c>
      <c r="D619" s="17">
        <f>IF(P619&lt;$K$7,$H$7+SQRT(P619*($J$7-$H$7)*($I$7-$H$7)),$J$7-SQRT((1-P619)*($J$7-$H$7)*($J$7-$I$7)))</f>
        <v/>
      </c>
      <c r="E619" s="17">
        <f>SUM(B619:D619)</f>
        <v/>
      </c>
      <c r="N619" s="16">
        <f>RAND()</f>
        <v/>
      </c>
      <c r="O619" s="16">
        <f>RAND()</f>
        <v/>
      </c>
      <c r="P619" s="16">
        <f>RAND()</f>
        <v/>
      </c>
    </row>
    <row r="620">
      <c r="A620" s="13" t="n">
        <v>616</v>
      </c>
      <c r="B620" s="17">
        <f>IF(N620&lt;$K$5,$H$5+SQRT(N620*($J$5-$H$5)*($I$5-$H$5)),$J$5-SQRT((1-N620)*($J$5-$H$5)*($J$5-$I$5)))</f>
        <v/>
      </c>
      <c r="C620" s="17">
        <f>IF(O620&lt;$K$6,$H$6+SQRT(O620*($J$6-$H$6)*($I$6-$H$6)),$J$6-SQRT((1-O620)*($J$6-$H$6)*($J$6-$I$6)))</f>
        <v/>
      </c>
      <c r="D620" s="17">
        <f>IF(P620&lt;$K$7,$H$7+SQRT(P620*($J$7-$H$7)*($I$7-$H$7)),$J$7-SQRT((1-P620)*($J$7-$H$7)*($J$7-$I$7)))</f>
        <v/>
      </c>
      <c r="E620" s="17">
        <f>SUM(B620:D620)</f>
        <v/>
      </c>
      <c r="N620" s="16">
        <f>RAND()</f>
        <v/>
      </c>
      <c r="O620" s="16">
        <f>RAND()</f>
        <v/>
      </c>
      <c r="P620" s="16">
        <f>RAND()</f>
        <v/>
      </c>
    </row>
    <row r="621">
      <c r="A621" s="13" t="n">
        <v>617</v>
      </c>
      <c r="B621" s="17">
        <f>IF(N621&lt;$K$5,$H$5+SQRT(N621*($J$5-$H$5)*($I$5-$H$5)),$J$5-SQRT((1-N621)*($J$5-$H$5)*($J$5-$I$5)))</f>
        <v/>
      </c>
      <c r="C621" s="17">
        <f>IF(O621&lt;$K$6,$H$6+SQRT(O621*($J$6-$H$6)*($I$6-$H$6)),$J$6-SQRT((1-O621)*($J$6-$H$6)*($J$6-$I$6)))</f>
        <v/>
      </c>
      <c r="D621" s="17">
        <f>IF(P621&lt;$K$7,$H$7+SQRT(P621*($J$7-$H$7)*($I$7-$H$7)),$J$7-SQRT((1-P621)*($J$7-$H$7)*($J$7-$I$7)))</f>
        <v/>
      </c>
      <c r="E621" s="17">
        <f>SUM(B621:D621)</f>
        <v/>
      </c>
      <c r="N621" s="16">
        <f>RAND()</f>
        <v/>
      </c>
      <c r="O621" s="16">
        <f>RAND()</f>
        <v/>
      </c>
      <c r="P621" s="16">
        <f>RAND()</f>
        <v/>
      </c>
    </row>
    <row r="622">
      <c r="A622" s="13" t="n">
        <v>618</v>
      </c>
      <c r="B622" s="17">
        <f>IF(N622&lt;$K$5,$H$5+SQRT(N622*($J$5-$H$5)*($I$5-$H$5)),$J$5-SQRT((1-N622)*($J$5-$H$5)*($J$5-$I$5)))</f>
        <v/>
      </c>
      <c r="C622" s="17">
        <f>IF(O622&lt;$K$6,$H$6+SQRT(O622*($J$6-$H$6)*($I$6-$H$6)),$J$6-SQRT((1-O622)*($J$6-$H$6)*($J$6-$I$6)))</f>
        <v/>
      </c>
      <c r="D622" s="17">
        <f>IF(P622&lt;$K$7,$H$7+SQRT(P622*($J$7-$H$7)*($I$7-$H$7)),$J$7-SQRT((1-P622)*($J$7-$H$7)*($J$7-$I$7)))</f>
        <v/>
      </c>
      <c r="E622" s="17">
        <f>SUM(B622:D622)</f>
        <v/>
      </c>
      <c r="N622" s="16">
        <f>RAND()</f>
        <v/>
      </c>
      <c r="O622" s="16">
        <f>RAND()</f>
        <v/>
      </c>
      <c r="P622" s="16">
        <f>RAND()</f>
        <v/>
      </c>
    </row>
    <row r="623">
      <c r="A623" s="13" t="n">
        <v>619</v>
      </c>
      <c r="B623" s="17">
        <f>IF(N623&lt;$K$5,$H$5+SQRT(N623*($J$5-$H$5)*($I$5-$H$5)),$J$5-SQRT((1-N623)*($J$5-$H$5)*($J$5-$I$5)))</f>
        <v/>
      </c>
      <c r="C623" s="17">
        <f>IF(O623&lt;$K$6,$H$6+SQRT(O623*($J$6-$H$6)*($I$6-$H$6)),$J$6-SQRT((1-O623)*($J$6-$H$6)*($J$6-$I$6)))</f>
        <v/>
      </c>
      <c r="D623" s="17">
        <f>IF(P623&lt;$K$7,$H$7+SQRT(P623*($J$7-$H$7)*($I$7-$H$7)),$J$7-SQRT((1-P623)*($J$7-$H$7)*($J$7-$I$7)))</f>
        <v/>
      </c>
      <c r="E623" s="17">
        <f>SUM(B623:D623)</f>
        <v/>
      </c>
      <c r="N623" s="16">
        <f>RAND()</f>
        <v/>
      </c>
      <c r="O623" s="16">
        <f>RAND()</f>
        <v/>
      </c>
      <c r="P623" s="16">
        <f>RAND()</f>
        <v/>
      </c>
    </row>
    <row r="624">
      <c r="A624" s="13" t="n">
        <v>620</v>
      </c>
      <c r="B624" s="17">
        <f>IF(N624&lt;$K$5,$H$5+SQRT(N624*($J$5-$H$5)*($I$5-$H$5)),$J$5-SQRT((1-N624)*($J$5-$H$5)*($J$5-$I$5)))</f>
        <v/>
      </c>
      <c r="C624" s="17">
        <f>IF(O624&lt;$K$6,$H$6+SQRT(O624*($J$6-$H$6)*($I$6-$H$6)),$J$6-SQRT((1-O624)*($J$6-$H$6)*($J$6-$I$6)))</f>
        <v/>
      </c>
      <c r="D624" s="17">
        <f>IF(P624&lt;$K$7,$H$7+SQRT(P624*($J$7-$H$7)*($I$7-$H$7)),$J$7-SQRT((1-P624)*($J$7-$H$7)*($J$7-$I$7)))</f>
        <v/>
      </c>
      <c r="E624" s="17">
        <f>SUM(B624:D624)</f>
        <v/>
      </c>
      <c r="N624" s="16">
        <f>RAND()</f>
        <v/>
      </c>
      <c r="O624" s="16">
        <f>RAND()</f>
        <v/>
      </c>
      <c r="P624" s="16">
        <f>RAND()</f>
        <v/>
      </c>
    </row>
    <row r="625">
      <c r="A625" s="13" t="n">
        <v>621</v>
      </c>
      <c r="B625" s="17">
        <f>IF(N625&lt;$K$5,$H$5+SQRT(N625*($J$5-$H$5)*($I$5-$H$5)),$J$5-SQRT((1-N625)*($J$5-$H$5)*($J$5-$I$5)))</f>
        <v/>
      </c>
      <c r="C625" s="17">
        <f>IF(O625&lt;$K$6,$H$6+SQRT(O625*($J$6-$H$6)*($I$6-$H$6)),$J$6-SQRT((1-O625)*($J$6-$H$6)*($J$6-$I$6)))</f>
        <v/>
      </c>
      <c r="D625" s="17">
        <f>IF(P625&lt;$K$7,$H$7+SQRT(P625*($J$7-$H$7)*($I$7-$H$7)),$J$7-SQRT((1-P625)*($J$7-$H$7)*($J$7-$I$7)))</f>
        <v/>
      </c>
      <c r="E625" s="17">
        <f>SUM(B625:D625)</f>
        <v/>
      </c>
      <c r="N625" s="16">
        <f>RAND()</f>
        <v/>
      </c>
      <c r="O625" s="16">
        <f>RAND()</f>
        <v/>
      </c>
      <c r="P625" s="16">
        <f>RAND()</f>
        <v/>
      </c>
    </row>
    <row r="626">
      <c r="A626" s="13" t="n">
        <v>622</v>
      </c>
      <c r="B626" s="17">
        <f>IF(N626&lt;$K$5,$H$5+SQRT(N626*($J$5-$H$5)*($I$5-$H$5)),$J$5-SQRT((1-N626)*($J$5-$H$5)*($J$5-$I$5)))</f>
        <v/>
      </c>
      <c r="C626" s="17">
        <f>IF(O626&lt;$K$6,$H$6+SQRT(O626*($J$6-$H$6)*($I$6-$H$6)),$J$6-SQRT((1-O626)*($J$6-$H$6)*($J$6-$I$6)))</f>
        <v/>
      </c>
      <c r="D626" s="17">
        <f>IF(P626&lt;$K$7,$H$7+SQRT(P626*($J$7-$H$7)*($I$7-$H$7)),$J$7-SQRT((1-P626)*($J$7-$H$7)*($J$7-$I$7)))</f>
        <v/>
      </c>
      <c r="E626" s="17">
        <f>SUM(B626:D626)</f>
        <v/>
      </c>
      <c r="N626" s="16">
        <f>RAND()</f>
        <v/>
      </c>
      <c r="O626" s="16">
        <f>RAND()</f>
        <v/>
      </c>
      <c r="P626" s="16">
        <f>RAND()</f>
        <v/>
      </c>
    </row>
    <row r="627">
      <c r="A627" s="13" t="n">
        <v>623</v>
      </c>
      <c r="B627" s="17">
        <f>IF(N627&lt;$K$5,$H$5+SQRT(N627*($J$5-$H$5)*($I$5-$H$5)),$J$5-SQRT((1-N627)*($J$5-$H$5)*($J$5-$I$5)))</f>
        <v/>
      </c>
      <c r="C627" s="17">
        <f>IF(O627&lt;$K$6,$H$6+SQRT(O627*($J$6-$H$6)*($I$6-$H$6)),$J$6-SQRT((1-O627)*($J$6-$H$6)*($J$6-$I$6)))</f>
        <v/>
      </c>
      <c r="D627" s="17">
        <f>IF(P627&lt;$K$7,$H$7+SQRT(P627*($J$7-$H$7)*($I$7-$H$7)),$J$7-SQRT((1-P627)*($J$7-$H$7)*($J$7-$I$7)))</f>
        <v/>
      </c>
      <c r="E627" s="17">
        <f>SUM(B627:D627)</f>
        <v/>
      </c>
      <c r="N627" s="16">
        <f>RAND()</f>
        <v/>
      </c>
      <c r="O627" s="16">
        <f>RAND()</f>
        <v/>
      </c>
      <c r="P627" s="16">
        <f>RAND()</f>
        <v/>
      </c>
    </row>
    <row r="628">
      <c r="A628" s="13" t="n">
        <v>624</v>
      </c>
      <c r="B628" s="17">
        <f>IF(N628&lt;$K$5,$H$5+SQRT(N628*($J$5-$H$5)*($I$5-$H$5)),$J$5-SQRT((1-N628)*($J$5-$H$5)*($J$5-$I$5)))</f>
        <v/>
      </c>
      <c r="C628" s="17">
        <f>IF(O628&lt;$K$6,$H$6+SQRT(O628*($J$6-$H$6)*($I$6-$H$6)),$J$6-SQRT((1-O628)*($J$6-$H$6)*($J$6-$I$6)))</f>
        <v/>
      </c>
      <c r="D628" s="17">
        <f>IF(P628&lt;$K$7,$H$7+SQRT(P628*($J$7-$H$7)*($I$7-$H$7)),$J$7-SQRT((1-P628)*($J$7-$H$7)*($J$7-$I$7)))</f>
        <v/>
      </c>
      <c r="E628" s="17">
        <f>SUM(B628:D628)</f>
        <v/>
      </c>
      <c r="N628" s="16">
        <f>RAND()</f>
        <v/>
      </c>
      <c r="O628" s="16">
        <f>RAND()</f>
        <v/>
      </c>
      <c r="P628" s="16">
        <f>RAND()</f>
        <v/>
      </c>
    </row>
    <row r="629">
      <c r="A629" s="13" t="n">
        <v>625</v>
      </c>
      <c r="B629" s="17">
        <f>IF(N629&lt;$K$5,$H$5+SQRT(N629*($J$5-$H$5)*($I$5-$H$5)),$J$5-SQRT((1-N629)*($J$5-$H$5)*($J$5-$I$5)))</f>
        <v/>
      </c>
      <c r="C629" s="17">
        <f>IF(O629&lt;$K$6,$H$6+SQRT(O629*($J$6-$H$6)*($I$6-$H$6)),$J$6-SQRT((1-O629)*($J$6-$H$6)*($J$6-$I$6)))</f>
        <v/>
      </c>
      <c r="D629" s="17">
        <f>IF(P629&lt;$K$7,$H$7+SQRT(P629*($J$7-$H$7)*($I$7-$H$7)),$J$7-SQRT((1-P629)*($J$7-$H$7)*($J$7-$I$7)))</f>
        <v/>
      </c>
      <c r="E629" s="17">
        <f>SUM(B629:D629)</f>
        <v/>
      </c>
      <c r="N629" s="16">
        <f>RAND()</f>
        <v/>
      </c>
      <c r="O629" s="16">
        <f>RAND()</f>
        <v/>
      </c>
      <c r="P629" s="16">
        <f>RAND()</f>
        <v/>
      </c>
    </row>
    <row r="630">
      <c r="A630" s="13" t="n">
        <v>626</v>
      </c>
      <c r="B630" s="17">
        <f>IF(N630&lt;$K$5,$H$5+SQRT(N630*($J$5-$H$5)*($I$5-$H$5)),$J$5-SQRT((1-N630)*($J$5-$H$5)*($J$5-$I$5)))</f>
        <v/>
      </c>
      <c r="C630" s="17">
        <f>IF(O630&lt;$K$6,$H$6+SQRT(O630*($J$6-$H$6)*($I$6-$H$6)),$J$6-SQRT((1-O630)*($J$6-$H$6)*($J$6-$I$6)))</f>
        <v/>
      </c>
      <c r="D630" s="17">
        <f>IF(P630&lt;$K$7,$H$7+SQRT(P630*($J$7-$H$7)*($I$7-$H$7)),$J$7-SQRT((1-P630)*($J$7-$H$7)*($J$7-$I$7)))</f>
        <v/>
      </c>
      <c r="E630" s="17">
        <f>SUM(B630:D630)</f>
        <v/>
      </c>
      <c r="N630" s="16">
        <f>RAND()</f>
        <v/>
      </c>
      <c r="O630" s="16">
        <f>RAND()</f>
        <v/>
      </c>
      <c r="P630" s="16">
        <f>RAND()</f>
        <v/>
      </c>
    </row>
    <row r="631">
      <c r="A631" s="13" t="n">
        <v>627</v>
      </c>
      <c r="B631" s="17">
        <f>IF(N631&lt;$K$5,$H$5+SQRT(N631*($J$5-$H$5)*($I$5-$H$5)),$J$5-SQRT((1-N631)*($J$5-$H$5)*($J$5-$I$5)))</f>
        <v/>
      </c>
      <c r="C631" s="17">
        <f>IF(O631&lt;$K$6,$H$6+SQRT(O631*($J$6-$H$6)*($I$6-$H$6)),$J$6-SQRT((1-O631)*($J$6-$H$6)*($J$6-$I$6)))</f>
        <v/>
      </c>
      <c r="D631" s="17">
        <f>IF(P631&lt;$K$7,$H$7+SQRT(P631*($J$7-$H$7)*($I$7-$H$7)),$J$7-SQRT((1-P631)*($J$7-$H$7)*($J$7-$I$7)))</f>
        <v/>
      </c>
      <c r="E631" s="17">
        <f>SUM(B631:D631)</f>
        <v/>
      </c>
      <c r="N631" s="16">
        <f>RAND()</f>
        <v/>
      </c>
      <c r="O631" s="16">
        <f>RAND()</f>
        <v/>
      </c>
      <c r="P631" s="16">
        <f>RAND()</f>
        <v/>
      </c>
    </row>
    <row r="632">
      <c r="A632" s="13" t="n">
        <v>628</v>
      </c>
      <c r="B632" s="17">
        <f>IF(N632&lt;$K$5,$H$5+SQRT(N632*($J$5-$H$5)*($I$5-$H$5)),$J$5-SQRT((1-N632)*($J$5-$H$5)*($J$5-$I$5)))</f>
        <v/>
      </c>
      <c r="C632" s="17">
        <f>IF(O632&lt;$K$6,$H$6+SQRT(O632*($J$6-$H$6)*($I$6-$H$6)),$J$6-SQRT((1-O632)*($J$6-$H$6)*($J$6-$I$6)))</f>
        <v/>
      </c>
      <c r="D632" s="17">
        <f>IF(P632&lt;$K$7,$H$7+SQRT(P632*($J$7-$H$7)*($I$7-$H$7)),$J$7-SQRT((1-P632)*($J$7-$H$7)*($J$7-$I$7)))</f>
        <v/>
      </c>
      <c r="E632" s="17">
        <f>SUM(B632:D632)</f>
        <v/>
      </c>
      <c r="N632" s="16">
        <f>RAND()</f>
        <v/>
      </c>
      <c r="O632" s="16">
        <f>RAND()</f>
        <v/>
      </c>
      <c r="P632" s="16">
        <f>RAND()</f>
        <v/>
      </c>
    </row>
    <row r="633">
      <c r="A633" s="13" t="n">
        <v>629</v>
      </c>
      <c r="B633" s="17">
        <f>IF(N633&lt;$K$5,$H$5+SQRT(N633*($J$5-$H$5)*($I$5-$H$5)),$J$5-SQRT((1-N633)*($J$5-$H$5)*($J$5-$I$5)))</f>
        <v/>
      </c>
      <c r="C633" s="17">
        <f>IF(O633&lt;$K$6,$H$6+SQRT(O633*($J$6-$H$6)*($I$6-$H$6)),$J$6-SQRT((1-O633)*($J$6-$H$6)*($J$6-$I$6)))</f>
        <v/>
      </c>
      <c r="D633" s="17">
        <f>IF(P633&lt;$K$7,$H$7+SQRT(P633*($J$7-$H$7)*($I$7-$H$7)),$J$7-SQRT((1-P633)*($J$7-$H$7)*($J$7-$I$7)))</f>
        <v/>
      </c>
      <c r="E633" s="17">
        <f>SUM(B633:D633)</f>
        <v/>
      </c>
      <c r="N633" s="16">
        <f>RAND()</f>
        <v/>
      </c>
      <c r="O633" s="16">
        <f>RAND()</f>
        <v/>
      </c>
      <c r="P633" s="16">
        <f>RAND()</f>
        <v/>
      </c>
    </row>
    <row r="634">
      <c r="A634" s="13" t="n">
        <v>630</v>
      </c>
      <c r="B634" s="17">
        <f>IF(N634&lt;$K$5,$H$5+SQRT(N634*($J$5-$H$5)*($I$5-$H$5)),$J$5-SQRT((1-N634)*($J$5-$H$5)*($J$5-$I$5)))</f>
        <v/>
      </c>
      <c r="C634" s="17">
        <f>IF(O634&lt;$K$6,$H$6+SQRT(O634*($J$6-$H$6)*($I$6-$H$6)),$J$6-SQRT((1-O634)*($J$6-$H$6)*($J$6-$I$6)))</f>
        <v/>
      </c>
      <c r="D634" s="17">
        <f>IF(P634&lt;$K$7,$H$7+SQRT(P634*($J$7-$H$7)*($I$7-$H$7)),$J$7-SQRT((1-P634)*($J$7-$H$7)*($J$7-$I$7)))</f>
        <v/>
      </c>
      <c r="E634" s="17">
        <f>SUM(B634:D634)</f>
        <v/>
      </c>
      <c r="N634" s="16">
        <f>RAND()</f>
        <v/>
      </c>
      <c r="O634" s="16">
        <f>RAND()</f>
        <v/>
      </c>
      <c r="P634" s="16">
        <f>RAND()</f>
        <v/>
      </c>
    </row>
    <row r="635">
      <c r="A635" s="13" t="n">
        <v>631</v>
      </c>
      <c r="B635" s="17">
        <f>IF(N635&lt;$K$5,$H$5+SQRT(N635*($J$5-$H$5)*($I$5-$H$5)),$J$5-SQRT((1-N635)*($J$5-$H$5)*($J$5-$I$5)))</f>
        <v/>
      </c>
      <c r="C635" s="17">
        <f>IF(O635&lt;$K$6,$H$6+SQRT(O635*($J$6-$H$6)*($I$6-$H$6)),$J$6-SQRT((1-O635)*($J$6-$H$6)*($J$6-$I$6)))</f>
        <v/>
      </c>
      <c r="D635" s="17">
        <f>IF(P635&lt;$K$7,$H$7+SQRT(P635*($J$7-$H$7)*($I$7-$H$7)),$J$7-SQRT((1-P635)*($J$7-$H$7)*($J$7-$I$7)))</f>
        <v/>
      </c>
      <c r="E635" s="17">
        <f>SUM(B635:D635)</f>
        <v/>
      </c>
      <c r="N635" s="16">
        <f>RAND()</f>
        <v/>
      </c>
      <c r="O635" s="16">
        <f>RAND()</f>
        <v/>
      </c>
      <c r="P635" s="16">
        <f>RAND()</f>
        <v/>
      </c>
    </row>
    <row r="636">
      <c r="A636" s="13" t="n">
        <v>632</v>
      </c>
      <c r="B636" s="17">
        <f>IF(N636&lt;$K$5,$H$5+SQRT(N636*($J$5-$H$5)*($I$5-$H$5)),$J$5-SQRT((1-N636)*($J$5-$H$5)*($J$5-$I$5)))</f>
        <v/>
      </c>
      <c r="C636" s="17">
        <f>IF(O636&lt;$K$6,$H$6+SQRT(O636*($J$6-$H$6)*($I$6-$H$6)),$J$6-SQRT((1-O636)*($J$6-$H$6)*($J$6-$I$6)))</f>
        <v/>
      </c>
      <c r="D636" s="17">
        <f>IF(P636&lt;$K$7,$H$7+SQRT(P636*($J$7-$H$7)*($I$7-$H$7)),$J$7-SQRT((1-P636)*($J$7-$H$7)*($J$7-$I$7)))</f>
        <v/>
      </c>
      <c r="E636" s="17">
        <f>SUM(B636:D636)</f>
        <v/>
      </c>
      <c r="N636" s="16">
        <f>RAND()</f>
        <v/>
      </c>
      <c r="O636" s="16">
        <f>RAND()</f>
        <v/>
      </c>
      <c r="P636" s="16">
        <f>RAND()</f>
        <v/>
      </c>
    </row>
    <row r="637">
      <c r="A637" s="13" t="n">
        <v>633</v>
      </c>
      <c r="B637" s="17">
        <f>IF(N637&lt;$K$5,$H$5+SQRT(N637*($J$5-$H$5)*($I$5-$H$5)),$J$5-SQRT((1-N637)*($J$5-$H$5)*($J$5-$I$5)))</f>
        <v/>
      </c>
      <c r="C637" s="17">
        <f>IF(O637&lt;$K$6,$H$6+SQRT(O637*($J$6-$H$6)*($I$6-$H$6)),$J$6-SQRT((1-O637)*($J$6-$H$6)*($J$6-$I$6)))</f>
        <v/>
      </c>
      <c r="D637" s="17">
        <f>IF(P637&lt;$K$7,$H$7+SQRT(P637*($J$7-$H$7)*($I$7-$H$7)),$J$7-SQRT((1-P637)*($J$7-$H$7)*($J$7-$I$7)))</f>
        <v/>
      </c>
      <c r="E637" s="17">
        <f>SUM(B637:D637)</f>
        <v/>
      </c>
      <c r="N637" s="16">
        <f>RAND()</f>
        <v/>
      </c>
      <c r="O637" s="16">
        <f>RAND()</f>
        <v/>
      </c>
      <c r="P637" s="16">
        <f>RAND()</f>
        <v/>
      </c>
    </row>
    <row r="638">
      <c r="A638" s="13" t="n">
        <v>634</v>
      </c>
      <c r="B638" s="17">
        <f>IF(N638&lt;$K$5,$H$5+SQRT(N638*($J$5-$H$5)*($I$5-$H$5)),$J$5-SQRT((1-N638)*($J$5-$H$5)*($J$5-$I$5)))</f>
        <v/>
      </c>
      <c r="C638" s="17">
        <f>IF(O638&lt;$K$6,$H$6+SQRT(O638*($J$6-$H$6)*($I$6-$H$6)),$J$6-SQRT((1-O638)*($J$6-$H$6)*($J$6-$I$6)))</f>
        <v/>
      </c>
      <c r="D638" s="17">
        <f>IF(P638&lt;$K$7,$H$7+SQRT(P638*($J$7-$H$7)*($I$7-$H$7)),$J$7-SQRT((1-P638)*($J$7-$H$7)*($J$7-$I$7)))</f>
        <v/>
      </c>
      <c r="E638" s="17">
        <f>SUM(B638:D638)</f>
        <v/>
      </c>
      <c r="N638" s="16">
        <f>RAND()</f>
        <v/>
      </c>
      <c r="O638" s="16">
        <f>RAND()</f>
        <v/>
      </c>
      <c r="P638" s="16">
        <f>RAND()</f>
        <v/>
      </c>
    </row>
    <row r="639">
      <c r="A639" s="13" t="n">
        <v>635</v>
      </c>
      <c r="B639" s="17">
        <f>IF(N639&lt;$K$5,$H$5+SQRT(N639*($J$5-$H$5)*($I$5-$H$5)),$J$5-SQRT((1-N639)*($J$5-$H$5)*($J$5-$I$5)))</f>
        <v/>
      </c>
      <c r="C639" s="17">
        <f>IF(O639&lt;$K$6,$H$6+SQRT(O639*($J$6-$H$6)*($I$6-$H$6)),$J$6-SQRT((1-O639)*($J$6-$H$6)*($J$6-$I$6)))</f>
        <v/>
      </c>
      <c r="D639" s="17">
        <f>IF(P639&lt;$K$7,$H$7+SQRT(P639*($J$7-$H$7)*($I$7-$H$7)),$J$7-SQRT((1-P639)*($J$7-$H$7)*($J$7-$I$7)))</f>
        <v/>
      </c>
      <c r="E639" s="17">
        <f>SUM(B639:D639)</f>
        <v/>
      </c>
      <c r="N639" s="16">
        <f>RAND()</f>
        <v/>
      </c>
      <c r="O639" s="16">
        <f>RAND()</f>
        <v/>
      </c>
      <c r="P639" s="16">
        <f>RAND()</f>
        <v/>
      </c>
    </row>
    <row r="640">
      <c r="A640" s="13" t="n">
        <v>636</v>
      </c>
      <c r="B640" s="17">
        <f>IF(N640&lt;$K$5,$H$5+SQRT(N640*($J$5-$H$5)*($I$5-$H$5)),$J$5-SQRT((1-N640)*($J$5-$H$5)*($J$5-$I$5)))</f>
        <v/>
      </c>
      <c r="C640" s="17">
        <f>IF(O640&lt;$K$6,$H$6+SQRT(O640*($J$6-$H$6)*($I$6-$H$6)),$J$6-SQRT((1-O640)*($J$6-$H$6)*($J$6-$I$6)))</f>
        <v/>
      </c>
      <c r="D640" s="17">
        <f>IF(P640&lt;$K$7,$H$7+SQRT(P640*($J$7-$H$7)*($I$7-$H$7)),$J$7-SQRT((1-P640)*($J$7-$H$7)*($J$7-$I$7)))</f>
        <v/>
      </c>
      <c r="E640" s="17">
        <f>SUM(B640:D640)</f>
        <v/>
      </c>
      <c r="N640" s="16">
        <f>RAND()</f>
        <v/>
      </c>
      <c r="O640" s="16">
        <f>RAND()</f>
        <v/>
      </c>
      <c r="P640" s="16">
        <f>RAND()</f>
        <v/>
      </c>
    </row>
    <row r="641">
      <c r="A641" s="13" t="n">
        <v>637</v>
      </c>
      <c r="B641" s="17">
        <f>IF(N641&lt;$K$5,$H$5+SQRT(N641*($J$5-$H$5)*($I$5-$H$5)),$J$5-SQRT((1-N641)*($J$5-$H$5)*($J$5-$I$5)))</f>
        <v/>
      </c>
      <c r="C641" s="17">
        <f>IF(O641&lt;$K$6,$H$6+SQRT(O641*($J$6-$H$6)*($I$6-$H$6)),$J$6-SQRT((1-O641)*($J$6-$H$6)*($J$6-$I$6)))</f>
        <v/>
      </c>
      <c r="D641" s="17">
        <f>IF(P641&lt;$K$7,$H$7+SQRT(P641*($J$7-$H$7)*($I$7-$H$7)),$J$7-SQRT((1-P641)*($J$7-$H$7)*($J$7-$I$7)))</f>
        <v/>
      </c>
      <c r="E641" s="17">
        <f>SUM(B641:D641)</f>
        <v/>
      </c>
      <c r="N641" s="16">
        <f>RAND()</f>
        <v/>
      </c>
      <c r="O641" s="16">
        <f>RAND()</f>
        <v/>
      </c>
      <c r="P641" s="16">
        <f>RAND()</f>
        <v/>
      </c>
    </row>
    <row r="642">
      <c r="A642" s="13" t="n">
        <v>638</v>
      </c>
      <c r="B642" s="17">
        <f>IF(N642&lt;$K$5,$H$5+SQRT(N642*($J$5-$H$5)*($I$5-$H$5)),$J$5-SQRT((1-N642)*($J$5-$H$5)*($J$5-$I$5)))</f>
        <v/>
      </c>
      <c r="C642" s="17">
        <f>IF(O642&lt;$K$6,$H$6+SQRT(O642*($J$6-$H$6)*($I$6-$H$6)),$J$6-SQRT((1-O642)*($J$6-$H$6)*($J$6-$I$6)))</f>
        <v/>
      </c>
      <c r="D642" s="17">
        <f>IF(P642&lt;$K$7,$H$7+SQRT(P642*($J$7-$H$7)*($I$7-$H$7)),$J$7-SQRT((1-P642)*($J$7-$H$7)*($J$7-$I$7)))</f>
        <v/>
      </c>
      <c r="E642" s="17">
        <f>SUM(B642:D642)</f>
        <v/>
      </c>
      <c r="N642" s="16">
        <f>RAND()</f>
        <v/>
      </c>
      <c r="O642" s="16">
        <f>RAND()</f>
        <v/>
      </c>
      <c r="P642" s="16">
        <f>RAND()</f>
        <v/>
      </c>
    </row>
    <row r="643">
      <c r="A643" s="13" t="n">
        <v>639</v>
      </c>
      <c r="B643" s="17">
        <f>IF(N643&lt;$K$5,$H$5+SQRT(N643*($J$5-$H$5)*($I$5-$H$5)),$J$5-SQRT((1-N643)*($J$5-$H$5)*($J$5-$I$5)))</f>
        <v/>
      </c>
      <c r="C643" s="17">
        <f>IF(O643&lt;$K$6,$H$6+SQRT(O643*($J$6-$H$6)*($I$6-$H$6)),$J$6-SQRT((1-O643)*($J$6-$H$6)*($J$6-$I$6)))</f>
        <v/>
      </c>
      <c r="D643" s="17">
        <f>IF(P643&lt;$K$7,$H$7+SQRT(P643*($J$7-$H$7)*($I$7-$H$7)),$J$7-SQRT((1-P643)*($J$7-$H$7)*($J$7-$I$7)))</f>
        <v/>
      </c>
      <c r="E643" s="17">
        <f>SUM(B643:D643)</f>
        <v/>
      </c>
      <c r="N643" s="16">
        <f>RAND()</f>
        <v/>
      </c>
      <c r="O643" s="16">
        <f>RAND()</f>
        <v/>
      </c>
      <c r="P643" s="16">
        <f>RAND()</f>
        <v/>
      </c>
    </row>
    <row r="644">
      <c r="A644" s="13" t="n">
        <v>640</v>
      </c>
      <c r="B644" s="17">
        <f>IF(N644&lt;$K$5,$H$5+SQRT(N644*($J$5-$H$5)*($I$5-$H$5)),$J$5-SQRT((1-N644)*($J$5-$H$5)*($J$5-$I$5)))</f>
        <v/>
      </c>
      <c r="C644" s="17">
        <f>IF(O644&lt;$K$6,$H$6+SQRT(O644*($J$6-$H$6)*($I$6-$H$6)),$J$6-SQRT((1-O644)*($J$6-$H$6)*($J$6-$I$6)))</f>
        <v/>
      </c>
      <c r="D644" s="17">
        <f>IF(P644&lt;$K$7,$H$7+SQRT(P644*($J$7-$H$7)*($I$7-$H$7)),$J$7-SQRT((1-P644)*($J$7-$H$7)*($J$7-$I$7)))</f>
        <v/>
      </c>
      <c r="E644" s="17">
        <f>SUM(B644:D644)</f>
        <v/>
      </c>
      <c r="N644" s="16">
        <f>RAND()</f>
        <v/>
      </c>
      <c r="O644" s="16">
        <f>RAND()</f>
        <v/>
      </c>
      <c r="P644" s="16">
        <f>RAND()</f>
        <v/>
      </c>
    </row>
    <row r="645">
      <c r="A645" s="13" t="n">
        <v>641</v>
      </c>
      <c r="B645" s="17">
        <f>IF(N645&lt;$K$5,$H$5+SQRT(N645*($J$5-$H$5)*($I$5-$H$5)),$J$5-SQRT((1-N645)*($J$5-$H$5)*($J$5-$I$5)))</f>
        <v/>
      </c>
      <c r="C645" s="17">
        <f>IF(O645&lt;$K$6,$H$6+SQRT(O645*($J$6-$H$6)*($I$6-$H$6)),$J$6-SQRT((1-O645)*($J$6-$H$6)*($J$6-$I$6)))</f>
        <v/>
      </c>
      <c r="D645" s="17">
        <f>IF(P645&lt;$K$7,$H$7+SQRT(P645*($J$7-$H$7)*($I$7-$H$7)),$J$7-SQRT((1-P645)*($J$7-$H$7)*($J$7-$I$7)))</f>
        <v/>
      </c>
      <c r="E645" s="17">
        <f>SUM(B645:D645)</f>
        <v/>
      </c>
      <c r="N645" s="16">
        <f>RAND()</f>
        <v/>
      </c>
      <c r="O645" s="16">
        <f>RAND()</f>
        <v/>
      </c>
      <c r="P645" s="16">
        <f>RAND()</f>
        <v/>
      </c>
    </row>
    <row r="646">
      <c r="A646" s="13" t="n">
        <v>642</v>
      </c>
      <c r="B646" s="17">
        <f>IF(N646&lt;$K$5,$H$5+SQRT(N646*($J$5-$H$5)*($I$5-$H$5)),$J$5-SQRT((1-N646)*($J$5-$H$5)*($J$5-$I$5)))</f>
        <v/>
      </c>
      <c r="C646" s="17">
        <f>IF(O646&lt;$K$6,$H$6+SQRT(O646*($J$6-$H$6)*($I$6-$H$6)),$J$6-SQRT((1-O646)*($J$6-$H$6)*($J$6-$I$6)))</f>
        <v/>
      </c>
      <c r="D646" s="17">
        <f>IF(P646&lt;$K$7,$H$7+SQRT(P646*($J$7-$H$7)*($I$7-$H$7)),$J$7-SQRT((1-P646)*($J$7-$H$7)*($J$7-$I$7)))</f>
        <v/>
      </c>
      <c r="E646" s="17">
        <f>SUM(B646:D646)</f>
        <v/>
      </c>
      <c r="N646" s="16">
        <f>RAND()</f>
        <v/>
      </c>
      <c r="O646" s="16">
        <f>RAND()</f>
        <v/>
      </c>
      <c r="P646" s="16">
        <f>RAND()</f>
        <v/>
      </c>
    </row>
    <row r="647">
      <c r="A647" s="13" t="n">
        <v>643</v>
      </c>
      <c r="B647" s="17">
        <f>IF(N647&lt;$K$5,$H$5+SQRT(N647*($J$5-$H$5)*($I$5-$H$5)),$J$5-SQRT((1-N647)*($J$5-$H$5)*($J$5-$I$5)))</f>
        <v/>
      </c>
      <c r="C647" s="17">
        <f>IF(O647&lt;$K$6,$H$6+SQRT(O647*($J$6-$H$6)*($I$6-$H$6)),$J$6-SQRT((1-O647)*($J$6-$H$6)*($J$6-$I$6)))</f>
        <v/>
      </c>
      <c r="D647" s="17">
        <f>IF(P647&lt;$K$7,$H$7+SQRT(P647*($J$7-$H$7)*($I$7-$H$7)),$J$7-SQRT((1-P647)*($J$7-$H$7)*($J$7-$I$7)))</f>
        <v/>
      </c>
      <c r="E647" s="17">
        <f>SUM(B647:D647)</f>
        <v/>
      </c>
      <c r="N647" s="16">
        <f>RAND()</f>
        <v/>
      </c>
      <c r="O647" s="16">
        <f>RAND()</f>
        <v/>
      </c>
      <c r="P647" s="16">
        <f>RAND()</f>
        <v/>
      </c>
    </row>
    <row r="648">
      <c r="A648" s="13" t="n">
        <v>644</v>
      </c>
      <c r="B648" s="17">
        <f>IF(N648&lt;$K$5,$H$5+SQRT(N648*($J$5-$H$5)*($I$5-$H$5)),$J$5-SQRT((1-N648)*($J$5-$H$5)*($J$5-$I$5)))</f>
        <v/>
      </c>
      <c r="C648" s="17">
        <f>IF(O648&lt;$K$6,$H$6+SQRT(O648*($J$6-$H$6)*($I$6-$H$6)),$J$6-SQRT((1-O648)*($J$6-$H$6)*($J$6-$I$6)))</f>
        <v/>
      </c>
      <c r="D648" s="17">
        <f>IF(P648&lt;$K$7,$H$7+SQRT(P648*($J$7-$H$7)*($I$7-$H$7)),$J$7-SQRT((1-P648)*($J$7-$H$7)*($J$7-$I$7)))</f>
        <v/>
      </c>
      <c r="E648" s="17">
        <f>SUM(B648:D648)</f>
        <v/>
      </c>
      <c r="N648" s="16">
        <f>RAND()</f>
        <v/>
      </c>
      <c r="O648" s="16">
        <f>RAND()</f>
        <v/>
      </c>
      <c r="P648" s="16">
        <f>RAND()</f>
        <v/>
      </c>
    </row>
    <row r="649">
      <c r="A649" s="13" t="n">
        <v>645</v>
      </c>
      <c r="B649" s="17">
        <f>IF(N649&lt;$K$5,$H$5+SQRT(N649*($J$5-$H$5)*($I$5-$H$5)),$J$5-SQRT((1-N649)*($J$5-$H$5)*($J$5-$I$5)))</f>
        <v/>
      </c>
      <c r="C649" s="17">
        <f>IF(O649&lt;$K$6,$H$6+SQRT(O649*($J$6-$H$6)*($I$6-$H$6)),$J$6-SQRT((1-O649)*($J$6-$H$6)*($J$6-$I$6)))</f>
        <v/>
      </c>
      <c r="D649" s="17">
        <f>IF(P649&lt;$K$7,$H$7+SQRT(P649*($J$7-$H$7)*($I$7-$H$7)),$J$7-SQRT((1-P649)*($J$7-$H$7)*($J$7-$I$7)))</f>
        <v/>
      </c>
      <c r="E649" s="17">
        <f>SUM(B649:D649)</f>
        <v/>
      </c>
      <c r="N649" s="16">
        <f>RAND()</f>
        <v/>
      </c>
      <c r="O649" s="16">
        <f>RAND()</f>
        <v/>
      </c>
      <c r="P649" s="16">
        <f>RAND()</f>
        <v/>
      </c>
    </row>
    <row r="650">
      <c r="A650" s="13" t="n">
        <v>646</v>
      </c>
      <c r="B650" s="17">
        <f>IF(N650&lt;$K$5,$H$5+SQRT(N650*($J$5-$H$5)*($I$5-$H$5)),$J$5-SQRT((1-N650)*($J$5-$H$5)*($J$5-$I$5)))</f>
        <v/>
      </c>
      <c r="C650" s="17">
        <f>IF(O650&lt;$K$6,$H$6+SQRT(O650*($J$6-$H$6)*($I$6-$H$6)),$J$6-SQRT((1-O650)*($J$6-$H$6)*($J$6-$I$6)))</f>
        <v/>
      </c>
      <c r="D650" s="17">
        <f>IF(P650&lt;$K$7,$H$7+SQRT(P650*($J$7-$H$7)*($I$7-$H$7)),$J$7-SQRT((1-P650)*($J$7-$H$7)*($J$7-$I$7)))</f>
        <v/>
      </c>
      <c r="E650" s="17">
        <f>SUM(B650:D650)</f>
        <v/>
      </c>
      <c r="N650" s="16">
        <f>RAND()</f>
        <v/>
      </c>
      <c r="O650" s="16">
        <f>RAND()</f>
        <v/>
      </c>
      <c r="P650" s="16">
        <f>RAND()</f>
        <v/>
      </c>
    </row>
    <row r="651">
      <c r="A651" s="13" t="n">
        <v>647</v>
      </c>
      <c r="B651" s="17">
        <f>IF(N651&lt;$K$5,$H$5+SQRT(N651*($J$5-$H$5)*($I$5-$H$5)),$J$5-SQRT((1-N651)*($J$5-$H$5)*($J$5-$I$5)))</f>
        <v/>
      </c>
      <c r="C651" s="17">
        <f>IF(O651&lt;$K$6,$H$6+SQRT(O651*($J$6-$H$6)*($I$6-$H$6)),$J$6-SQRT((1-O651)*($J$6-$H$6)*($J$6-$I$6)))</f>
        <v/>
      </c>
      <c r="D651" s="17">
        <f>IF(P651&lt;$K$7,$H$7+SQRT(P651*($J$7-$H$7)*($I$7-$H$7)),$J$7-SQRT((1-P651)*($J$7-$H$7)*($J$7-$I$7)))</f>
        <v/>
      </c>
      <c r="E651" s="17">
        <f>SUM(B651:D651)</f>
        <v/>
      </c>
      <c r="N651" s="16">
        <f>RAND()</f>
        <v/>
      </c>
      <c r="O651" s="16">
        <f>RAND()</f>
        <v/>
      </c>
      <c r="P651" s="16">
        <f>RAND()</f>
        <v/>
      </c>
    </row>
    <row r="652">
      <c r="A652" s="13" t="n">
        <v>648</v>
      </c>
      <c r="B652" s="17">
        <f>IF(N652&lt;$K$5,$H$5+SQRT(N652*($J$5-$H$5)*($I$5-$H$5)),$J$5-SQRT((1-N652)*($J$5-$H$5)*($J$5-$I$5)))</f>
        <v/>
      </c>
      <c r="C652" s="17">
        <f>IF(O652&lt;$K$6,$H$6+SQRT(O652*($J$6-$H$6)*($I$6-$H$6)),$J$6-SQRT((1-O652)*($J$6-$H$6)*($J$6-$I$6)))</f>
        <v/>
      </c>
      <c r="D652" s="17">
        <f>IF(P652&lt;$K$7,$H$7+SQRT(P652*($J$7-$H$7)*($I$7-$H$7)),$J$7-SQRT((1-P652)*($J$7-$H$7)*($J$7-$I$7)))</f>
        <v/>
      </c>
      <c r="E652" s="17">
        <f>SUM(B652:D652)</f>
        <v/>
      </c>
      <c r="N652" s="16">
        <f>RAND()</f>
        <v/>
      </c>
      <c r="O652" s="16">
        <f>RAND()</f>
        <v/>
      </c>
      <c r="P652" s="16">
        <f>RAND()</f>
        <v/>
      </c>
    </row>
    <row r="653">
      <c r="A653" s="13" t="n">
        <v>649</v>
      </c>
      <c r="B653" s="17">
        <f>IF(N653&lt;$K$5,$H$5+SQRT(N653*($J$5-$H$5)*($I$5-$H$5)),$J$5-SQRT((1-N653)*($J$5-$H$5)*($J$5-$I$5)))</f>
        <v/>
      </c>
      <c r="C653" s="17">
        <f>IF(O653&lt;$K$6,$H$6+SQRT(O653*($J$6-$H$6)*($I$6-$H$6)),$J$6-SQRT((1-O653)*($J$6-$H$6)*($J$6-$I$6)))</f>
        <v/>
      </c>
      <c r="D653" s="17">
        <f>IF(P653&lt;$K$7,$H$7+SQRT(P653*($J$7-$H$7)*($I$7-$H$7)),$J$7-SQRT((1-P653)*($J$7-$H$7)*($J$7-$I$7)))</f>
        <v/>
      </c>
      <c r="E653" s="17">
        <f>SUM(B653:D653)</f>
        <v/>
      </c>
      <c r="N653" s="16">
        <f>RAND()</f>
        <v/>
      </c>
      <c r="O653" s="16">
        <f>RAND()</f>
        <v/>
      </c>
      <c r="P653" s="16">
        <f>RAND()</f>
        <v/>
      </c>
    </row>
    <row r="654">
      <c r="A654" s="13" t="n">
        <v>650</v>
      </c>
      <c r="B654" s="17">
        <f>IF(N654&lt;$K$5,$H$5+SQRT(N654*($J$5-$H$5)*($I$5-$H$5)),$J$5-SQRT((1-N654)*($J$5-$H$5)*($J$5-$I$5)))</f>
        <v/>
      </c>
      <c r="C654" s="17">
        <f>IF(O654&lt;$K$6,$H$6+SQRT(O654*($J$6-$H$6)*($I$6-$H$6)),$J$6-SQRT((1-O654)*($J$6-$H$6)*($J$6-$I$6)))</f>
        <v/>
      </c>
      <c r="D654" s="17">
        <f>IF(P654&lt;$K$7,$H$7+SQRT(P654*($J$7-$H$7)*($I$7-$H$7)),$J$7-SQRT((1-P654)*($J$7-$H$7)*($J$7-$I$7)))</f>
        <v/>
      </c>
      <c r="E654" s="17">
        <f>SUM(B654:D654)</f>
        <v/>
      </c>
      <c r="N654" s="16">
        <f>RAND()</f>
        <v/>
      </c>
      <c r="O654" s="16">
        <f>RAND()</f>
        <v/>
      </c>
      <c r="P654" s="16">
        <f>RAND()</f>
        <v/>
      </c>
    </row>
    <row r="655">
      <c r="A655" s="13" t="n">
        <v>651</v>
      </c>
      <c r="B655" s="17">
        <f>IF(N655&lt;$K$5,$H$5+SQRT(N655*($J$5-$H$5)*($I$5-$H$5)),$J$5-SQRT((1-N655)*($J$5-$H$5)*($J$5-$I$5)))</f>
        <v/>
      </c>
      <c r="C655" s="17">
        <f>IF(O655&lt;$K$6,$H$6+SQRT(O655*($J$6-$H$6)*($I$6-$H$6)),$J$6-SQRT((1-O655)*($J$6-$H$6)*($J$6-$I$6)))</f>
        <v/>
      </c>
      <c r="D655" s="17">
        <f>IF(P655&lt;$K$7,$H$7+SQRT(P655*($J$7-$H$7)*($I$7-$H$7)),$J$7-SQRT((1-P655)*($J$7-$H$7)*($J$7-$I$7)))</f>
        <v/>
      </c>
      <c r="E655" s="17">
        <f>SUM(B655:D655)</f>
        <v/>
      </c>
      <c r="N655" s="16">
        <f>RAND()</f>
        <v/>
      </c>
      <c r="O655" s="16">
        <f>RAND()</f>
        <v/>
      </c>
      <c r="P655" s="16">
        <f>RAND()</f>
        <v/>
      </c>
    </row>
    <row r="656">
      <c r="A656" s="13" t="n">
        <v>652</v>
      </c>
      <c r="B656" s="17">
        <f>IF(N656&lt;$K$5,$H$5+SQRT(N656*($J$5-$H$5)*($I$5-$H$5)),$J$5-SQRT((1-N656)*($J$5-$H$5)*($J$5-$I$5)))</f>
        <v/>
      </c>
      <c r="C656" s="17">
        <f>IF(O656&lt;$K$6,$H$6+SQRT(O656*($J$6-$H$6)*($I$6-$H$6)),$J$6-SQRT((1-O656)*($J$6-$H$6)*($J$6-$I$6)))</f>
        <v/>
      </c>
      <c r="D656" s="17">
        <f>IF(P656&lt;$K$7,$H$7+SQRT(P656*($J$7-$H$7)*($I$7-$H$7)),$J$7-SQRT((1-P656)*($J$7-$H$7)*($J$7-$I$7)))</f>
        <v/>
      </c>
      <c r="E656" s="17">
        <f>SUM(B656:D656)</f>
        <v/>
      </c>
      <c r="N656" s="16">
        <f>RAND()</f>
        <v/>
      </c>
      <c r="O656" s="16">
        <f>RAND()</f>
        <v/>
      </c>
      <c r="P656" s="16">
        <f>RAND()</f>
        <v/>
      </c>
    </row>
    <row r="657">
      <c r="A657" s="13" t="n">
        <v>653</v>
      </c>
      <c r="B657" s="17">
        <f>IF(N657&lt;$K$5,$H$5+SQRT(N657*($J$5-$H$5)*($I$5-$H$5)),$J$5-SQRT((1-N657)*($J$5-$H$5)*($J$5-$I$5)))</f>
        <v/>
      </c>
      <c r="C657" s="17">
        <f>IF(O657&lt;$K$6,$H$6+SQRT(O657*($J$6-$H$6)*($I$6-$H$6)),$J$6-SQRT((1-O657)*($J$6-$H$6)*($J$6-$I$6)))</f>
        <v/>
      </c>
      <c r="D657" s="17">
        <f>IF(P657&lt;$K$7,$H$7+SQRT(P657*($J$7-$H$7)*($I$7-$H$7)),$J$7-SQRT((1-P657)*($J$7-$H$7)*($J$7-$I$7)))</f>
        <v/>
      </c>
      <c r="E657" s="17">
        <f>SUM(B657:D657)</f>
        <v/>
      </c>
      <c r="N657" s="16">
        <f>RAND()</f>
        <v/>
      </c>
      <c r="O657" s="16">
        <f>RAND()</f>
        <v/>
      </c>
      <c r="P657" s="16">
        <f>RAND()</f>
        <v/>
      </c>
    </row>
    <row r="658">
      <c r="A658" s="13" t="n">
        <v>654</v>
      </c>
      <c r="B658" s="17">
        <f>IF(N658&lt;$K$5,$H$5+SQRT(N658*($J$5-$H$5)*($I$5-$H$5)),$J$5-SQRT((1-N658)*($J$5-$H$5)*($J$5-$I$5)))</f>
        <v/>
      </c>
      <c r="C658" s="17">
        <f>IF(O658&lt;$K$6,$H$6+SQRT(O658*($J$6-$H$6)*($I$6-$H$6)),$J$6-SQRT((1-O658)*($J$6-$H$6)*($J$6-$I$6)))</f>
        <v/>
      </c>
      <c r="D658" s="17">
        <f>IF(P658&lt;$K$7,$H$7+SQRT(P658*($J$7-$H$7)*($I$7-$H$7)),$J$7-SQRT((1-P658)*($J$7-$H$7)*($J$7-$I$7)))</f>
        <v/>
      </c>
      <c r="E658" s="17">
        <f>SUM(B658:D658)</f>
        <v/>
      </c>
      <c r="N658" s="16">
        <f>RAND()</f>
        <v/>
      </c>
      <c r="O658" s="16">
        <f>RAND()</f>
        <v/>
      </c>
      <c r="P658" s="16">
        <f>RAND()</f>
        <v/>
      </c>
    </row>
    <row r="659">
      <c r="A659" s="13" t="n">
        <v>655</v>
      </c>
      <c r="B659" s="17">
        <f>IF(N659&lt;$K$5,$H$5+SQRT(N659*($J$5-$H$5)*($I$5-$H$5)),$J$5-SQRT((1-N659)*($J$5-$H$5)*($J$5-$I$5)))</f>
        <v/>
      </c>
      <c r="C659" s="17">
        <f>IF(O659&lt;$K$6,$H$6+SQRT(O659*($J$6-$H$6)*($I$6-$H$6)),$J$6-SQRT((1-O659)*($J$6-$H$6)*($J$6-$I$6)))</f>
        <v/>
      </c>
      <c r="D659" s="17">
        <f>IF(P659&lt;$K$7,$H$7+SQRT(P659*($J$7-$H$7)*($I$7-$H$7)),$J$7-SQRT((1-P659)*($J$7-$H$7)*($J$7-$I$7)))</f>
        <v/>
      </c>
      <c r="E659" s="17">
        <f>SUM(B659:D659)</f>
        <v/>
      </c>
      <c r="N659" s="16">
        <f>RAND()</f>
        <v/>
      </c>
      <c r="O659" s="16">
        <f>RAND()</f>
        <v/>
      </c>
      <c r="P659" s="16">
        <f>RAND()</f>
        <v/>
      </c>
    </row>
    <row r="660">
      <c r="A660" s="13" t="n">
        <v>656</v>
      </c>
      <c r="B660" s="17">
        <f>IF(N660&lt;$K$5,$H$5+SQRT(N660*($J$5-$H$5)*($I$5-$H$5)),$J$5-SQRT((1-N660)*($J$5-$H$5)*($J$5-$I$5)))</f>
        <v/>
      </c>
      <c r="C660" s="17">
        <f>IF(O660&lt;$K$6,$H$6+SQRT(O660*($J$6-$H$6)*($I$6-$H$6)),$J$6-SQRT((1-O660)*($J$6-$H$6)*($J$6-$I$6)))</f>
        <v/>
      </c>
      <c r="D660" s="17">
        <f>IF(P660&lt;$K$7,$H$7+SQRT(P660*($J$7-$H$7)*($I$7-$H$7)),$J$7-SQRT((1-P660)*($J$7-$H$7)*($J$7-$I$7)))</f>
        <v/>
      </c>
      <c r="E660" s="17">
        <f>SUM(B660:D660)</f>
        <v/>
      </c>
      <c r="N660" s="16">
        <f>RAND()</f>
        <v/>
      </c>
      <c r="O660" s="16">
        <f>RAND()</f>
        <v/>
      </c>
      <c r="P660" s="16">
        <f>RAND()</f>
        <v/>
      </c>
    </row>
    <row r="661">
      <c r="A661" s="13" t="n">
        <v>657</v>
      </c>
      <c r="B661" s="17">
        <f>IF(N661&lt;$K$5,$H$5+SQRT(N661*($J$5-$H$5)*($I$5-$H$5)),$J$5-SQRT((1-N661)*($J$5-$H$5)*($J$5-$I$5)))</f>
        <v/>
      </c>
      <c r="C661" s="17">
        <f>IF(O661&lt;$K$6,$H$6+SQRT(O661*($J$6-$H$6)*($I$6-$H$6)),$J$6-SQRT((1-O661)*($J$6-$H$6)*($J$6-$I$6)))</f>
        <v/>
      </c>
      <c r="D661" s="17">
        <f>IF(P661&lt;$K$7,$H$7+SQRT(P661*($J$7-$H$7)*($I$7-$H$7)),$J$7-SQRT((1-P661)*($J$7-$H$7)*($J$7-$I$7)))</f>
        <v/>
      </c>
      <c r="E661" s="17">
        <f>SUM(B661:D661)</f>
        <v/>
      </c>
      <c r="N661" s="16">
        <f>RAND()</f>
        <v/>
      </c>
      <c r="O661" s="16">
        <f>RAND()</f>
        <v/>
      </c>
      <c r="P661" s="16">
        <f>RAND()</f>
        <v/>
      </c>
    </row>
    <row r="662">
      <c r="A662" s="13" t="n">
        <v>658</v>
      </c>
      <c r="B662" s="17">
        <f>IF(N662&lt;$K$5,$H$5+SQRT(N662*($J$5-$H$5)*($I$5-$H$5)),$J$5-SQRT((1-N662)*($J$5-$H$5)*($J$5-$I$5)))</f>
        <v/>
      </c>
      <c r="C662" s="17">
        <f>IF(O662&lt;$K$6,$H$6+SQRT(O662*($J$6-$H$6)*($I$6-$H$6)),$J$6-SQRT((1-O662)*($J$6-$H$6)*($J$6-$I$6)))</f>
        <v/>
      </c>
      <c r="D662" s="17">
        <f>IF(P662&lt;$K$7,$H$7+SQRT(P662*($J$7-$H$7)*($I$7-$H$7)),$J$7-SQRT((1-P662)*($J$7-$H$7)*($J$7-$I$7)))</f>
        <v/>
      </c>
      <c r="E662" s="17">
        <f>SUM(B662:D662)</f>
        <v/>
      </c>
      <c r="N662" s="16">
        <f>RAND()</f>
        <v/>
      </c>
      <c r="O662" s="16">
        <f>RAND()</f>
        <v/>
      </c>
      <c r="P662" s="16">
        <f>RAND()</f>
        <v/>
      </c>
    </row>
    <row r="663">
      <c r="A663" s="13" t="n">
        <v>659</v>
      </c>
      <c r="B663" s="17">
        <f>IF(N663&lt;$K$5,$H$5+SQRT(N663*($J$5-$H$5)*($I$5-$H$5)),$J$5-SQRT((1-N663)*($J$5-$H$5)*($J$5-$I$5)))</f>
        <v/>
      </c>
      <c r="C663" s="17">
        <f>IF(O663&lt;$K$6,$H$6+SQRT(O663*($J$6-$H$6)*($I$6-$H$6)),$J$6-SQRT((1-O663)*($J$6-$H$6)*($J$6-$I$6)))</f>
        <v/>
      </c>
      <c r="D663" s="17">
        <f>IF(P663&lt;$K$7,$H$7+SQRT(P663*($J$7-$H$7)*($I$7-$H$7)),$J$7-SQRT((1-P663)*($J$7-$H$7)*($J$7-$I$7)))</f>
        <v/>
      </c>
      <c r="E663" s="17">
        <f>SUM(B663:D663)</f>
        <v/>
      </c>
      <c r="N663" s="16">
        <f>RAND()</f>
        <v/>
      </c>
      <c r="O663" s="16">
        <f>RAND()</f>
        <v/>
      </c>
      <c r="P663" s="16">
        <f>RAND()</f>
        <v/>
      </c>
    </row>
    <row r="664">
      <c r="A664" s="13" t="n">
        <v>660</v>
      </c>
      <c r="B664" s="17">
        <f>IF(N664&lt;$K$5,$H$5+SQRT(N664*($J$5-$H$5)*($I$5-$H$5)),$J$5-SQRT((1-N664)*($J$5-$H$5)*($J$5-$I$5)))</f>
        <v/>
      </c>
      <c r="C664" s="17">
        <f>IF(O664&lt;$K$6,$H$6+SQRT(O664*($J$6-$H$6)*($I$6-$H$6)),$J$6-SQRT((1-O664)*($J$6-$H$6)*($J$6-$I$6)))</f>
        <v/>
      </c>
      <c r="D664" s="17">
        <f>IF(P664&lt;$K$7,$H$7+SQRT(P664*($J$7-$H$7)*($I$7-$H$7)),$J$7-SQRT((1-P664)*($J$7-$H$7)*($J$7-$I$7)))</f>
        <v/>
      </c>
      <c r="E664" s="17">
        <f>SUM(B664:D664)</f>
        <v/>
      </c>
      <c r="N664" s="16">
        <f>RAND()</f>
        <v/>
      </c>
      <c r="O664" s="16">
        <f>RAND()</f>
        <v/>
      </c>
      <c r="P664" s="16">
        <f>RAND()</f>
        <v/>
      </c>
    </row>
    <row r="665">
      <c r="A665" s="13" t="n">
        <v>661</v>
      </c>
      <c r="B665" s="17">
        <f>IF(N665&lt;$K$5,$H$5+SQRT(N665*($J$5-$H$5)*($I$5-$H$5)),$J$5-SQRT((1-N665)*($J$5-$H$5)*($J$5-$I$5)))</f>
        <v/>
      </c>
      <c r="C665" s="17">
        <f>IF(O665&lt;$K$6,$H$6+SQRT(O665*($J$6-$H$6)*($I$6-$H$6)),$J$6-SQRT((1-O665)*($J$6-$H$6)*($J$6-$I$6)))</f>
        <v/>
      </c>
      <c r="D665" s="17">
        <f>IF(P665&lt;$K$7,$H$7+SQRT(P665*($J$7-$H$7)*($I$7-$H$7)),$J$7-SQRT((1-P665)*($J$7-$H$7)*($J$7-$I$7)))</f>
        <v/>
      </c>
      <c r="E665" s="17">
        <f>SUM(B665:D665)</f>
        <v/>
      </c>
      <c r="N665" s="16">
        <f>RAND()</f>
        <v/>
      </c>
      <c r="O665" s="16">
        <f>RAND()</f>
        <v/>
      </c>
      <c r="P665" s="16">
        <f>RAND()</f>
        <v/>
      </c>
    </row>
    <row r="666">
      <c r="A666" s="13" t="n">
        <v>662</v>
      </c>
      <c r="B666" s="17">
        <f>IF(N666&lt;$K$5,$H$5+SQRT(N666*($J$5-$H$5)*($I$5-$H$5)),$J$5-SQRT((1-N666)*($J$5-$H$5)*($J$5-$I$5)))</f>
        <v/>
      </c>
      <c r="C666" s="17">
        <f>IF(O666&lt;$K$6,$H$6+SQRT(O666*($J$6-$H$6)*($I$6-$H$6)),$J$6-SQRT((1-O666)*($J$6-$H$6)*($J$6-$I$6)))</f>
        <v/>
      </c>
      <c r="D666" s="17">
        <f>IF(P666&lt;$K$7,$H$7+SQRT(P666*($J$7-$H$7)*($I$7-$H$7)),$J$7-SQRT((1-P666)*($J$7-$H$7)*($J$7-$I$7)))</f>
        <v/>
      </c>
      <c r="E666" s="17">
        <f>SUM(B666:D666)</f>
        <v/>
      </c>
      <c r="N666" s="16">
        <f>RAND()</f>
        <v/>
      </c>
      <c r="O666" s="16">
        <f>RAND()</f>
        <v/>
      </c>
      <c r="P666" s="16">
        <f>RAND()</f>
        <v/>
      </c>
    </row>
    <row r="667">
      <c r="A667" s="13" t="n">
        <v>663</v>
      </c>
      <c r="B667" s="17">
        <f>IF(N667&lt;$K$5,$H$5+SQRT(N667*($J$5-$H$5)*($I$5-$H$5)),$J$5-SQRT((1-N667)*($J$5-$H$5)*($J$5-$I$5)))</f>
        <v/>
      </c>
      <c r="C667" s="17">
        <f>IF(O667&lt;$K$6,$H$6+SQRT(O667*($J$6-$H$6)*($I$6-$H$6)),$J$6-SQRT((1-O667)*($J$6-$H$6)*($J$6-$I$6)))</f>
        <v/>
      </c>
      <c r="D667" s="17">
        <f>IF(P667&lt;$K$7,$H$7+SQRT(P667*($J$7-$H$7)*($I$7-$H$7)),$J$7-SQRT((1-P667)*($J$7-$H$7)*($J$7-$I$7)))</f>
        <v/>
      </c>
      <c r="E667" s="17">
        <f>SUM(B667:D667)</f>
        <v/>
      </c>
      <c r="N667" s="16">
        <f>RAND()</f>
        <v/>
      </c>
      <c r="O667" s="16">
        <f>RAND()</f>
        <v/>
      </c>
      <c r="P667" s="16">
        <f>RAND()</f>
        <v/>
      </c>
    </row>
    <row r="668">
      <c r="A668" s="13" t="n">
        <v>664</v>
      </c>
      <c r="B668" s="17">
        <f>IF(N668&lt;$K$5,$H$5+SQRT(N668*($J$5-$H$5)*($I$5-$H$5)),$J$5-SQRT((1-N668)*($J$5-$H$5)*($J$5-$I$5)))</f>
        <v/>
      </c>
      <c r="C668" s="17">
        <f>IF(O668&lt;$K$6,$H$6+SQRT(O668*($J$6-$H$6)*($I$6-$H$6)),$J$6-SQRT((1-O668)*($J$6-$H$6)*($J$6-$I$6)))</f>
        <v/>
      </c>
      <c r="D668" s="17">
        <f>IF(P668&lt;$K$7,$H$7+SQRT(P668*($J$7-$H$7)*($I$7-$H$7)),$J$7-SQRT((1-P668)*($J$7-$H$7)*($J$7-$I$7)))</f>
        <v/>
      </c>
      <c r="E668" s="17">
        <f>SUM(B668:D668)</f>
        <v/>
      </c>
      <c r="N668" s="16">
        <f>RAND()</f>
        <v/>
      </c>
      <c r="O668" s="16">
        <f>RAND()</f>
        <v/>
      </c>
      <c r="P668" s="16">
        <f>RAND()</f>
        <v/>
      </c>
    </row>
    <row r="669">
      <c r="A669" s="13" t="n">
        <v>665</v>
      </c>
      <c r="B669" s="17">
        <f>IF(N669&lt;$K$5,$H$5+SQRT(N669*($J$5-$H$5)*($I$5-$H$5)),$J$5-SQRT((1-N669)*($J$5-$H$5)*($J$5-$I$5)))</f>
        <v/>
      </c>
      <c r="C669" s="17">
        <f>IF(O669&lt;$K$6,$H$6+SQRT(O669*($J$6-$H$6)*($I$6-$H$6)),$J$6-SQRT((1-O669)*($J$6-$H$6)*($J$6-$I$6)))</f>
        <v/>
      </c>
      <c r="D669" s="17">
        <f>IF(P669&lt;$K$7,$H$7+SQRT(P669*($J$7-$H$7)*($I$7-$H$7)),$J$7-SQRT((1-P669)*($J$7-$H$7)*($J$7-$I$7)))</f>
        <v/>
      </c>
      <c r="E669" s="17">
        <f>SUM(B669:D669)</f>
        <v/>
      </c>
      <c r="N669" s="16">
        <f>RAND()</f>
        <v/>
      </c>
      <c r="O669" s="16">
        <f>RAND()</f>
        <v/>
      </c>
      <c r="P669" s="16">
        <f>RAND()</f>
        <v/>
      </c>
    </row>
    <row r="670">
      <c r="A670" s="13" t="n">
        <v>666</v>
      </c>
      <c r="B670" s="17">
        <f>IF(N670&lt;$K$5,$H$5+SQRT(N670*($J$5-$H$5)*($I$5-$H$5)),$J$5-SQRT((1-N670)*($J$5-$H$5)*($J$5-$I$5)))</f>
        <v/>
      </c>
      <c r="C670" s="17">
        <f>IF(O670&lt;$K$6,$H$6+SQRT(O670*($J$6-$H$6)*($I$6-$H$6)),$J$6-SQRT((1-O670)*($J$6-$H$6)*($J$6-$I$6)))</f>
        <v/>
      </c>
      <c r="D670" s="17">
        <f>IF(P670&lt;$K$7,$H$7+SQRT(P670*($J$7-$H$7)*($I$7-$H$7)),$J$7-SQRT((1-P670)*($J$7-$H$7)*($J$7-$I$7)))</f>
        <v/>
      </c>
      <c r="E670" s="17">
        <f>SUM(B670:D670)</f>
        <v/>
      </c>
      <c r="N670" s="16">
        <f>RAND()</f>
        <v/>
      </c>
      <c r="O670" s="16">
        <f>RAND()</f>
        <v/>
      </c>
      <c r="P670" s="16">
        <f>RAND()</f>
        <v/>
      </c>
    </row>
    <row r="671">
      <c r="A671" s="13" t="n">
        <v>667</v>
      </c>
      <c r="B671" s="17">
        <f>IF(N671&lt;$K$5,$H$5+SQRT(N671*($J$5-$H$5)*($I$5-$H$5)),$J$5-SQRT((1-N671)*($J$5-$H$5)*($J$5-$I$5)))</f>
        <v/>
      </c>
      <c r="C671" s="17">
        <f>IF(O671&lt;$K$6,$H$6+SQRT(O671*($J$6-$H$6)*($I$6-$H$6)),$J$6-SQRT((1-O671)*($J$6-$H$6)*($J$6-$I$6)))</f>
        <v/>
      </c>
      <c r="D671" s="17">
        <f>IF(P671&lt;$K$7,$H$7+SQRT(P671*($J$7-$H$7)*($I$7-$H$7)),$J$7-SQRT((1-P671)*($J$7-$H$7)*($J$7-$I$7)))</f>
        <v/>
      </c>
      <c r="E671" s="17">
        <f>SUM(B671:D671)</f>
        <v/>
      </c>
      <c r="N671" s="16">
        <f>RAND()</f>
        <v/>
      </c>
      <c r="O671" s="16">
        <f>RAND()</f>
        <v/>
      </c>
      <c r="P671" s="16">
        <f>RAND()</f>
        <v/>
      </c>
    </row>
    <row r="672">
      <c r="A672" s="13" t="n">
        <v>668</v>
      </c>
      <c r="B672" s="17">
        <f>IF(N672&lt;$K$5,$H$5+SQRT(N672*($J$5-$H$5)*($I$5-$H$5)),$J$5-SQRT((1-N672)*($J$5-$H$5)*($J$5-$I$5)))</f>
        <v/>
      </c>
      <c r="C672" s="17">
        <f>IF(O672&lt;$K$6,$H$6+SQRT(O672*($J$6-$H$6)*($I$6-$H$6)),$J$6-SQRT((1-O672)*($J$6-$H$6)*($J$6-$I$6)))</f>
        <v/>
      </c>
      <c r="D672" s="17">
        <f>IF(P672&lt;$K$7,$H$7+SQRT(P672*($J$7-$H$7)*($I$7-$H$7)),$J$7-SQRT((1-P672)*($J$7-$H$7)*($J$7-$I$7)))</f>
        <v/>
      </c>
      <c r="E672" s="17">
        <f>SUM(B672:D672)</f>
        <v/>
      </c>
      <c r="N672" s="16">
        <f>RAND()</f>
        <v/>
      </c>
      <c r="O672" s="16">
        <f>RAND()</f>
        <v/>
      </c>
      <c r="P672" s="16">
        <f>RAND()</f>
        <v/>
      </c>
    </row>
    <row r="673">
      <c r="A673" s="13" t="n">
        <v>669</v>
      </c>
      <c r="B673" s="17">
        <f>IF(N673&lt;$K$5,$H$5+SQRT(N673*($J$5-$H$5)*($I$5-$H$5)),$J$5-SQRT((1-N673)*($J$5-$H$5)*($J$5-$I$5)))</f>
        <v/>
      </c>
      <c r="C673" s="17">
        <f>IF(O673&lt;$K$6,$H$6+SQRT(O673*($J$6-$H$6)*($I$6-$H$6)),$J$6-SQRT((1-O673)*($J$6-$H$6)*($J$6-$I$6)))</f>
        <v/>
      </c>
      <c r="D673" s="17">
        <f>IF(P673&lt;$K$7,$H$7+SQRT(P673*($J$7-$H$7)*($I$7-$H$7)),$J$7-SQRT((1-P673)*($J$7-$H$7)*($J$7-$I$7)))</f>
        <v/>
      </c>
      <c r="E673" s="17">
        <f>SUM(B673:D673)</f>
        <v/>
      </c>
      <c r="N673" s="16">
        <f>RAND()</f>
        <v/>
      </c>
      <c r="O673" s="16">
        <f>RAND()</f>
        <v/>
      </c>
      <c r="P673" s="16">
        <f>RAND()</f>
        <v/>
      </c>
    </row>
    <row r="674">
      <c r="A674" s="13" t="n">
        <v>670</v>
      </c>
      <c r="B674" s="17">
        <f>IF(N674&lt;$K$5,$H$5+SQRT(N674*($J$5-$H$5)*($I$5-$H$5)),$J$5-SQRT((1-N674)*($J$5-$H$5)*($J$5-$I$5)))</f>
        <v/>
      </c>
      <c r="C674" s="17">
        <f>IF(O674&lt;$K$6,$H$6+SQRT(O674*($J$6-$H$6)*($I$6-$H$6)),$J$6-SQRT((1-O674)*($J$6-$H$6)*($J$6-$I$6)))</f>
        <v/>
      </c>
      <c r="D674" s="17">
        <f>IF(P674&lt;$K$7,$H$7+SQRT(P674*($J$7-$H$7)*($I$7-$H$7)),$J$7-SQRT((1-P674)*($J$7-$H$7)*($J$7-$I$7)))</f>
        <v/>
      </c>
      <c r="E674" s="17">
        <f>SUM(B674:D674)</f>
        <v/>
      </c>
      <c r="N674" s="16">
        <f>RAND()</f>
        <v/>
      </c>
      <c r="O674" s="16">
        <f>RAND()</f>
        <v/>
      </c>
      <c r="P674" s="16">
        <f>RAND()</f>
        <v/>
      </c>
    </row>
    <row r="675">
      <c r="A675" s="13" t="n">
        <v>671</v>
      </c>
      <c r="B675" s="17">
        <f>IF(N675&lt;$K$5,$H$5+SQRT(N675*($J$5-$H$5)*($I$5-$H$5)),$J$5-SQRT((1-N675)*($J$5-$H$5)*($J$5-$I$5)))</f>
        <v/>
      </c>
      <c r="C675" s="17">
        <f>IF(O675&lt;$K$6,$H$6+SQRT(O675*($J$6-$H$6)*($I$6-$H$6)),$J$6-SQRT((1-O675)*($J$6-$H$6)*($J$6-$I$6)))</f>
        <v/>
      </c>
      <c r="D675" s="17">
        <f>IF(P675&lt;$K$7,$H$7+SQRT(P675*($J$7-$H$7)*($I$7-$H$7)),$J$7-SQRT((1-P675)*($J$7-$H$7)*($J$7-$I$7)))</f>
        <v/>
      </c>
      <c r="E675" s="17">
        <f>SUM(B675:D675)</f>
        <v/>
      </c>
      <c r="N675" s="16">
        <f>RAND()</f>
        <v/>
      </c>
      <c r="O675" s="16">
        <f>RAND()</f>
        <v/>
      </c>
      <c r="P675" s="16">
        <f>RAND()</f>
        <v/>
      </c>
    </row>
    <row r="676">
      <c r="A676" s="13" t="n">
        <v>672</v>
      </c>
      <c r="B676" s="17">
        <f>IF(N676&lt;$K$5,$H$5+SQRT(N676*($J$5-$H$5)*($I$5-$H$5)),$J$5-SQRT((1-N676)*($J$5-$H$5)*($J$5-$I$5)))</f>
        <v/>
      </c>
      <c r="C676" s="17">
        <f>IF(O676&lt;$K$6,$H$6+SQRT(O676*($J$6-$H$6)*($I$6-$H$6)),$J$6-SQRT((1-O676)*($J$6-$H$6)*($J$6-$I$6)))</f>
        <v/>
      </c>
      <c r="D676" s="17">
        <f>IF(P676&lt;$K$7,$H$7+SQRT(P676*($J$7-$H$7)*($I$7-$H$7)),$J$7-SQRT((1-P676)*($J$7-$H$7)*($J$7-$I$7)))</f>
        <v/>
      </c>
      <c r="E676" s="17">
        <f>SUM(B676:D676)</f>
        <v/>
      </c>
      <c r="N676" s="16">
        <f>RAND()</f>
        <v/>
      </c>
      <c r="O676" s="16">
        <f>RAND()</f>
        <v/>
      </c>
      <c r="P676" s="16">
        <f>RAND()</f>
        <v/>
      </c>
    </row>
    <row r="677">
      <c r="A677" s="13" t="n">
        <v>673</v>
      </c>
      <c r="B677" s="17">
        <f>IF(N677&lt;$K$5,$H$5+SQRT(N677*($J$5-$H$5)*($I$5-$H$5)),$J$5-SQRT((1-N677)*($J$5-$H$5)*($J$5-$I$5)))</f>
        <v/>
      </c>
      <c r="C677" s="17">
        <f>IF(O677&lt;$K$6,$H$6+SQRT(O677*($J$6-$H$6)*($I$6-$H$6)),$J$6-SQRT((1-O677)*($J$6-$H$6)*($J$6-$I$6)))</f>
        <v/>
      </c>
      <c r="D677" s="17">
        <f>IF(P677&lt;$K$7,$H$7+SQRT(P677*($J$7-$H$7)*($I$7-$H$7)),$J$7-SQRT((1-P677)*($J$7-$H$7)*($J$7-$I$7)))</f>
        <v/>
      </c>
      <c r="E677" s="17">
        <f>SUM(B677:D677)</f>
        <v/>
      </c>
      <c r="N677" s="16">
        <f>RAND()</f>
        <v/>
      </c>
      <c r="O677" s="16">
        <f>RAND()</f>
        <v/>
      </c>
      <c r="P677" s="16">
        <f>RAND()</f>
        <v/>
      </c>
    </row>
    <row r="678">
      <c r="A678" s="13" t="n">
        <v>674</v>
      </c>
      <c r="B678" s="17">
        <f>IF(N678&lt;$K$5,$H$5+SQRT(N678*($J$5-$H$5)*($I$5-$H$5)),$J$5-SQRT((1-N678)*($J$5-$H$5)*($J$5-$I$5)))</f>
        <v/>
      </c>
      <c r="C678" s="17">
        <f>IF(O678&lt;$K$6,$H$6+SQRT(O678*($J$6-$H$6)*($I$6-$H$6)),$J$6-SQRT((1-O678)*($J$6-$H$6)*($J$6-$I$6)))</f>
        <v/>
      </c>
      <c r="D678" s="17">
        <f>IF(P678&lt;$K$7,$H$7+SQRT(P678*($J$7-$H$7)*($I$7-$H$7)),$J$7-SQRT((1-P678)*($J$7-$H$7)*($J$7-$I$7)))</f>
        <v/>
      </c>
      <c r="E678" s="17">
        <f>SUM(B678:D678)</f>
        <v/>
      </c>
      <c r="N678" s="16">
        <f>RAND()</f>
        <v/>
      </c>
      <c r="O678" s="16">
        <f>RAND()</f>
        <v/>
      </c>
      <c r="P678" s="16">
        <f>RAND()</f>
        <v/>
      </c>
    </row>
    <row r="679">
      <c r="A679" s="13" t="n">
        <v>675</v>
      </c>
      <c r="B679" s="17">
        <f>IF(N679&lt;$K$5,$H$5+SQRT(N679*($J$5-$H$5)*($I$5-$H$5)),$J$5-SQRT((1-N679)*($J$5-$H$5)*($J$5-$I$5)))</f>
        <v/>
      </c>
      <c r="C679" s="17">
        <f>IF(O679&lt;$K$6,$H$6+SQRT(O679*($J$6-$H$6)*($I$6-$H$6)),$J$6-SQRT((1-O679)*($J$6-$H$6)*($J$6-$I$6)))</f>
        <v/>
      </c>
      <c r="D679" s="17">
        <f>IF(P679&lt;$K$7,$H$7+SQRT(P679*($J$7-$H$7)*($I$7-$H$7)),$J$7-SQRT((1-P679)*($J$7-$H$7)*($J$7-$I$7)))</f>
        <v/>
      </c>
      <c r="E679" s="17">
        <f>SUM(B679:D679)</f>
        <v/>
      </c>
      <c r="N679" s="16">
        <f>RAND()</f>
        <v/>
      </c>
      <c r="O679" s="16">
        <f>RAND()</f>
        <v/>
      </c>
      <c r="P679" s="16">
        <f>RAND()</f>
        <v/>
      </c>
    </row>
    <row r="680">
      <c r="A680" s="13" t="n">
        <v>676</v>
      </c>
      <c r="B680" s="17">
        <f>IF(N680&lt;$K$5,$H$5+SQRT(N680*($J$5-$H$5)*($I$5-$H$5)),$J$5-SQRT((1-N680)*($J$5-$H$5)*($J$5-$I$5)))</f>
        <v/>
      </c>
      <c r="C680" s="17">
        <f>IF(O680&lt;$K$6,$H$6+SQRT(O680*($J$6-$H$6)*($I$6-$H$6)),$J$6-SQRT((1-O680)*($J$6-$H$6)*($J$6-$I$6)))</f>
        <v/>
      </c>
      <c r="D680" s="17">
        <f>IF(P680&lt;$K$7,$H$7+SQRT(P680*($J$7-$H$7)*($I$7-$H$7)),$J$7-SQRT((1-P680)*($J$7-$H$7)*($J$7-$I$7)))</f>
        <v/>
      </c>
      <c r="E680" s="17">
        <f>SUM(B680:D680)</f>
        <v/>
      </c>
      <c r="N680" s="16">
        <f>RAND()</f>
        <v/>
      </c>
      <c r="O680" s="16">
        <f>RAND()</f>
        <v/>
      </c>
      <c r="P680" s="16">
        <f>RAND()</f>
        <v/>
      </c>
    </row>
    <row r="681">
      <c r="A681" s="13" t="n">
        <v>677</v>
      </c>
      <c r="B681" s="17">
        <f>IF(N681&lt;$K$5,$H$5+SQRT(N681*($J$5-$H$5)*($I$5-$H$5)),$J$5-SQRT((1-N681)*($J$5-$H$5)*($J$5-$I$5)))</f>
        <v/>
      </c>
      <c r="C681" s="17">
        <f>IF(O681&lt;$K$6,$H$6+SQRT(O681*($J$6-$H$6)*($I$6-$H$6)),$J$6-SQRT((1-O681)*($J$6-$H$6)*($J$6-$I$6)))</f>
        <v/>
      </c>
      <c r="D681" s="17">
        <f>IF(P681&lt;$K$7,$H$7+SQRT(P681*($J$7-$H$7)*($I$7-$H$7)),$J$7-SQRT((1-P681)*($J$7-$H$7)*($J$7-$I$7)))</f>
        <v/>
      </c>
      <c r="E681" s="17">
        <f>SUM(B681:D681)</f>
        <v/>
      </c>
      <c r="N681" s="16">
        <f>RAND()</f>
        <v/>
      </c>
      <c r="O681" s="16">
        <f>RAND()</f>
        <v/>
      </c>
      <c r="P681" s="16">
        <f>RAND()</f>
        <v/>
      </c>
    </row>
    <row r="682">
      <c r="A682" s="13" t="n">
        <v>678</v>
      </c>
      <c r="B682" s="17">
        <f>IF(N682&lt;$K$5,$H$5+SQRT(N682*($J$5-$H$5)*($I$5-$H$5)),$J$5-SQRT((1-N682)*($J$5-$H$5)*($J$5-$I$5)))</f>
        <v/>
      </c>
      <c r="C682" s="17">
        <f>IF(O682&lt;$K$6,$H$6+SQRT(O682*($J$6-$H$6)*($I$6-$H$6)),$J$6-SQRT((1-O682)*($J$6-$H$6)*($J$6-$I$6)))</f>
        <v/>
      </c>
      <c r="D682" s="17">
        <f>IF(P682&lt;$K$7,$H$7+SQRT(P682*($J$7-$H$7)*($I$7-$H$7)),$J$7-SQRT((1-P682)*($J$7-$H$7)*($J$7-$I$7)))</f>
        <v/>
      </c>
      <c r="E682" s="17">
        <f>SUM(B682:D682)</f>
        <v/>
      </c>
      <c r="N682" s="16">
        <f>RAND()</f>
        <v/>
      </c>
      <c r="O682" s="16">
        <f>RAND()</f>
        <v/>
      </c>
      <c r="P682" s="16">
        <f>RAND()</f>
        <v/>
      </c>
    </row>
    <row r="683">
      <c r="A683" s="13" t="n">
        <v>679</v>
      </c>
      <c r="B683" s="17">
        <f>IF(N683&lt;$K$5,$H$5+SQRT(N683*($J$5-$H$5)*($I$5-$H$5)),$J$5-SQRT((1-N683)*($J$5-$H$5)*($J$5-$I$5)))</f>
        <v/>
      </c>
      <c r="C683" s="17">
        <f>IF(O683&lt;$K$6,$H$6+SQRT(O683*($J$6-$H$6)*($I$6-$H$6)),$J$6-SQRT((1-O683)*($J$6-$H$6)*($J$6-$I$6)))</f>
        <v/>
      </c>
      <c r="D683" s="17">
        <f>IF(P683&lt;$K$7,$H$7+SQRT(P683*($J$7-$H$7)*($I$7-$H$7)),$J$7-SQRT((1-P683)*($J$7-$H$7)*($J$7-$I$7)))</f>
        <v/>
      </c>
      <c r="E683" s="17">
        <f>SUM(B683:D683)</f>
        <v/>
      </c>
      <c r="N683" s="16">
        <f>RAND()</f>
        <v/>
      </c>
      <c r="O683" s="16">
        <f>RAND()</f>
        <v/>
      </c>
      <c r="P683" s="16">
        <f>RAND()</f>
        <v/>
      </c>
    </row>
    <row r="684">
      <c r="A684" s="13" t="n">
        <v>680</v>
      </c>
      <c r="B684" s="17">
        <f>IF(N684&lt;$K$5,$H$5+SQRT(N684*($J$5-$H$5)*($I$5-$H$5)),$J$5-SQRT((1-N684)*($J$5-$H$5)*($J$5-$I$5)))</f>
        <v/>
      </c>
      <c r="C684" s="17">
        <f>IF(O684&lt;$K$6,$H$6+SQRT(O684*($J$6-$H$6)*($I$6-$H$6)),$J$6-SQRT((1-O684)*($J$6-$H$6)*($J$6-$I$6)))</f>
        <v/>
      </c>
      <c r="D684" s="17">
        <f>IF(P684&lt;$K$7,$H$7+SQRT(P684*($J$7-$H$7)*($I$7-$H$7)),$J$7-SQRT((1-P684)*($J$7-$H$7)*($J$7-$I$7)))</f>
        <v/>
      </c>
      <c r="E684" s="17">
        <f>SUM(B684:D684)</f>
        <v/>
      </c>
      <c r="N684" s="16">
        <f>RAND()</f>
        <v/>
      </c>
      <c r="O684" s="16">
        <f>RAND()</f>
        <v/>
      </c>
      <c r="P684" s="16">
        <f>RAND()</f>
        <v/>
      </c>
    </row>
    <row r="685">
      <c r="A685" s="13" t="n">
        <v>681</v>
      </c>
      <c r="B685" s="17">
        <f>IF(N685&lt;$K$5,$H$5+SQRT(N685*($J$5-$H$5)*($I$5-$H$5)),$J$5-SQRT((1-N685)*($J$5-$H$5)*($J$5-$I$5)))</f>
        <v/>
      </c>
      <c r="C685" s="17">
        <f>IF(O685&lt;$K$6,$H$6+SQRT(O685*($J$6-$H$6)*($I$6-$H$6)),$J$6-SQRT((1-O685)*($J$6-$H$6)*($J$6-$I$6)))</f>
        <v/>
      </c>
      <c r="D685" s="17">
        <f>IF(P685&lt;$K$7,$H$7+SQRT(P685*($J$7-$H$7)*($I$7-$H$7)),$J$7-SQRT((1-P685)*($J$7-$H$7)*($J$7-$I$7)))</f>
        <v/>
      </c>
      <c r="E685" s="17">
        <f>SUM(B685:D685)</f>
        <v/>
      </c>
      <c r="N685" s="16">
        <f>RAND()</f>
        <v/>
      </c>
      <c r="O685" s="16">
        <f>RAND()</f>
        <v/>
      </c>
      <c r="P685" s="16">
        <f>RAND()</f>
        <v/>
      </c>
    </row>
    <row r="686">
      <c r="A686" s="13" t="n">
        <v>682</v>
      </c>
      <c r="B686" s="17">
        <f>IF(N686&lt;$K$5,$H$5+SQRT(N686*($J$5-$H$5)*($I$5-$H$5)),$J$5-SQRT((1-N686)*($J$5-$H$5)*($J$5-$I$5)))</f>
        <v/>
      </c>
      <c r="C686" s="17">
        <f>IF(O686&lt;$K$6,$H$6+SQRT(O686*($J$6-$H$6)*($I$6-$H$6)),$J$6-SQRT((1-O686)*($J$6-$H$6)*($J$6-$I$6)))</f>
        <v/>
      </c>
      <c r="D686" s="17">
        <f>IF(P686&lt;$K$7,$H$7+SQRT(P686*($J$7-$H$7)*($I$7-$H$7)),$J$7-SQRT((1-P686)*($J$7-$H$7)*($J$7-$I$7)))</f>
        <v/>
      </c>
      <c r="E686" s="17">
        <f>SUM(B686:D686)</f>
        <v/>
      </c>
      <c r="N686" s="16">
        <f>RAND()</f>
        <v/>
      </c>
      <c r="O686" s="16">
        <f>RAND()</f>
        <v/>
      </c>
      <c r="P686" s="16">
        <f>RAND()</f>
        <v/>
      </c>
    </row>
    <row r="687">
      <c r="A687" s="13" t="n">
        <v>683</v>
      </c>
      <c r="B687" s="17">
        <f>IF(N687&lt;$K$5,$H$5+SQRT(N687*($J$5-$H$5)*($I$5-$H$5)),$J$5-SQRT((1-N687)*($J$5-$H$5)*($J$5-$I$5)))</f>
        <v/>
      </c>
      <c r="C687" s="17">
        <f>IF(O687&lt;$K$6,$H$6+SQRT(O687*($J$6-$H$6)*($I$6-$H$6)),$J$6-SQRT((1-O687)*($J$6-$H$6)*($J$6-$I$6)))</f>
        <v/>
      </c>
      <c r="D687" s="17">
        <f>IF(P687&lt;$K$7,$H$7+SQRT(P687*($J$7-$H$7)*($I$7-$H$7)),$J$7-SQRT((1-P687)*($J$7-$H$7)*($J$7-$I$7)))</f>
        <v/>
      </c>
      <c r="E687" s="17">
        <f>SUM(B687:D687)</f>
        <v/>
      </c>
      <c r="N687" s="16">
        <f>RAND()</f>
        <v/>
      </c>
      <c r="O687" s="16">
        <f>RAND()</f>
        <v/>
      </c>
      <c r="P687" s="16">
        <f>RAND()</f>
        <v/>
      </c>
    </row>
    <row r="688">
      <c r="A688" s="13" t="n">
        <v>684</v>
      </c>
      <c r="B688" s="17">
        <f>IF(N688&lt;$K$5,$H$5+SQRT(N688*($J$5-$H$5)*($I$5-$H$5)),$J$5-SQRT((1-N688)*($J$5-$H$5)*($J$5-$I$5)))</f>
        <v/>
      </c>
      <c r="C688" s="17">
        <f>IF(O688&lt;$K$6,$H$6+SQRT(O688*($J$6-$H$6)*($I$6-$H$6)),$J$6-SQRT((1-O688)*($J$6-$H$6)*($J$6-$I$6)))</f>
        <v/>
      </c>
      <c r="D688" s="17">
        <f>IF(P688&lt;$K$7,$H$7+SQRT(P688*($J$7-$H$7)*($I$7-$H$7)),$J$7-SQRT((1-P688)*($J$7-$H$7)*($J$7-$I$7)))</f>
        <v/>
      </c>
      <c r="E688" s="17">
        <f>SUM(B688:D688)</f>
        <v/>
      </c>
      <c r="N688" s="16">
        <f>RAND()</f>
        <v/>
      </c>
      <c r="O688" s="16">
        <f>RAND()</f>
        <v/>
      </c>
      <c r="P688" s="16">
        <f>RAND()</f>
        <v/>
      </c>
    </row>
    <row r="689">
      <c r="A689" s="13" t="n">
        <v>685</v>
      </c>
      <c r="B689" s="17">
        <f>IF(N689&lt;$K$5,$H$5+SQRT(N689*($J$5-$H$5)*($I$5-$H$5)),$J$5-SQRT((1-N689)*($J$5-$H$5)*($J$5-$I$5)))</f>
        <v/>
      </c>
      <c r="C689" s="17">
        <f>IF(O689&lt;$K$6,$H$6+SQRT(O689*($J$6-$H$6)*($I$6-$H$6)),$J$6-SQRT((1-O689)*($J$6-$H$6)*($J$6-$I$6)))</f>
        <v/>
      </c>
      <c r="D689" s="17">
        <f>IF(P689&lt;$K$7,$H$7+SQRT(P689*($J$7-$H$7)*($I$7-$H$7)),$J$7-SQRT((1-P689)*($J$7-$H$7)*($J$7-$I$7)))</f>
        <v/>
      </c>
      <c r="E689" s="17">
        <f>SUM(B689:D689)</f>
        <v/>
      </c>
      <c r="N689" s="16">
        <f>RAND()</f>
        <v/>
      </c>
      <c r="O689" s="16">
        <f>RAND()</f>
        <v/>
      </c>
      <c r="P689" s="16">
        <f>RAND()</f>
        <v/>
      </c>
    </row>
    <row r="690">
      <c r="A690" s="13" t="n">
        <v>686</v>
      </c>
      <c r="B690" s="17">
        <f>IF(N690&lt;$K$5,$H$5+SQRT(N690*($J$5-$H$5)*($I$5-$H$5)),$J$5-SQRT((1-N690)*($J$5-$H$5)*($J$5-$I$5)))</f>
        <v/>
      </c>
      <c r="C690" s="17">
        <f>IF(O690&lt;$K$6,$H$6+SQRT(O690*($J$6-$H$6)*($I$6-$H$6)),$J$6-SQRT((1-O690)*($J$6-$H$6)*($J$6-$I$6)))</f>
        <v/>
      </c>
      <c r="D690" s="17">
        <f>IF(P690&lt;$K$7,$H$7+SQRT(P690*($J$7-$H$7)*($I$7-$H$7)),$J$7-SQRT((1-P690)*($J$7-$H$7)*($J$7-$I$7)))</f>
        <v/>
      </c>
      <c r="E690" s="17">
        <f>SUM(B690:D690)</f>
        <v/>
      </c>
      <c r="N690" s="16">
        <f>RAND()</f>
        <v/>
      </c>
      <c r="O690" s="16">
        <f>RAND()</f>
        <v/>
      </c>
      <c r="P690" s="16">
        <f>RAND()</f>
        <v/>
      </c>
    </row>
    <row r="691">
      <c r="A691" s="13" t="n">
        <v>687</v>
      </c>
      <c r="B691" s="17">
        <f>IF(N691&lt;$K$5,$H$5+SQRT(N691*($J$5-$H$5)*($I$5-$H$5)),$J$5-SQRT((1-N691)*($J$5-$H$5)*($J$5-$I$5)))</f>
        <v/>
      </c>
      <c r="C691" s="17">
        <f>IF(O691&lt;$K$6,$H$6+SQRT(O691*($J$6-$H$6)*($I$6-$H$6)),$J$6-SQRT((1-O691)*($J$6-$H$6)*($J$6-$I$6)))</f>
        <v/>
      </c>
      <c r="D691" s="17">
        <f>IF(P691&lt;$K$7,$H$7+SQRT(P691*($J$7-$H$7)*($I$7-$H$7)),$J$7-SQRT((1-P691)*($J$7-$H$7)*($J$7-$I$7)))</f>
        <v/>
      </c>
      <c r="E691" s="17">
        <f>SUM(B691:D691)</f>
        <v/>
      </c>
      <c r="N691" s="16">
        <f>RAND()</f>
        <v/>
      </c>
      <c r="O691" s="16">
        <f>RAND()</f>
        <v/>
      </c>
      <c r="P691" s="16">
        <f>RAND()</f>
        <v/>
      </c>
    </row>
    <row r="692">
      <c r="A692" s="13" t="n">
        <v>688</v>
      </c>
      <c r="B692" s="17">
        <f>IF(N692&lt;$K$5,$H$5+SQRT(N692*($J$5-$H$5)*($I$5-$H$5)),$J$5-SQRT((1-N692)*($J$5-$H$5)*($J$5-$I$5)))</f>
        <v/>
      </c>
      <c r="C692" s="17">
        <f>IF(O692&lt;$K$6,$H$6+SQRT(O692*($J$6-$H$6)*($I$6-$H$6)),$J$6-SQRT((1-O692)*($J$6-$H$6)*($J$6-$I$6)))</f>
        <v/>
      </c>
      <c r="D692" s="17">
        <f>IF(P692&lt;$K$7,$H$7+SQRT(P692*($J$7-$H$7)*($I$7-$H$7)),$J$7-SQRT((1-P692)*($J$7-$H$7)*($J$7-$I$7)))</f>
        <v/>
      </c>
      <c r="E692" s="17">
        <f>SUM(B692:D692)</f>
        <v/>
      </c>
      <c r="N692" s="16">
        <f>RAND()</f>
        <v/>
      </c>
      <c r="O692" s="16">
        <f>RAND()</f>
        <v/>
      </c>
      <c r="P692" s="16">
        <f>RAND()</f>
        <v/>
      </c>
    </row>
    <row r="693">
      <c r="A693" s="13" t="n">
        <v>689</v>
      </c>
      <c r="B693" s="17">
        <f>IF(N693&lt;$K$5,$H$5+SQRT(N693*($J$5-$H$5)*($I$5-$H$5)),$J$5-SQRT((1-N693)*($J$5-$H$5)*($J$5-$I$5)))</f>
        <v/>
      </c>
      <c r="C693" s="17">
        <f>IF(O693&lt;$K$6,$H$6+SQRT(O693*($J$6-$H$6)*($I$6-$H$6)),$J$6-SQRT((1-O693)*($J$6-$H$6)*($J$6-$I$6)))</f>
        <v/>
      </c>
      <c r="D693" s="17">
        <f>IF(P693&lt;$K$7,$H$7+SQRT(P693*($J$7-$H$7)*($I$7-$H$7)),$J$7-SQRT((1-P693)*($J$7-$H$7)*($J$7-$I$7)))</f>
        <v/>
      </c>
      <c r="E693" s="17">
        <f>SUM(B693:D693)</f>
        <v/>
      </c>
      <c r="N693" s="16">
        <f>RAND()</f>
        <v/>
      </c>
      <c r="O693" s="16">
        <f>RAND()</f>
        <v/>
      </c>
      <c r="P693" s="16">
        <f>RAND()</f>
        <v/>
      </c>
    </row>
    <row r="694">
      <c r="A694" s="13" t="n">
        <v>690</v>
      </c>
      <c r="B694" s="17">
        <f>IF(N694&lt;$K$5,$H$5+SQRT(N694*($J$5-$H$5)*($I$5-$H$5)),$J$5-SQRT((1-N694)*($J$5-$H$5)*($J$5-$I$5)))</f>
        <v/>
      </c>
      <c r="C694" s="17">
        <f>IF(O694&lt;$K$6,$H$6+SQRT(O694*($J$6-$H$6)*($I$6-$H$6)),$J$6-SQRT((1-O694)*($J$6-$H$6)*($J$6-$I$6)))</f>
        <v/>
      </c>
      <c r="D694" s="17">
        <f>IF(P694&lt;$K$7,$H$7+SQRT(P694*($J$7-$H$7)*($I$7-$H$7)),$J$7-SQRT((1-P694)*($J$7-$H$7)*($J$7-$I$7)))</f>
        <v/>
      </c>
      <c r="E694" s="17">
        <f>SUM(B694:D694)</f>
        <v/>
      </c>
      <c r="N694" s="16">
        <f>RAND()</f>
        <v/>
      </c>
      <c r="O694" s="16">
        <f>RAND()</f>
        <v/>
      </c>
      <c r="P694" s="16">
        <f>RAND()</f>
        <v/>
      </c>
    </row>
    <row r="695">
      <c r="A695" s="13" t="n">
        <v>691</v>
      </c>
      <c r="B695" s="17">
        <f>IF(N695&lt;$K$5,$H$5+SQRT(N695*($J$5-$H$5)*($I$5-$H$5)),$J$5-SQRT((1-N695)*($J$5-$H$5)*($J$5-$I$5)))</f>
        <v/>
      </c>
      <c r="C695" s="17">
        <f>IF(O695&lt;$K$6,$H$6+SQRT(O695*($J$6-$H$6)*($I$6-$H$6)),$J$6-SQRT((1-O695)*($J$6-$H$6)*($J$6-$I$6)))</f>
        <v/>
      </c>
      <c r="D695" s="17">
        <f>IF(P695&lt;$K$7,$H$7+SQRT(P695*($J$7-$H$7)*($I$7-$H$7)),$J$7-SQRT((1-P695)*($J$7-$H$7)*($J$7-$I$7)))</f>
        <v/>
      </c>
      <c r="E695" s="17">
        <f>SUM(B695:D695)</f>
        <v/>
      </c>
      <c r="N695" s="16">
        <f>RAND()</f>
        <v/>
      </c>
      <c r="O695" s="16">
        <f>RAND()</f>
        <v/>
      </c>
      <c r="P695" s="16">
        <f>RAND()</f>
        <v/>
      </c>
    </row>
    <row r="696">
      <c r="A696" s="13" t="n">
        <v>692</v>
      </c>
      <c r="B696" s="17">
        <f>IF(N696&lt;$K$5,$H$5+SQRT(N696*($J$5-$H$5)*($I$5-$H$5)),$J$5-SQRT((1-N696)*($J$5-$H$5)*($J$5-$I$5)))</f>
        <v/>
      </c>
      <c r="C696" s="17">
        <f>IF(O696&lt;$K$6,$H$6+SQRT(O696*($J$6-$H$6)*($I$6-$H$6)),$J$6-SQRT((1-O696)*($J$6-$H$6)*($J$6-$I$6)))</f>
        <v/>
      </c>
      <c r="D696" s="17">
        <f>IF(P696&lt;$K$7,$H$7+SQRT(P696*($J$7-$H$7)*($I$7-$H$7)),$J$7-SQRT((1-P696)*($J$7-$H$7)*($J$7-$I$7)))</f>
        <v/>
      </c>
      <c r="E696" s="17">
        <f>SUM(B696:D696)</f>
        <v/>
      </c>
      <c r="N696" s="16">
        <f>RAND()</f>
        <v/>
      </c>
      <c r="O696" s="16">
        <f>RAND()</f>
        <v/>
      </c>
      <c r="P696" s="16">
        <f>RAND()</f>
        <v/>
      </c>
    </row>
    <row r="697">
      <c r="A697" s="13" t="n">
        <v>693</v>
      </c>
      <c r="B697" s="17">
        <f>IF(N697&lt;$K$5,$H$5+SQRT(N697*($J$5-$H$5)*($I$5-$H$5)),$J$5-SQRT((1-N697)*($J$5-$H$5)*($J$5-$I$5)))</f>
        <v/>
      </c>
      <c r="C697" s="17">
        <f>IF(O697&lt;$K$6,$H$6+SQRT(O697*($J$6-$H$6)*($I$6-$H$6)),$J$6-SQRT((1-O697)*($J$6-$H$6)*($J$6-$I$6)))</f>
        <v/>
      </c>
      <c r="D697" s="17">
        <f>IF(P697&lt;$K$7,$H$7+SQRT(P697*($J$7-$H$7)*($I$7-$H$7)),$J$7-SQRT((1-P697)*($J$7-$H$7)*($J$7-$I$7)))</f>
        <v/>
      </c>
      <c r="E697" s="17">
        <f>SUM(B697:D697)</f>
        <v/>
      </c>
      <c r="N697" s="16">
        <f>RAND()</f>
        <v/>
      </c>
      <c r="O697" s="16">
        <f>RAND()</f>
        <v/>
      </c>
      <c r="P697" s="16">
        <f>RAND()</f>
        <v/>
      </c>
    </row>
    <row r="698">
      <c r="A698" s="13" t="n">
        <v>694</v>
      </c>
      <c r="B698" s="17">
        <f>IF(N698&lt;$K$5,$H$5+SQRT(N698*($J$5-$H$5)*($I$5-$H$5)),$J$5-SQRT((1-N698)*($J$5-$H$5)*($J$5-$I$5)))</f>
        <v/>
      </c>
      <c r="C698" s="17">
        <f>IF(O698&lt;$K$6,$H$6+SQRT(O698*($J$6-$H$6)*($I$6-$H$6)),$J$6-SQRT((1-O698)*($J$6-$H$6)*($J$6-$I$6)))</f>
        <v/>
      </c>
      <c r="D698" s="17">
        <f>IF(P698&lt;$K$7,$H$7+SQRT(P698*($J$7-$H$7)*($I$7-$H$7)),$J$7-SQRT((1-P698)*($J$7-$H$7)*($J$7-$I$7)))</f>
        <v/>
      </c>
      <c r="E698" s="17">
        <f>SUM(B698:D698)</f>
        <v/>
      </c>
      <c r="N698" s="16">
        <f>RAND()</f>
        <v/>
      </c>
      <c r="O698" s="16">
        <f>RAND()</f>
        <v/>
      </c>
      <c r="P698" s="16">
        <f>RAND()</f>
        <v/>
      </c>
    </row>
    <row r="699">
      <c r="A699" s="13" t="n">
        <v>695</v>
      </c>
      <c r="B699" s="17">
        <f>IF(N699&lt;$K$5,$H$5+SQRT(N699*($J$5-$H$5)*($I$5-$H$5)),$J$5-SQRT((1-N699)*($J$5-$H$5)*($J$5-$I$5)))</f>
        <v/>
      </c>
      <c r="C699" s="17">
        <f>IF(O699&lt;$K$6,$H$6+SQRT(O699*($J$6-$H$6)*($I$6-$H$6)),$J$6-SQRT((1-O699)*($J$6-$H$6)*($J$6-$I$6)))</f>
        <v/>
      </c>
      <c r="D699" s="17">
        <f>IF(P699&lt;$K$7,$H$7+SQRT(P699*($J$7-$H$7)*($I$7-$H$7)),$J$7-SQRT((1-P699)*($J$7-$H$7)*($J$7-$I$7)))</f>
        <v/>
      </c>
      <c r="E699" s="17">
        <f>SUM(B699:D699)</f>
        <v/>
      </c>
      <c r="N699" s="16">
        <f>RAND()</f>
        <v/>
      </c>
      <c r="O699" s="16">
        <f>RAND()</f>
        <v/>
      </c>
      <c r="P699" s="16">
        <f>RAND()</f>
        <v/>
      </c>
    </row>
    <row r="700">
      <c r="A700" s="13" t="n">
        <v>696</v>
      </c>
      <c r="B700" s="17">
        <f>IF(N700&lt;$K$5,$H$5+SQRT(N700*($J$5-$H$5)*($I$5-$H$5)),$J$5-SQRT((1-N700)*($J$5-$H$5)*($J$5-$I$5)))</f>
        <v/>
      </c>
      <c r="C700" s="17">
        <f>IF(O700&lt;$K$6,$H$6+SQRT(O700*($J$6-$H$6)*($I$6-$H$6)),$J$6-SQRT((1-O700)*($J$6-$H$6)*($J$6-$I$6)))</f>
        <v/>
      </c>
      <c r="D700" s="17">
        <f>IF(P700&lt;$K$7,$H$7+SQRT(P700*($J$7-$H$7)*($I$7-$H$7)),$J$7-SQRT((1-P700)*($J$7-$H$7)*($J$7-$I$7)))</f>
        <v/>
      </c>
      <c r="E700" s="17">
        <f>SUM(B700:D700)</f>
        <v/>
      </c>
      <c r="N700" s="16">
        <f>RAND()</f>
        <v/>
      </c>
      <c r="O700" s="16">
        <f>RAND()</f>
        <v/>
      </c>
      <c r="P700" s="16">
        <f>RAND()</f>
        <v/>
      </c>
    </row>
    <row r="701">
      <c r="A701" s="13" t="n">
        <v>697</v>
      </c>
      <c r="B701" s="17">
        <f>IF(N701&lt;$K$5,$H$5+SQRT(N701*($J$5-$H$5)*($I$5-$H$5)),$J$5-SQRT((1-N701)*($J$5-$H$5)*($J$5-$I$5)))</f>
        <v/>
      </c>
      <c r="C701" s="17">
        <f>IF(O701&lt;$K$6,$H$6+SQRT(O701*($J$6-$H$6)*($I$6-$H$6)),$J$6-SQRT((1-O701)*($J$6-$H$6)*($J$6-$I$6)))</f>
        <v/>
      </c>
      <c r="D701" s="17">
        <f>IF(P701&lt;$K$7,$H$7+SQRT(P701*($J$7-$H$7)*($I$7-$H$7)),$J$7-SQRT((1-P701)*($J$7-$H$7)*($J$7-$I$7)))</f>
        <v/>
      </c>
      <c r="E701" s="17">
        <f>SUM(B701:D701)</f>
        <v/>
      </c>
      <c r="N701" s="16">
        <f>RAND()</f>
        <v/>
      </c>
      <c r="O701" s="16">
        <f>RAND()</f>
        <v/>
      </c>
      <c r="P701" s="16">
        <f>RAND()</f>
        <v/>
      </c>
    </row>
    <row r="702">
      <c r="A702" s="13" t="n">
        <v>698</v>
      </c>
      <c r="B702" s="17">
        <f>IF(N702&lt;$K$5,$H$5+SQRT(N702*($J$5-$H$5)*($I$5-$H$5)),$J$5-SQRT((1-N702)*($J$5-$H$5)*($J$5-$I$5)))</f>
        <v/>
      </c>
      <c r="C702" s="17">
        <f>IF(O702&lt;$K$6,$H$6+SQRT(O702*($J$6-$H$6)*($I$6-$H$6)),$J$6-SQRT((1-O702)*($J$6-$H$6)*($J$6-$I$6)))</f>
        <v/>
      </c>
      <c r="D702" s="17">
        <f>IF(P702&lt;$K$7,$H$7+SQRT(P702*($J$7-$H$7)*($I$7-$H$7)),$J$7-SQRT((1-P702)*($J$7-$H$7)*($J$7-$I$7)))</f>
        <v/>
      </c>
      <c r="E702" s="17">
        <f>SUM(B702:D702)</f>
        <v/>
      </c>
      <c r="N702" s="16">
        <f>RAND()</f>
        <v/>
      </c>
      <c r="O702" s="16">
        <f>RAND()</f>
        <v/>
      </c>
      <c r="P702" s="16">
        <f>RAND()</f>
        <v/>
      </c>
    </row>
    <row r="703">
      <c r="A703" s="13" t="n">
        <v>699</v>
      </c>
      <c r="B703" s="17">
        <f>IF(N703&lt;$K$5,$H$5+SQRT(N703*($J$5-$H$5)*($I$5-$H$5)),$J$5-SQRT((1-N703)*($J$5-$H$5)*($J$5-$I$5)))</f>
        <v/>
      </c>
      <c r="C703" s="17">
        <f>IF(O703&lt;$K$6,$H$6+SQRT(O703*($J$6-$H$6)*($I$6-$H$6)),$J$6-SQRT((1-O703)*($J$6-$H$6)*($J$6-$I$6)))</f>
        <v/>
      </c>
      <c r="D703" s="17">
        <f>IF(P703&lt;$K$7,$H$7+SQRT(P703*($J$7-$H$7)*($I$7-$H$7)),$J$7-SQRT((1-P703)*($J$7-$H$7)*($J$7-$I$7)))</f>
        <v/>
      </c>
      <c r="E703" s="17">
        <f>SUM(B703:D703)</f>
        <v/>
      </c>
      <c r="N703" s="16">
        <f>RAND()</f>
        <v/>
      </c>
      <c r="O703" s="16">
        <f>RAND()</f>
        <v/>
      </c>
      <c r="P703" s="16">
        <f>RAND()</f>
        <v/>
      </c>
    </row>
    <row r="704">
      <c r="A704" s="13" t="n">
        <v>700</v>
      </c>
      <c r="B704" s="17">
        <f>IF(N704&lt;$K$5,$H$5+SQRT(N704*($J$5-$H$5)*($I$5-$H$5)),$J$5-SQRT((1-N704)*($J$5-$H$5)*($J$5-$I$5)))</f>
        <v/>
      </c>
      <c r="C704" s="17">
        <f>IF(O704&lt;$K$6,$H$6+SQRT(O704*($J$6-$H$6)*($I$6-$H$6)),$J$6-SQRT((1-O704)*($J$6-$H$6)*($J$6-$I$6)))</f>
        <v/>
      </c>
      <c r="D704" s="17">
        <f>IF(P704&lt;$K$7,$H$7+SQRT(P704*($J$7-$H$7)*($I$7-$H$7)),$J$7-SQRT((1-P704)*($J$7-$H$7)*($J$7-$I$7)))</f>
        <v/>
      </c>
      <c r="E704" s="17">
        <f>SUM(B704:D704)</f>
        <v/>
      </c>
      <c r="N704" s="16">
        <f>RAND()</f>
        <v/>
      </c>
      <c r="O704" s="16">
        <f>RAND()</f>
        <v/>
      </c>
      <c r="P704" s="16">
        <f>RAND()</f>
        <v/>
      </c>
    </row>
    <row r="705">
      <c r="A705" s="13" t="n">
        <v>701</v>
      </c>
      <c r="B705" s="17">
        <f>IF(N705&lt;$K$5,$H$5+SQRT(N705*($J$5-$H$5)*($I$5-$H$5)),$J$5-SQRT((1-N705)*($J$5-$H$5)*($J$5-$I$5)))</f>
        <v/>
      </c>
      <c r="C705" s="17">
        <f>IF(O705&lt;$K$6,$H$6+SQRT(O705*($J$6-$H$6)*($I$6-$H$6)),$J$6-SQRT((1-O705)*($J$6-$H$6)*($J$6-$I$6)))</f>
        <v/>
      </c>
      <c r="D705" s="17">
        <f>IF(P705&lt;$K$7,$H$7+SQRT(P705*($J$7-$H$7)*($I$7-$H$7)),$J$7-SQRT((1-P705)*($J$7-$H$7)*($J$7-$I$7)))</f>
        <v/>
      </c>
      <c r="E705" s="17">
        <f>SUM(B705:D705)</f>
        <v/>
      </c>
      <c r="N705" s="16">
        <f>RAND()</f>
        <v/>
      </c>
      <c r="O705" s="16">
        <f>RAND()</f>
        <v/>
      </c>
      <c r="P705" s="16">
        <f>RAND()</f>
        <v/>
      </c>
    </row>
    <row r="706">
      <c r="A706" s="13" t="n">
        <v>702</v>
      </c>
      <c r="B706" s="17">
        <f>IF(N706&lt;$K$5,$H$5+SQRT(N706*($J$5-$H$5)*($I$5-$H$5)),$J$5-SQRT((1-N706)*($J$5-$H$5)*($J$5-$I$5)))</f>
        <v/>
      </c>
      <c r="C706" s="17">
        <f>IF(O706&lt;$K$6,$H$6+SQRT(O706*($J$6-$H$6)*($I$6-$H$6)),$J$6-SQRT((1-O706)*($J$6-$H$6)*($J$6-$I$6)))</f>
        <v/>
      </c>
      <c r="D706" s="17">
        <f>IF(P706&lt;$K$7,$H$7+SQRT(P706*($J$7-$H$7)*($I$7-$H$7)),$J$7-SQRT((1-P706)*($J$7-$H$7)*($J$7-$I$7)))</f>
        <v/>
      </c>
      <c r="E706" s="17">
        <f>SUM(B706:D706)</f>
        <v/>
      </c>
      <c r="N706" s="16">
        <f>RAND()</f>
        <v/>
      </c>
      <c r="O706" s="16">
        <f>RAND()</f>
        <v/>
      </c>
      <c r="P706" s="16">
        <f>RAND()</f>
        <v/>
      </c>
    </row>
    <row r="707">
      <c r="A707" s="13" t="n">
        <v>703</v>
      </c>
      <c r="B707" s="17">
        <f>IF(N707&lt;$K$5,$H$5+SQRT(N707*($J$5-$H$5)*($I$5-$H$5)),$J$5-SQRT((1-N707)*($J$5-$H$5)*($J$5-$I$5)))</f>
        <v/>
      </c>
      <c r="C707" s="17">
        <f>IF(O707&lt;$K$6,$H$6+SQRT(O707*($J$6-$H$6)*($I$6-$H$6)),$J$6-SQRT((1-O707)*($J$6-$H$6)*($J$6-$I$6)))</f>
        <v/>
      </c>
      <c r="D707" s="17">
        <f>IF(P707&lt;$K$7,$H$7+SQRT(P707*($J$7-$H$7)*($I$7-$H$7)),$J$7-SQRT((1-P707)*($J$7-$H$7)*($J$7-$I$7)))</f>
        <v/>
      </c>
      <c r="E707" s="17">
        <f>SUM(B707:D707)</f>
        <v/>
      </c>
      <c r="N707" s="16">
        <f>RAND()</f>
        <v/>
      </c>
      <c r="O707" s="16">
        <f>RAND()</f>
        <v/>
      </c>
      <c r="P707" s="16">
        <f>RAND()</f>
        <v/>
      </c>
    </row>
    <row r="708">
      <c r="A708" s="13" t="n">
        <v>704</v>
      </c>
      <c r="B708" s="17">
        <f>IF(N708&lt;$K$5,$H$5+SQRT(N708*($J$5-$H$5)*($I$5-$H$5)),$J$5-SQRT((1-N708)*($J$5-$H$5)*($J$5-$I$5)))</f>
        <v/>
      </c>
      <c r="C708" s="17">
        <f>IF(O708&lt;$K$6,$H$6+SQRT(O708*($J$6-$H$6)*($I$6-$H$6)),$J$6-SQRT((1-O708)*($J$6-$H$6)*($J$6-$I$6)))</f>
        <v/>
      </c>
      <c r="D708" s="17">
        <f>IF(P708&lt;$K$7,$H$7+SQRT(P708*($J$7-$H$7)*($I$7-$H$7)),$J$7-SQRT((1-P708)*($J$7-$H$7)*($J$7-$I$7)))</f>
        <v/>
      </c>
      <c r="E708" s="17">
        <f>SUM(B708:D708)</f>
        <v/>
      </c>
      <c r="N708" s="16">
        <f>RAND()</f>
        <v/>
      </c>
      <c r="O708" s="16">
        <f>RAND()</f>
        <v/>
      </c>
      <c r="P708" s="16">
        <f>RAND()</f>
        <v/>
      </c>
    </row>
    <row r="709">
      <c r="A709" s="13" t="n">
        <v>705</v>
      </c>
      <c r="B709" s="17">
        <f>IF(N709&lt;$K$5,$H$5+SQRT(N709*($J$5-$H$5)*($I$5-$H$5)),$J$5-SQRT((1-N709)*($J$5-$H$5)*($J$5-$I$5)))</f>
        <v/>
      </c>
      <c r="C709" s="17">
        <f>IF(O709&lt;$K$6,$H$6+SQRT(O709*($J$6-$H$6)*($I$6-$H$6)),$J$6-SQRT((1-O709)*($J$6-$H$6)*($J$6-$I$6)))</f>
        <v/>
      </c>
      <c r="D709" s="17">
        <f>IF(P709&lt;$K$7,$H$7+SQRT(P709*($J$7-$H$7)*($I$7-$H$7)),$J$7-SQRT((1-P709)*($J$7-$H$7)*($J$7-$I$7)))</f>
        <v/>
      </c>
      <c r="E709" s="17">
        <f>SUM(B709:D709)</f>
        <v/>
      </c>
      <c r="N709" s="16">
        <f>RAND()</f>
        <v/>
      </c>
      <c r="O709" s="16">
        <f>RAND()</f>
        <v/>
      </c>
      <c r="P709" s="16">
        <f>RAND()</f>
        <v/>
      </c>
    </row>
    <row r="710">
      <c r="A710" s="13" t="n">
        <v>706</v>
      </c>
      <c r="B710" s="17">
        <f>IF(N710&lt;$K$5,$H$5+SQRT(N710*($J$5-$H$5)*($I$5-$H$5)),$J$5-SQRT((1-N710)*($J$5-$H$5)*($J$5-$I$5)))</f>
        <v/>
      </c>
      <c r="C710" s="17">
        <f>IF(O710&lt;$K$6,$H$6+SQRT(O710*($J$6-$H$6)*($I$6-$H$6)),$J$6-SQRT((1-O710)*($J$6-$H$6)*($J$6-$I$6)))</f>
        <v/>
      </c>
      <c r="D710" s="17">
        <f>IF(P710&lt;$K$7,$H$7+SQRT(P710*($J$7-$H$7)*($I$7-$H$7)),$J$7-SQRT((1-P710)*($J$7-$H$7)*($J$7-$I$7)))</f>
        <v/>
      </c>
      <c r="E710" s="17">
        <f>SUM(B710:D710)</f>
        <v/>
      </c>
      <c r="N710" s="16">
        <f>RAND()</f>
        <v/>
      </c>
      <c r="O710" s="16">
        <f>RAND()</f>
        <v/>
      </c>
      <c r="P710" s="16">
        <f>RAND()</f>
        <v/>
      </c>
    </row>
    <row r="711">
      <c r="A711" s="13" t="n">
        <v>707</v>
      </c>
      <c r="B711" s="17">
        <f>IF(N711&lt;$K$5,$H$5+SQRT(N711*($J$5-$H$5)*($I$5-$H$5)),$J$5-SQRT((1-N711)*($J$5-$H$5)*($J$5-$I$5)))</f>
        <v/>
      </c>
      <c r="C711" s="17">
        <f>IF(O711&lt;$K$6,$H$6+SQRT(O711*($J$6-$H$6)*($I$6-$H$6)),$J$6-SQRT((1-O711)*($J$6-$H$6)*($J$6-$I$6)))</f>
        <v/>
      </c>
      <c r="D711" s="17">
        <f>IF(P711&lt;$K$7,$H$7+SQRT(P711*($J$7-$H$7)*($I$7-$H$7)),$J$7-SQRT((1-P711)*($J$7-$H$7)*($J$7-$I$7)))</f>
        <v/>
      </c>
      <c r="E711" s="17">
        <f>SUM(B711:D711)</f>
        <v/>
      </c>
      <c r="N711" s="16">
        <f>RAND()</f>
        <v/>
      </c>
      <c r="O711" s="16">
        <f>RAND()</f>
        <v/>
      </c>
      <c r="P711" s="16">
        <f>RAND()</f>
        <v/>
      </c>
    </row>
    <row r="712">
      <c r="A712" s="13" t="n">
        <v>708</v>
      </c>
      <c r="B712" s="17">
        <f>IF(N712&lt;$K$5,$H$5+SQRT(N712*($J$5-$H$5)*($I$5-$H$5)),$J$5-SQRT((1-N712)*($J$5-$H$5)*($J$5-$I$5)))</f>
        <v/>
      </c>
      <c r="C712" s="17">
        <f>IF(O712&lt;$K$6,$H$6+SQRT(O712*($J$6-$H$6)*($I$6-$H$6)),$J$6-SQRT((1-O712)*($J$6-$H$6)*($J$6-$I$6)))</f>
        <v/>
      </c>
      <c r="D712" s="17">
        <f>IF(P712&lt;$K$7,$H$7+SQRT(P712*($J$7-$H$7)*($I$7-$H$7)),$J$7-SQRT((1-P712)*($J$7-$H$7)*($J$7-$I$7)))</f>
        <v/>
      </c>
      <c r="E712" s="17">
        <f>SUM(B712:D712)</f>
        <v/>
      </c>
      <c r="N712" s="16">
        <f>RAND()</f>
        <v/>
      </c>
      <c r="O712" s="16">
        <f>RAND()</f>
        <v/>
      </c>
      <c r="P712" s="16">
        <f>RAND()</f>
        <v/>
      </c>
    </row>
    <row r="713">
      <c r="A713" s="13" t="n">
        <v>709</v>
      </c>
      <c r="B713" s="17">
        <f>IF(N713&lt;$K$5,$H$5+SQRT(N713*($J$5-$H$5)*($I$5-$H$5)),$J$5-SQRT((1-N713)*($J$5-$H$5)*($J$5-$I$5)))</f>
        <v/>
      </c>
      <c r="C713" s="17">
        <f>IF(O713&lt;$K$6,$H$6+SQRT(O713*($J$6-$H$6)*($I$6-$H$6)),$J$6-SQRT((1-O713)*($J$6-$H$6)*($J$6-$I$6)))</f>
        <v/>
      </c>
      <c r="D713" s="17">
        <f>IF(P713&lt;$K$7,$H$7+SQRT(P713*($J$7-$H$7)*($I$7-$H$7)),$J$7-SQRT((1-P713)*($J$7-$H$7)*($J$7-$I$7)))</f>
        <v/>
      </c>
      <c r="E713" s="17">
        <f>SUM(B713:D713)</f>
        <v/>
      </c>
      <c r="N713" s="16">
        <f>RAND()</f>
        <v/>
      </c>
      <c r="O713" s="16">
        <f>RAND()</f>
        <v/>
      </c>
      <c r="P713" s="16">
        <f>RAND()</f>
        <v/>
      </c>
    </row>
    <row r="714">
      <c r="A714" s="13" t="n">
        <v>710</v>
      </c>
      <c r="B714" s="17">
        <f>IF(N714&lt;$K$5,$H$5+SQRT(N714*($J$5-$H$5)*($I$5-$H$5)),$J$5-SQRT((1-N714)*($J$5-$H$5)*($J$5-$I$5)))</f>
        <v/>
      </c>
      <c r="C714" s="17">
        <f>IF(O714&lt;$K$6,$H$6+SQRT(O714*($J$6-$H$6)*($I$6-$H$6)),$J$6-SQRT((1-O714)*($J$6-$H$6)*($J$6-$I$6)))</f>
        <v/>
      </c>
      <c r="D714" s="17">
        <f>IF(P714&lt;$K$7,$H$7+SQRT(P714*($J$7-$H$7)*($I$7-$H$7)),$J$7-SQRT((1-P714)*($J$7-$H$7)*($J$7-$I$7)))</f>
        <v/>
      </c>
      <c r="E714" s="17">
        <f>SUM(B714:D714)</f>
        <v/>
      </c>
      <c r="N714" s="16">
        <f>RAND()</f>
        <v/>
      </c>
      <c r="O714" s="16">
        <f>RAND()</f>
        <v/>
      </c>
      <c r="P714" s="16">
        <f>RAND()</f>
        <v/>
      </c>
    </row>
    <row r="715">
      <c r="A715" s="13" t="n">
        <v>711</v>
      </c>
      <c r="B715" s="17">
        <f>IF(N715&lt;$K$5,$H$5+SQRT(N715*($J$5-$H$5)*($I$5-$H$5)),$J$5-SQRT((1-N715)*($J$5-$H$5)*($J$5-$I$5)))</f>
        <v/>
      </c>
      <c r="C715" s="17">
        <f>IF(O715&lt;$K$6,$H$6+SQRT(O715*($J$6-$H$6)*($I$6-$H$6)),$J$6-SQRT((1-O715)*($J$6-$H$6)*($J$6-$I$6)))</f>
        <v/>
      </c>
      <c r="D715" s="17">
        <f>IF(P715&lt;$K$7,$H$7+SQRT(P715*($J$7-$H$7)*($I$7-$H$7)),$J$7-SQRT((1-P715)*($J$7-$H$7)*($J$7-$I$7)))</f>
        <v/>
      </c>
      <c r="E715" s="17">
        <f>SUM(B715:D715)</f>
        <v/>
      </c>
      <c r="N715" s="16">
        <f>RAND()</f>
        <v/>
      </c>
      <c r="O715" s="16">
        <f>RAND()</f>
        <v/>
      </c>
      <c r="P715" s="16">
        <f>RAND()</f>
        <v/>
      </c>
    </row>
    <row r="716">
      <c r="A716" s="13" t="n">
        <v>712</v>
      </c>
      <c r="B716" s="17">
        <f>IF(N716&lt;$K$5,$H$5+SQRT(N716*($J$5-$H$5)*($I$5-$H$5)),$J$5-SQRT((1-N716)*($J$5-$H$5)*($J$5-$I$5)))</f>
        <v/>
      </c>
      <c r="C716" s="17">
        <f>IF(O716&lt;$K$6,$H$6+SQRT(O716*($J$6-$H$6)*($I$6-$H$6)),$J$6-SQRT((1-O716)*($J$6-$H$6)*($J$6-$I$6)))</f>
        <v/>
      </c>
      <c r="D716" s="17">
        <f>IF(P716&lt;$K$7,$H$7+SQRT(P716*($J$7-$H$7)*($I$7-$H$7)),$J$7-SQRT((1-P716)*($J$7-$H$7)*($J$7-$I$7)))</f>
        <v/>
      </c>
      <c r="E716" s="17">
        <f>SUM(B716:D716)</f>
        <v/>
      </c>
      <c r="N716" s="16">
        <f>RAND()</f>
        <v/>
      </c>
      <c r="O716" s="16">
        <f>RAND()</f>
        <v/>
      </c>
      <c r="P716" s="16">
        <f>RAND()</f>
        <v/>
      </c>
    </row>
    <row r="717">
      <c r="A717" s="13" t="n">
        <v>713</v>
      </c>
      <c r="B717" s="17">
        <f>IF(N717&lt;$K$5,$H$5+SQRT(N717*($J$5-$H$5)*($I$5-$H$5)),$J$5-SQRT((1-N717)*($J$5-$H$5)*($J$5-$I$5)))</f>
        <v/>
      </c>
      <c r="C717" s="17">
        <f>IF(O717&lt;$K$6,$H$6+SQRT(O717*($J$6-$H$6)*($I$6-$H$6)),$J$6-SQRT((1-O717)*($J$6-$H$6)*($J$6-$I$6)))</f>
        <v/>
      </c>
      <c r="D717" s="17">
        <f>IF(P717&lt;$K$7,$H$7+SQRT(P717*($J$7-$H$7)*($I$7-$H$7)),$J$7-SQRT((1-P717)*($J$7-$H$7)*($J$7-$I$7)))</f>
        <v/>
      </c>
      <c r="E717" s="17">
        <f>SUM(B717:D717)</f>
        <v/>
      </c>
      <c r="N717" s="16">
        <f>RAND()</f>
        <v/>
      </c>
      <c r="O717" s="16">
        <f>RAND()</f>
        <v/>
      </c>
      <c r="P717" s="16">
        <f>RAND()</f>
        <v/>
      </c>
    </row>
    <row r="718">
      <c r="A718" s="13" t="n">
        <v>714</v>
      </c>
      <c r="B718" s="17">
        <f>IF(N718&lt;$K$5,$H$5+SQRT(N718*($J$5-$H$5)*($I$5-$H$5)),$J$5-SQRT((1-N718)*($J$5-$H$5)*($J$5-$I$5)))</f>
        <v/>
      </c>
      <c r="C718" s="17">
        <f>IF(O718&lt;$K$6,$H$6+SQRT(O718*($J$6-$H$6)*($I$6-$H$6)),$J$6-SQRT((1-O718)*($J$6-$H$6)*($J$6-$I$6)))</f>
        <v/>
      </c>
      <c r="D718" s="17">
        <f>IF(P718&lt;$K$7,$H$7+SQRT(P718*($J$7-$H$7)*($I$7-$H$7)),$J$7-SQRT((1-P718)*($J$7-$H$7)*($J$7-$I$7)))</f>
        <v/>
      </c>
      <c r="E718" s="17">
        <f>SUM(B718:D718)</f>
        <v/>
      </c>
      <c r="N718" s="16">
        <f>RAND()</f>
        <v/>
      </c>
      <c r="O718" s="16">
        <f>RAND()</f>
        <v/>
      </c>
      <c r="P718" s="16">
        <f>RAND()</f>
        <v/>
      </c>
    </row>
    <row r="719">
      <c r="A719" s="13" t="n">
        <v>715</v>
      </c>
      <c r="B719" s="17">
        <f>IF(N719&lt;$K$5,$H$5+SQRT(N719*($J$5-$H$5)*($I$5-$H$5)),$J$5-SQRT((1-N719)*($J$5-$H$5)*($J$5-$I$5)))</f>
        <v/>
      </c>
      <c r="C719" s="17">
        <f>IF(O719&lt;$K$6,$H$6+SQRT(O719*($J$6-$H$6)*($I$6-$H$6)),$J$6-SQRT((1-O719)*($J$6-$H$6)*($J$6-$I$6)))</f>
        <v/>
      </c>
      <c r="D719" s="17">
        <f>IF(P719&lt;$K$7,$H$7+SQRT(P719*($J$7-$H$7)*($I$7-$H$7)),$J$7-SQRT((1-P719)*($J$7-$H$7)*($J$7-$I$7)))</f>
        <v/>
      </c>
      <c r="E719" s="17">
        <f>SUM(B719:D719)</f>
        <v/>
      </c>
      <c r="N719" s="16">
        <f>RAND()</f>
        <v/>
      </c>
      <c r="O719" s="16">
        <f>RAND()</f>
        <v/>
      </c>
      <c r="P719" s="16">
        <f>RAND()</f>
        <v/>
      </c>
    </row>
    <row r="720">
      <c r="A720" s="13" t="n">
        <v>716</v>
      </c>
      <c r="B720" s="17">
        <f>IF(N720&lt;$K$5,$H$5+SQRT(N720*($J$5-$H$5)*($I$5-$H$5)),$J$5-SQRT((1-N720)*($J$5-$H$5)*($J$5-$I$5)))</f>
        <v/>
      </c>
      <c r="C720" s="17">
        <f>IF(O720&lt;$K$6,$H$6+SQRT(O720*($J$6-$H$6)*($I$6-$H$6)),$J$6-SQRT((1-O720)*($J$6-$H$6)*($J$6-$I$6)))</f>
        <v/>
      </c>
      <c r="D720" s="17">
        <f>IF(P720&lt;$K$7,$H$7+SQRT(P720*($J$7-$H$7)*($I$7-$H$7)),$J$7-SQRT((1-P720)*($J$7-$H$7)*($J$7-$I$7)))</f>
        <v/>
      </c>
      <c r="E720" s="17">
        <f>SUM(B720:D720)</f>
        <v/>
      </c>
      <c r="N720" s="16">
        <f>RAND()</f>
        <v/>
      </c>
      <c r="O720" s="16">
        <f>RAND()</f>
        <v/>
      </c>
      <c r="P720" s="16">
        <f>RAND()</f>
        <v/>
      </c>
    </row>
    <row r="721">
      <c r="A721" s="13" t="n">
        <v>717</v>
      </c>
      <c r="B721" s="17">
        <f>IF(N721&lt;$K$5,$H$5+SQRT(N721*($J$5-$H$5)*($I$5-$H$5)),$J$5-SQRT((1-N721)*($J$5-$H$5)*($J$5-$I$5)))</f>
        <v/>
      </c>
      <c r="C721" s="17">
        <f>IF(O721&lt;$K$6,$H$6+SQRT(O721*($J$6-$H$6)*($I$6-$H$6)),$J$6-SQRT((1-O721)*($J$6-$H$6)*($J$6-$I$6)))</f>
        <v/>
      </c>
      <c r="D721" s="17">
        <f>IF(P721&lt;$K$7,$H$7+SQRT(P721*($J$7-$H$7)*($I$7-$H$7)),$J$7-SQRT((1-P721)*($J$7-$H$7)*($J$7-$I$7)))</f>
        <v/>
      </c>
      <c r="E721" s="17">
        <f>SUM(B721:D721)</f>
        <v/>
      </c>
      <c r="N721" s="16">
        <f>RAND()</f>
        <v/>
      </c>
      <c r="O721" s="16">
        <f>RAND()</f>
        <v/>
      </c>
      <c r="P721" s="16">
        <f>RAND()</f>
        <v/>
      </c>
    </row>
    <row r="722">
      <c r="A722" s="13" t="n">
        <v>718</v>
      </c>
      <c r="B722" s="17">
        <f>IF(N722&lt;$K$5,$H$5+SQRT(N722*($J$5-$H$5)*($I$5-$H$5)),$J$5-SQRT((1-N722)*($J$5-$H$5)*($J$5-$I$5)))</f>
        <v/>
      </c>
      <c r="C722" s="17">
        <f>IF(O722&lt;$K$6,$H$6+SQRT(O722*($J$6-$H$6)*($I$6-$H$6)),$J$6-SQRT((1-O722)*($J$6-$H$6)*($J$6-$I$6)))</f>
        <v/>
      </c>
      <c r="D722" s="17">
        <f>IF(P722&lt;$K$7,$H$7+SQRT(P722*($J$7-$H$7)*($I$7-$H$7)),$J$7-SQRT((1-P722)*($J$7-$H$7)*($J$7-$I$7)))</f>
        <v/>
      </c>
      <c r="E722" s="17">
        <f>SUM(B722:D722)</f>
        <v/>
      </c>
      <c r="N722" s="16">
        <f>RAND()</f>
        <v/>
      </c>
      <c r="O722" s="16">
        <f>RAND()</f>
        <v/>
      </c>
      <c r="P722" s="16">
        <f>RAND()</f>
        <v/>
      </c>
    </row>
    <row r="723">
      <c r="A723" s="13" t="n">
        <v>719</v>
      </c>
      <c r="B723" s="17">
        <f>IF(N723&lt;$K$5,$H$5+SQRT(N723*($J$5-$H$5)*($I$5-$H$5)),$J$5-SQRT((1-N723)*($J$5-$H$5)*($J$5-$I$5)))</f>
        <v/>
      </c>
      <c r="C723" s="17">
        <f>IF(O723&lt;$K$6,$H$6+SQRT(O723*($J$6-$H$6)*($I$6-$H$6)),$J$6-SQRT((1-O723)*($J$6-$H$6)*($J$6-$I$6)))</f>
        <v/>
      </c>
      <c r="D723" s="17">
        <f>IF(P723&lt;$K$7,$H$7+SQRT(P723*($J$7-$H$7)*($I$7-$H$7)),$J$7-SQRT((1-P723)*($J$7-$H$7)*($J$7-$I$7)))</f>
        <v/>
      </c>
      <c r="E723" s="17">
        <f>SUM(B723:D723)</f>
        <v/>
      </c>
      <c r="N723" s="16">
        <f>RAND()</f>
        <v/>
      </c>
      <c r="O723" s="16">
        <f>RAND()</f>
        <v/>
      </c>
      <c r="P723" s="16">
        <f>RAND()</f>
        <v/>
      </c>
    </row>
    <row r="724">
      <c r="A724" s="13" t="n">
        <v>720</v>
      </c>
      <c r="B724" s="17">
        <f>IF(N724&lt;$K$5,$H$5+SQRT(N724*($J$5-$H$5)*($I$5-$H$5)),$J$5-SQRT((1-N724)*($J$5-$H$5)*($J$5-$I$5)))</f>
        <v/>
      </c>
      <c r="C724" s="17">
        <f>IF(O724&lt;$K$6,$H$6+SQRT(O724*($J$6-$H$6)*($I$6-$H$6)),$J$6-SQRT((1-O724)*($J$6-$H$6)*($J$6-$I$6)))</f>
        <v/>
      </c>
      <c r="D724" s="17">
        <f>IF(P724&lt;$K$7,$H$7+SQRT(P724*($J$7-$H$7)*($I$7-$H$7)),$J$7-SQRT((1-P724)*($J$7-$H$7)*($J$7-$I$7)))</f>
        <v/>
      </c>
      <c r="E724" s="17">
        <f>SUM(B724:D724)</f>
        <v/>
      </c>
      <c r="N724" s="16">
        <f>RAND()</f>
        <v/>
      </c>
      <c r="O724" s="16">
        <f>RAND()</f>
        <v/>
      </c>
      <c r="P724" s="16">
        <f>RAND()</f>
        <v/>
      </c>
    </row>
    <row r="725">
      <c r="A725" s="13" t="n">
        <v>721</v>
      </c>
      <c r="B725" s="17">
        <f>IF(N725&lt;$K$5,$H$5+SQRT(N725*($J$5-$H$5)*($I$5-$H$5)),$J$5-SQRT((1-N725)*($J$5-$H$5)*($J$5-$I$5)))</f>
        <v/>
      </c>
      <c r="C725" s="17">
        <f>IF(O725&lt;$K$6,$H$6+SQRT(O725*($J$6-$H$6)*($I$6-$H$6)),$J$6-SQRT((1-O725)*($J$6-$H$6)*($J$6-$I$6)))</f>
        <v/>
      </c>
      <c r="D725" s="17">
        <f>IF(P725&lt;$K$7,$H$7+SQRT(P725*($J$7-$H$7)*($I$7-$H$7)),$J$7-SQRT((1-P725)*($J$7-$H$7)*($J$7-$I$7)))</f>
        <v/>
      </c>
      <c r="E725" s="17">
        <f>SUM(B725:D725)</f>
        <v/>
      </c>
      <c r="N725" s="16">
        <f>RAND()</f>
        <v/>
      </c>
      <c r="O725" s="16">
        <f>RAND()</f>
        <v/>
      </c>
      <c r="P725" s="16">
        <f>RAND()</f>
        <v/>
      </c>
    </row>
    <row r="726">
      <c r="A726" s="13" t="n">
        <v>722</v>
      </c>
      <c r="B726" s="17">
        <f>IF(N726&lt;$K$5,$H$5+SQRT(N726*($J$5-$H$5)*($I$5-$H$5)),$J$5-SQRT((1-N726)*($J$5-$H$5)*($J$5-$I$5)))</f>
        <v/>
      </c>
      <c r="C726" s="17">
        <f>IF(O726&lt;$K$6,$H$6+SQRT(O726*($J$6-$H$6)*($I$6-$H$6)),$J$6-SQRT((1-O726)*($J$6-$H$6)*($J$6-$I$6)))</f>
        <v/>
      </c>
      <c r="D726" s="17">
        <f>IF(P726&lt;$K$7,$H$7+SQRT(P726*($J$7-$H$7)*($I$7-$H$7)),$J$7-SQRT((1-P726)*($J$7-$H$7)*($J$7-$I$7)))</f>
        <v/>
      </c>
      <c r="E726" s="17">
        <f>SUM(B726:D726)</f>
        <v/>
      </c>
      <c r="N726" s="16">
        <f>RAND()</f>
        <v/>
      </c>
      <c r="O726" s="16">
        <f>RAND()</f>
        <v/>
      </c>
      <c r="P726" s="16">
        <f>RAND()</f>
        <v/>
      </c>
    </row>
    <row r="727">
      <c r="A727" s="13" t="n">
        <v>723</v>
      </c>
      <c r="B727" s="17">
        <f>IF(N727&lt;$K$5,$H$5+SQRT(N727*($J$5-$H$5)*($I$5-$H$5)),$J$5-SQRT((1-N727)*($J$5-$H$5)*($J$5-$I$5)))</f>
        <v/>
      </c>
      <c r="C727" s="17">
        <f>IF(O727&lt;$K$6,$H$6+SQRT(O727*($J$6-$H$6)*($I$6-$H$6)),$J$6-SQRT((1-O727)*($J$6-$H$6)*($J$6-$I$6)))</f>
        <v/>
      </c>
      <c r="D727" s="17">
        <f>IF(P727&lt;$K$7,$H$7+SQRT(P727*($J$7-$H$7)*($I$7-$H$7)),$J$7-SQRT((1-P727)*($J$7-$H$7)*($J$7-$I$7)))</f>
        <v/>
      </c>
      <c r="E727" s="17">
        <f>SUM(B727:D727)</f>
        <v/>
      </c>
      <c r="N727" s="16">
        <f>RAND()</f>
        <v/>
      </c>
      <c r="O727" s="16">
        <f>RAND()</f>
        <v/>
      </c>
      <c r="P727" s="16">
        <f>RAND()</f>
        <v/>
      </c>
    </row>
    <row r="728">
      <c r="A728" s="13" t="n">
        <v>724</v>
      </c>
      <c r="B728" s="17">
        <f>IF(N728&lt;$K$5,$H$5+SQRT(N728*($J$5-$H$5)*($I$5-$H$5)),$J$5-SQRT((1-N728)*($J$5-$H$5)*($J$5-$I$5)))</f>
        <v/>
      </c>
      <c r="C728" s="17">
        <f>IF(O728&lt;$K$6,$H$6+SQRT(O728*($J$6-$H$6)*($I$6-$H$6)),$J$6-SQRT((1-O728)*($J$6-$H$6)*($J$6-$I$6)))</f>
        <v/>
      </c>
      <c r="D728" s="17">
        <f>IF(P728&lt;$K$7,$H$7+SQRT(P728*($J$7-$H$7)*($I$7-$H$7)),$J$7-SQRT((1-P728)*($J$7-$H$7)*($J$7-$I$7)))</f>
        <v/>
      </c>
      <c r="E728" s="17">
        <f>SUM(B728:D728)</f>
        <v/>
      </c>
      <c r="N728" s="16">
        <f>RAND()</f>
        <v/>
      </c>
      <c r="O728" s="16">
        <f>RAND()</f>
        <v/>
      </c>
      <c r="P728" s="16">
        <f>RAND()</f>
        <v/>
      </c>
    </row>
    <row r="729">
      <c r="A729" s="13" t="n">
        <v>725</v>
      </c>
      <c r="B729" s="17">
        <f>IF(N729&lt;$K$5,$H$5+SQRT(N729*($J$5-$H$5)*($I$5-$H$5)),$J$5-SQRT((1-N729)*($J$5-$H$5)*($J$5-$I$5)))</f>
        <v/>
      </c>
      <c r="C729" s="17">
        <f>IF(O729&lt;$K$6,$H$6+SQRT(O729*($J$6-$H$6)*($I$6-$H$6)),$J$6-SQRT((1-O729)*($J$6-$H$6)*($J$6-$I$6)))</f>
        <v/>
      </c>
      <c r="D729" s="17">
        <f>IF(P729&lt;$K$7,$H$7+SQRT(P729*($J$7-$H$7)*($I$7-$H$7)),$J$7-SQRT((1-P729)*($J$7-$H$7)*($J$7-$I$7)))</f>
        <v/>
      </c>
      <c r="E729" s="17">
        <f>SUM(B729:D729)</f>
        <v/>
      </c>
      <c r="N729" s="16">
        <f>RAND()</f>
        <v/>
      </c>
      <c r="O729" s="16">
        <f>RAND()</f>
        <v/>
      </c>
      <c r="P729" s="16">
        <f>RAND()</f>
        <v/>
      </c>
    </row>
    <row r="730">
      <c r="A730" s="13" t="n">
        <v>726</v>
      </c>
      <c r="B730" s="17">
        <f>IF(N730&lt;$K$5,$H$5+SQRT(N730*($J$5-$H$5)*($I$5-$H$5)),$J$5-SQRT((1-N730)*($J$5-$H$5)*($J$5-$I$5)))</f>
        <v/>
      </c>
      <c r="C730" s="17">
        <f>IF(O730&lt;$K$6,$H$6+SQRT(O730*($J$6-$H$6)*($I$6-$H$6)),$J$6-SQRT((1-O730)*($J$6-$H$6)*($J$6-$I$6)))</f>
        <v/>
      </c>
      <c r="D730" s="17">
        <f>IF(P730&lt;$K$7,$H$7+SQRT(P730*($J$7-$H$7)*($I$7-$H$7)),$J$7-SQRT((1-P730)*($J$7-$H$7)*($J$7-$I$7)))</f>
        <v/>
      </c>
      <c r="E730" s="17">
        <f>SUM(B730:D730)</f>
        <v/>
      </c>
      <c r="N730" s="16">
        <f>RAND()</f>
        <v/>
      </c>
      <c r="O730" s="16">
        <f>RAND()</f>
        <v/>
      </c>
      <c r="P730" s="16">
        <f>RAND()</f>
        <v/>
      </c>
    </row>
    <row r="731">
      <c r="A731" s="13" t="n">
        <v>727</v>
      </c>
      <c r="B731" s="17">
        <f>IF(N731&lt;$K$5,$H$5+SQRT(N731*($J$5-$H$5)*($I$5-$H$5)),$J$5-SQRT((1-N731)*($J$5-$H$5)*($J$5-$I$5)))</f>
        <v/>
      </c>
      <c r="C731" s="17">
        <f>IF(O731&lt;$K$6,$H$6+SQRT(O731*($J$6-$H$6)*($I$6-$H$6)),$J$6-SQRT((1-O731)*($J$6-$H$6)*($J$6-$I$6)))</f>
        <v/>
      </c>
      <c r="D731" s="17">
        <f>IF(P731&lt;$K$7,$H$7+SQRT(P731*($J$7-$H$7)*($I$7-$H$7)),$J$7-SQRT((1-P731)*($J$7-$H$7)*($J$7-$I$7)))</f>
        <v/>
      </c>
      <c r="E731" s="17">
        <f>SUM(B731:D731)</f>
        <v/>
      </c>
      <c r="N731" s="16">
        <f>RAND()</f>
        <v/>
      </c>
      <c r="O731" s="16">
        <f>RAND()</f>
        <v/>
      </c>
      <c r="P731" s="16">
        <f>RAND()</f>
        <v/>
      </c>
    </row>
    <row r="732">
      <c r="A732" s="13" t="n">
        <v>728</v>
      </c>
      <c r="B732" s="17">
        <f>IF(N732&lt;$K$5,$H$5+SQRT(N732*($J$5-$H$5)*($I$5-$H$5)),$J$5-SQRT((1-N732)*($J$5-$H$5)*($J$5-$I$5)))</f>
        <v/>
      </c>
      <c r="C732" s="17">
        <f>IF(O732&lt;$K$6,$H$6+SQRT(O732*($J$6-$H$6)*($I$6-$H$6)),$J$6-SQRT((1-O732)*($J$6-$H$6)*($J$6-$I$6)))</f>
        <v/>
      </c>
      <c r="D732" s="17">
        <f>IF(P732&lt;$K$7,$H$7+SQRT(P732*($J$7-$H$7)*($I$7-$H$7)),$J$7-SQRT((1-P732)*($J$7-$H$7)*($J$7-$I$7)))</f>
        <v/>
      </c>
      <c r="E732" s="17">
        <f>SUM(B732:D732)</f>
        <v/>
      </c>
      <c r="N732" s="16">
        <f>RAND()</f>
        <v/>
      </c>
      <c r="O732" s="16">
        <f>RAND()</f>
        <v/>
      </c>
      <c r="P732" s="16">
        <f>RAND()</f>
        <v/>
      </c>
    </row>
    <row r="733">
      <c r="A733" s="13" t="n">
        <v>729</v>
      </c>
      <c r="B733" s="17">
        <f>IF(N733&lt;$K$5,$H$5+SQRT(N733*($J$5-$H$5)*($I$5-$H$5)),$J$5-SQRT((1-N733)*($J$5-$H$5)*($J$5-$I$5)))</f>
        <v/>
      </c>
      <c r="C733" s="17">
        <f>IF(O733&lt;$K$6,$H$6+SQRT(O733*($J$6-$H$6)*($I$6-$H$6)),$J$6-SQRT((1-O733)*($J$6-$H$6)*($J$6-$I$6)))</f>
        <v/>
      </c>
      <c r="D733" s="17">
        <f>IF(P733&lt;$K$7,$H$7+SQRT(P733*($J$7-$H$7)*($I$7-$H$7)),$J$7-SQRT((1-P733)*($J$7-$H$7)*($J$7-$I$7)))</f>
        <v/>
      </c>
      <c r="E733" s="17">
        <f>SUM(B733:D733)</f>
        <v/>
      </c>
      <c r="N733" s="16">
        <f>RAND()</f>
        <v/>
      </c>
      <c r="O733" s="16">
        <f>RAND()</f>
        <v/>
      </c>
      <c r="P733" s="16">
        <f>RAND()</f>
        <v/>
      </c>
    </row>
    <row r="734">
      <c r="A734" s="13" t="n">
        <v>730</v>
      </c>
      <c r="B734" s="17">
        <f>IF(N734&lt;$K$5,$H$5+SQRT(N734*($J$5-$H$5)*($I$5-$H$5)),$J$5-SQRT((1-N734)*($J$5-$H$5)*($J$5-$I$5)))</f>
        <v/>
      </c>
      <c r="C734" s="17">
        <f>IF(O734&lt;$K$6,$H$6+SQRT(O734*($J$6-$H$6)*($I$6-$H$6)),$J$6-SQRT((1-O734)*($J$6-$H$6)*($J$6-$I$6)))</f>
        <v/>
      </c>
      <c r="D734" s="17">
        <f>IF(P734&lt;$K$7,$H$7+SQRT(P734*($J$7-$H$7)*($I$7-$H$7)),$J$7-SQRT((1-P734)*($J$7-$H$7)*($J$7-$I$7)))</f>
        <v/>
      </c>
      <c r="E734" s="17">
        <f>SUM(B734:D734)</f>
        <v/>
      </c>
      <c r="N734" s="16">
        <f>RAND()</f>
        <v/>
      </c>
      <c r="O734" s="16">
        <f>RAND()</f>
        <v/>
      </c>
      <c r="P734" s="16">
        <f>RAND()</f>
        <v/>
      </c>
    </row>
    <row r="735">
      <c r="A735" s="13" t="n">
        <v>731</v>
      </c>
      <c r="B735" s="17">
        <f>IF(N735&lt;$K$5,$H$5+SQRT(N735*($J$5-$H$5)*($I$5-$H$5)),$J$5-SQRT((1-N735)*($J$5-$H$5)*($J$5-$I$5)))</f>
        <v/>
      </c>
      <c r="C735" s="17">
        <f>IF(O735&lt;$K$6,$H$6+SQRT(O735*($J$6-$H$6)*($I$6-$H$6)),$J$6-SQRT((1-O735)*($J$6-$H$6)*($J$6-$I$6)))</f>
        <v/>
      </c>
      <c r="D735" s="17">
        <f>IF(P735&lt;$K$7,$H$7+SQRT(P735*($J$7-$H$7)*($I$7-$H$7)),$J$7-SQRT((1-P735)*($J$7-$H$7)*($J$7-$I$7)))</f>
        <v/>
      </c>
      <c r="E735" s="17">
        <f>SUM(B735:D735)</f>
        <v/>
      </c>
      <c r="N735" s="16">
        <f>RAND()</f>
        <v/>
      </c>
      <c r="O735" s="16">
        <f>RAND()</f>
        <v/>
      </c>
      <c r="P735" s="16">
        <f>RAND()</f>
        <v/>
      </c>
    </row>
    <row r="736">
      <c r="A736" s="13" t="n">
        <v>732</v>
      </c>
      <c r="B736" s="17">
        <f>IF(N736&lt;$K$5,$H$5+SQRT(N736*($J$5-$H$5)*($I$5-$H$5)),$J$5-SQRT((1-N736)*($J$5-$H$5)*($J$5-$I$5)))</f>
        <v/>
      </c>
      <c r="C736" s="17">
        <f>IF(O736&lt;$K$6,$H$6+SQRT(O736*($J$6-$H$6)*($I$6-$H$6)),$J$6-SQRT((1-O736)*($J$6-$H$6)*($J$6-$I$6)))</f>
        <v/>
      </c>
      <c r="D736" s="17">
        <f>IF(P736&lt;$K$7,$H$7+SQRT(P736*($J$7-$H$7)*($I$7-$H$7)),$J$7-SQRT((1-P736)*($J$7-$H$7)*($J$7-$I$7)))</f>
        <v/>
      </c>
      <c r="E736" s="17">
        <f>SUM(B736:D736)</f>
        <v/>
      </c>
      <c r="N736" s="16">
        <f>RAND()</f>
        <v/>
      </c>
      <c r="O736" s="16">
        <f>RAND()</f>
        <v/>
      </c>
      <c r="P736" s="16">
        <f>RAND()</f>
        <v/>
      </c>
    </row>
    <row r="737">
      <c r="A737" s="13" t="n">
        <v>733</v>
      </c>
      <c r="B737" s="17">
        <f>IF(N737&lt;$K$5,$H$5+SQRT(N737*($J$5-$H$5)*($I$5-$H$5)),$J$5-SQRT((1-N737)*($J$5-$H$5)*($J$5-$I$5)))</f>
        <v/>
      </c>
      <c r="C737" s="17">
        <f>IF(O737&lt;$K$6,$H$6+SQRT(O737*($J$6-$H$6)*($I$6-$H$6)),$J$6-SQRT((1-O737)*($J$6-$H$6)*($J$6-$I$6)))</f>
        <v/>
      </c>
      <c r="D737" s="17">
        <f>IF(P737&lt;$K$7,$H$7+SQRT(P737*($J$7-$H$7)*($I$7-$H$7)),$J$7-SQRT((1-P737)*($J$7-$H$7)*($J$7-$I$7)))</f>
        <v/>
      </c>
      <c r="E737" s="17">
        <f>SUM(B737:D737)</f>
        <v/>
      </c>
      <c r="N737" s="16">
        <f>RAND()</f>
        <v/>
      </c>
      <c r="O737" s="16">
        <f>RAND()</f>
        <v/>
      </c>
      <c r="P737" s="16">
        <f>RAND()</f>
        <v/>
      </c>
    </row>
    <row r="738">
      <c r="A738" s="13" t="n">
        <v>734</v>
      </c>
      <c r="B738" s="17">
        <f>IF(N738&lt;$K$5,$H$5+SQRT(N738*($J$5-$H$5)*($I$5-$H$5)),$J$5-SQRT((1-N738)*($J$5-$H$5)*($J$5-$I$5)))</f>
        <v/>
      </c>
      <c r="C738" s="17">
        <f>IF(O738&lt;$K$6,$H$6+SQRT(O738*($J$6-$H$6)*($I$6-$H$6)),$J$6-SQRT((1-O738)*($J$6-$H$6)*($J$6-$I$6)))</f>
        <v/>
      </c>
      <c r="D738" s="17">
        <f>IF(P738&lt;$K$7,$H$7+SQRT(P738*($J$7-$H$7)*($I$7-$H$7)),$J$7-SQRT((1-P738)*($J$7-$H$7)*($J$7-$I$7)))</f>
        <v/>
      </c>
      <c r="E738" s="17">
        <f>SUM(B738:D738)</f>
        <v/>
      </c>
      <c r="N738" s="16">
        <f>RAND()</f>
        <v/>
      </c>
      <c r="O738" s="16">
        <f>RAND()</f>
        <v/>
      </c>
      <c r="P738" s="16">
        <f>RAND()</f>
        <v/>
      </c>
    </row>
    <row r="739">
      <c r="A739" s="13" t="n">
        <v>735</v>
      </c>
      <c r="B739" s="17">
        <f>IF(N739&lt;$K$5,$H$5+SQRT(N739*($J$5-$H$5)*($I$5-$H$5)),$J$5-SQRT((1-N739)*($J$5-$H$5)*($J$5-$I$5)))</f>
        <v/>
      </c>
      <c r="C739" s="17">
        <f>IF(O739&lt;$K$6,$H$6+SQRT(O739*($J$6-$H$6)*($I$6-$H$6)),$J$6-SQRT((1-O739)*($J$6-$H$6)*($J$6-$I$6)))</f>
        <v/>
      </c>
      <c r="D739" s="17">
        <f>IF(P739&lt;$K$7,$H$7+SQRT(P739*($J$7-$H$7)*($I$7-$H$7)),$J$7-SQRT((1-P739)*($J$7-$H$7)*($J$7-$I$7)))</f>
        <v/>
      </c>
      <c r="E739" s="17">
        <f>SUM(B739:D739)</f>
        <v/>
      </c>
      <c r="N739" s="16">
        <f>RAND()</f>
        <v/>
      </c>
      <c r="O739" s="16">
        <f>RAND()</f>
        <v/>
      </c>
      <c r="P739" s="16">
        <f>RAND()</f>
        <v/>
      </c>
    </row>
    <row r="740">
      <c r="A740" s="13" t="n">
        <v>736</v>
      </c>
      <c r="B740" s="17">
        <f>IF(N740&lt;$K$5,$H$5+SQRT(N740*($J$5-$H$5)*($I$5-$H$5)),$J$5-SQRT((1-N740)*($J$5-$H$5)*($J$5-$I$5)))</f>
        <v/>
      </c>
      <c r="C740" s="17">
        <f>IF(O740&lt;$K$6,$H$6+SQRT(O740*($J$6-$H$6)*($I$6-$H$6)),$J$6-SQRT((1-O740)*($J$6-$H$6)*($J$6-$I$6)))</f>
        <v/>
      </c>
      <c r="D740" s="17">
        <f>IF(P740&lt;$K$7,$H$7+SQRT(P740*($J$7-$H$7)*($I$7-$H$7)),$J$7-SQRT((1-P740)*($J$7-$H$7)*($J$7-$I$7)))</f>
        <v/>
      </c>
      <c r="E740" s="17">
        <f>SUM(B740:D740)</f>
        <v/>
      </c>
      <c r="N740" s="16">
        <f>RAND()</f>
        <v/>
      </c>
      <c r="O740" s="16">
        <f>RAND()</f>
        <v/>
      </c>
      <c r="P740" s="16">
        <f>RAND()</f>
        <v/>
      </c>
    </row>
    <row r="741">
      <c r="A741" s="13" t="n">
        <v>737</v>
      </c>
      <c r="B741" s="17">
        <f>IF(N741&lt;$K$5,$H$5+SQRT(N741*($J$5-$H$5)*($I$5-$H$5)),$J$5-SQRT((1-N741)*($J$5-$H$5)*($J$5-$I$5)))</f>
        <v/>
      </c>
      <c r="C741" s="17">
        <f>IF(O741&lt;$K$6,$H$6+SQRT(O741*($J$6-$H$6)*($I$6-$H$6)),$J$6-SQRT((1-O741)*($J$6-$H$6)*($J$6-$I$6)))</f>
        <v/>
      </c>
      <c r="D741" s="17">
        <f>IF(P741&lt;$K$7,$H$7+SQRT(P741*($J$7-$H$7)*($I$7-$H$7)),$J$7-SQRT((1-P741)*($J$7-$H$7)*($J$7-$I$7)))</f>
        <v/>
      </c>
      <c r="E741" s="17">
        <f>SUM(B741:D741)</f>
        <v/>
      </c>
      <c r="N741" s="16">
        <f>RAND()</f>
        <v/>
      </c>
      <c r="O741" s="16">
        <f>RAND()</f>
        <v/>
      </c>
      <c r="P741" s="16">
        <f>RAND()</f>
        <v/>
      </c>
    </row>
    <row r="742">
      <c r="A742" s="13" t="n">
        <v>738</v>
      </c>
      <c r="B742" s="17">
        <f>IF(N742&lt;$K$5,$H$5+SQRT(N742*($J$5-$H$5)*($I$5-$H$5)),$J$5-SQRT((1-N742)*($J$5-$H$5)*($J$5-$I$5)))</f>
        <v/>
      </c>
      <c r="C742" s="17">
        <f>IF(O742&lt;$K$6,$H$6+SQRT(O742*($J$6-$H$6)*($I$6-$H$6)),$J$6-SQRT((1-O742)*($J$6-$H$6)*($J$6-$I$6)))</f>
        <v/>
      </c>
      <c r="D742" s="17">
        <f>IF(P742&lt;$K$7,$H$7+SQRT(P742*($J$7-$H$7)*($I$7-$H$7)),$J$7-SQRT((1-P742)*($J$7-$H$7)*($J$7-$I$7)))</f>
        <v/>
      </c>
      <c r="E742" s="17">
        <f>SUM(B742:D742)</f>
        <v/>
      </c>
      <c r="N742" s="16">
        <f>RAND()</f>
        <v/>
      </c>
      <c r="O742" s="16">
        <f>RAND()</f>
        <v/>
      </c>
      <c r="P742" s="16">
        <f>RAND()</f>
        <v/>
      </c>
    </row>
    <row r="743">
      <c r="A743" s="13" t="n">
        <v>739</v>
      </c>
      <c r="B743" s="17">
        <f>IF(N743&lt;$K$5,$H$5+SQRT(N743*($J$5-$H$5)*($I$5-$H$5)),$J$5-SQRT((1-N743)*($J$5-$H$5)*($J$5-$I$5)))</f>
        <v/>
      </c>
      <c r="C743" s="17">
        <f>IF(O743&lt;$K$6,$H$6+SQRT(O743*($J$6-$H$6)*($I$6-$H$6)),$J$6-SQRT((1-O743)*($J$6-$H$6)*($J$6-$I$6)))</f>
        <v/>
      </c>
      <c r="D743" s="17">
        <f>IF(P743&lt;$K$7,$H$7+SQRT(P743*($J$7-$H$7)*($I$7-$H$7)),$J$7-SQRT((1-P743)*($J$7-$H$7)*($J$7-$I$7)))</f>
        <v/>
      </c>
      <c r="E743" s="17">
        <f>SUM(B743:D743)</f>
        <v/>
      </c>
      <c r="N743" s="16">
        <f>RAND()</f>
        <v/>
      </c>
      <c r="O743" s="16">
        <f>RAND()</f>
        <v/>
      </c>
      <c r="P743" s="16">
        <f>RAND()</f>
        <v/>
      </c>
    </row>
    <row r="744">
      <c r="A744" s="13" t="n">
        <v>740</v>
      </c>
      <c r="B744" s="17">
        <f>IF(N744&lt;$K$5,$H$5+SQRT(N744*($J$5-$H$5)*($I$5-$H$5)),$J$5-SQRT((1-N744)*($J$5-$H$5)*($J$5-$I$5)))</f>
        <v/>
      </c>
      <c r="C744" s="17">
        <f>IF(O744&lt;$K$6,$H$6+SQRT(O744*($J$6-$H$6)*($I$6-$H$6)),$J$6-SQRT((1-O744)*($J$6-$H$6)*($J$6-$I$6)))</f>
        <v/>
      </c>
      <c r="D744" s="17">
        <f>IF(P744&lt;$K$7,$H$7+SQRT(P744*($J$7-$H$7)*($I$7-$H$7)),$J$7-SQRT((1-P744)*($J$7-$H$7)*($J$7-$I$7)))</f>
        <v/>
      </c>
      <c r="E744" s="17">
        <f>SUM(B744:D744)</f>
        <v/>
      </c>
      <c r="N744" s="16">
        <f>RAND()</f>
        <v/>
      </c>
      <c r="O744" s="16">
        <f>RAND()</f>
        <v/>
      </c>
      <c r="P744" s="16">
        <f>RAND()</f>
        <v/>
      </c>
    </row>
    <row r="745">
      <c r="A745" s="13" t="n">
        <v>741</v>
      </c>
      <c r="B745" s="17">
        <f>IF(N745&lt;$K$5,$H$5+SQRT(N745*($J$5-$H$5)*($I$5-$H$5)),$J$5-SQRT((1-N745)*($J$5-$H$5)*($J$5-$I$5)))</f>
        <v/>
      </c>
      <c r="C745" s="17">
        <f>IF(O745&lt;$K$6,$H$6+SQRT(O745*($J$6-$H$6)*($I$6-$H$6)),$J$6-SQRT((1-O745)*($J$6-$H$6)*($J$6-$I$6)))</f>
        <v/>
      </c>
      <c r="D745" s="17">
        <f>IF(P745&lt;$K$7,$H$7+SQRT(P745*($J$7-$H$7)*($I$7-$H$7)),$J$7-SQRT((1-P745)*($J$7-$H$7)*($J$7-$I$7)))</f>
        <v/>
      </c>
      <c r="E745" s="17">
        <f>SUM(B745:D745)</f>
        <v/>
      </c>
      <c r="N745" s="16">
        <f>RAND()</f>
        <v/>
      </c>
      <c r="O745" s="16">
        <f>RAND()</f>
        <v/>
      </c>
      <c r="P745" s="16">
        <f>RAND()</f>
        <v/>
      </c>
    </row>
    <row r="746">
      <c r="A746" s="13" t="n">
        <v>742</v>
      </c>
      <c r="B746" s="17">
        <f>IF(N746&lt;$K$5,$H$5+SQRT(N746*($J$5-$H$5)*($I$5-$H$5)),$J$5-SQRT((1-N746)*($J$5-$H$5)*($J$5-$I$5)))</f>
        <v/>
      </c>
      <c r="C746" s="17">
        <f>IF(O746&lt;$K$6,$H$6+SQRT(O746*($J$6-$H$6)*($I$6-$H$6)),$J$6-SQRT((1-O746)*($J$6-$H$6)*($J$6-$I$6)))</f>
        <v/>
      </c>
      <c r="D746" s="17">
        <f>IF(P746&lt;$K$7,$H$7+SQRT(P746*($J$7-$H$7)*($I$7-$H$7)),$J$7-SQRT((1-P746)*($J$7-$H$7)*($J$7-$I$7)))</f>
        <v/>
      </c>
      <c r="E746" s="17">
        <f>SUM(B746:D746)</f>
        <v/>
      </c>
      <c r="N746" s="16">
        <f>RAND()</f>
        <v/>
      </c>
      <c r="O746" s="16">
        <f>RAND()</f>
        <v/>
      </c>
      <c r="P746" s="16">
        <f>RAND()</f>
        <v/>
      </c>
    </row>
    <row r="747">
      <c r="A747" s="13" t="n">
        <v>743</v>
      </c>
      <c r="B747" s="17">
        <f>IF(N747&lt;$K$5,$H$5+SQRT(N747*($J$5-$H$5)*($I$5-$H$5)),$J$5-SQRT((1-N747)*($J$5-$H$5)*($J$5-$I$5)))</f>
        <v/>
      </c>
      <c r="C747" s="17">
        <f>IF(O747&lt;$K$6,$H$6+SQRT(O747*($J$6-$H$6)*($I$6-$H$6)),$J$6-SQRT((1-O747)*($J$6-$H$6)*($J$6-$I$6)))</f>
        <v/>
      </c>
      <c r="D747" s="17">
        <f>IF(P747&lt;$K$7,$H$7+SQRT(P747*($J$7-$H$7)*($I$7-$H$7)),$J$7-SQRT((1-P747)*($J$7-$H$7)*($J$7-$I$7)))</f>
        <v/>
      </c>
      <c r="E747" s="17">
        <f>SUM(B747:D747)</f>
        <v/>
      </c>
      <c r="N747" s="16">
        <f>RAND()</f>
        <v/>
      </c>
      <c r="O747" s="16">
        <f>RAND()</f>
        <v/>
      </c>
      <c r="P747" s="16">
        <f>RAND()</f>
        <v/>
      </c>
    </row>
    <row r="748">
      <c r="A748" s="13" t="n">
        <v>744</v>
      </c>
      <c r="B748" s="17">
        <f>IF(N748&lt;$K$5,$H$5+SQRT(N748*($J$5-$H$5)*($I$5-$H$5)),$J$5-SQRT((1-N748)*($J$5-$H$5)*($J$5-$I$5)))</f>
        <v/>
      </c>
      <c r="C748" s="17">
        <f>IF(O748&lt;$K$6,$H$6+SQRT(O748*($J$6-$H$6)*($I$6-$H$6)),$J$6-SQRT((1-O748)*($J$6-$H$6)*($J$6-$I$6)))</f>
        <v/>
      </c>
      <c r="D748" s="17">
        <f>IF(P748&lt;$K$7,$H$7+SQRT(P748*($J$7-$H$7)*($I$7-$H$7)),$J$7-SQRT((1-P748)*($J$7-$H$7)*($J$7-$I$7)))</f>
        <v/>
      </c>
      <c r="E748" s="17">
        <f>SUM(B748:D748)</f>
        <v/>
      </c>
      <c r="N748" s="16">
        <f>RAND()</f>
        <v/>
      </c>
      <c r="O748" s="16">
        <f>RAND()</f>
        <v/>
      </c>
      <c r="P748" s="16">
        <f>RAND()</f>
        <v/>
      </c>
    </row>
    <row r="749">
      <c r="A749" s="13" t="n">
        <v>745</v>
      </c>
      <c r="B749" s="17">
        <f>IF(N749&lt;$K$5,$H$5+SQRT(N749*($J$5-$H$5)*($I$5-$H$5)),$J$5-SQRT((1-N749)*($J$5-$H$5)*($J$5-$I$5)))</f>
        <v/>
      </c>
      <c r="C749" s="17">
        <f>IF(O749&lt;$K$6,$H$6+SQRT(O749*($J$6-$H$6)*($I$6-$H$6)),$J$6-SQRT((1-O749)*($J$6-$H$6)*($J$6-$I$6)))</f>
        <v/>
      </c>
      <c r="D749" s="17">
        <f>IF(P749&lt;$K$7,$H$7+SQRT(P749*($J$7-$H$7)*($I$7-$H$7)),$J$7-SQRT((1-P749)*($J$7-$H$7)*($J$7-$I$7)))</f>
        <v/>
      </c>
      <c r="E749" s="17">
        <f>SUM(B749:D749)</f>
        <v/>
      </c>
      <c r="N749" s="16">
        <f>RAND()</f>
        <v/>
      </c>
      <c r="O749" s="16">
        <f>RAND()</f>
        <v/>
      </c>
      <c r="P749" s="16">
        <f>RAND()</f>
        <v/>
      </c>
    </row>
    <row r="750">
      <c r="A750" s="13" t="n">
        <v>746</v>
      </c>
      <c r="B750" s="17">
        <f>IF(N750&lt;$K$5,$H$5+SQRT(N750*($J$5-$H$5)*($I$5-$H$5)),$J$5-SQRT((1-N750)*($J$5-$H$5)*($J$5-$I$5)))</f>
        <v/>
      </c>
      <c r="C750" s="17">
        <f>IF(O750&lt;$K$6,$H$6+SQRT(O750*($J$6-$H$6)*($I$6-$H$6)),$J$6-SQRT((1-O750)*($J$6-$H$6)*($J$6-$I$6)))</f>
        <v/>
      </c>
      <c r="D750" s="17">
        <f>IF(P750&lt;$K$7,$H$7+SQRT(P750*($J$7-$H$7)*($I$7-$H$7)),$J$7-SQRT((1-P750)*($J$7-$H$7)*($J$7-$I$7)))</f>
        <v/>
      </c>
      <c r="E750" s="17">
        <f>SUM(B750:D750)</f>
        <v/>
      </c>
      <c r="N750" s="16">
        <f>RAND()</f>
        <v/>
      </c>
      <c r="O750" s="16">
        <f>RAND()</f>
        <v/>
      </c>
      <c r="P750" s="16">
        <f>RAND()</f>
        <v/>
      </c>
    </row>
    <row r="751">
      <c r="A751" s="13" t="n">
        <v>747</v>
      </c>
      <c r="B751" s="17">
        <f>IF(N751&lt;$K$5,$H$5+SQRT(N751*($J$5-$H$5)*($I$5-$H$5)),$J$5-SQRT((1-N751)*($J$5-$H$5)*($J$5-$I$5)))</f>
        <v/>
      </c>
      <c r="C751" s="17">
        <f>IF(O751&lt;$K$6,$H$6+SQRT(O751*($J$6-$H$6)*($I$6-$H$6)),$J$6-SQRT((1-O751)*($J$6-$H$6)*($J$6-$I$6)))</f>
        <v/>
      </c>
      <c r="D751" s="17">
        <f>IF(P751&lt;$K$7,$H$7+SQRT(P751*($J$7-$H$7)*($I$7-$H$7)),$J$7-SQRT((1-P751)*($J$7-$H$7)*($J$7-$I$7)))</f>
        <v/>
      </c>
      <c r="E751" s="17">
        <f>SUM(B751:D751)</f>
        <v/>
      </c>
      <c r="N751" s="16">
        <f>RAND()</f>
        <v/>
      </c>
      <c r="O751" s="16">
        <f>RAND()</f>
        <v/>
      </c>
      <c r="P751" s="16">
        <f>RAND()</f>
        <v/>
      </c>
    </row>
    <row r="752">
      <c r="A752" s="13" t="n">
        <v>748</v>
      </c>
      <c r="B752" s="17">
        <f>IF(N752&lt;$K$5,$H$5+SQRT(N752*($J$5-$H$5)*($I$5-$H$5)),$J$5-SQRT((1-N752)*($J$5-$H$5)*($J$5-$I$5)))</f>
        <v/>
      </c>
      <c r="C752" s="17">
        <f>IF(O752&lt;$K$6,$H$6+SQRT(O752*($J$6-$H$6)*($I$6-$H$6)),$J$6-SQRT((1-O752)*($J$6-$H$6)*($J$6-$I$6)))</f>
        <v/>
      </c>
      <c r="D752" s="17">
        <f>IF(P752&lt;$K$7,$H$7+SQRT(P752*($J$7-$H$7)*($I$7-$H$7)),$J$7-SQRT((1-P752)*($J$7-$H$7)*($J$7-$I$7)))</f>
        <v/>
      </c>
      <c r="E752" s="17">
        <f>SUM(B752:D752)</f>
        <v/>
      </c>
      <c r="N752" s="16">
        <f>RAND()</f>
        <v/>
      </c>
      <c r="O752" s="16">
        <f>RAND()</f>
        <v/>
      </c>
      <c r="P752" s="16">
        <f>RAND()</f>
        <v/>
      </c>
    </row>
    <row r="753">
      <c r="A753" s="13" t="n">
        <v>749</v>
      </c>
      <c r="B753" s="17">
        <f>IF(N753&lt;$K$5,$H$5+SQRT(N753*($J$5-$H$5)*($I$5-$H$5)),$J$5-SQRT((1-N753)*($J$5-$H$5)*($J$5-$I$5)))</f>
        <v/>
      </c>
      <c r="C753" s="17">
        <f>IF(O753&lt;$K$6,$H$6+SQRT(O753*($J$6-$H$6)*($I$6-$H$6)),$J$6-SQRT((1-O753)*($J$6-$H$6)*($J$6-$I$6)))</f>
        <v/>
      </c>
      <c r="D753" s="17">
        <f>IF(P753&lt;$K$7,$H$7+SQRT(P753*($J$7-$H$7)*($I$7-$H$7)),$J$7-SQRT((1-P753)*($J$7-$H$7)*($J$7-$I$7)))</f>
        <v/>
      </c>
      <c r="E753" s="17">
        <f>SUM(B753:D753)</f>
        <v/>
      </c>
      <c r="N753" s="16">
        <f>RAND()</f>
        <v/>
      </c>
      <c r="O753" s="16">
        <f>RAND()</f>
        <v/>
      </c>
      <c r="P753" s="16">
        <f>RAND()</f>
        <v/>
      </c>
    </row>
    <row r="754">
      <c r="A754" s="13" t="n">
        <v>750</v>
      </c>
      <c r="B754" s="17">
        <f>IF(N754&lt;$K$5,$H$5+SQRT(N754*($J$5-$H$5)*($I$5-$H$5)),$J$5-SQRT((1-N754)*($J$5-$H$5)*($J$5-$I$5)))</f>
        <v/>
      </c>
      <c r="C754" s="17">
        <f>IF(O754&lt;$K$6,$H$6+SQRT(O754*($J$6-$H$6)*($I$6-$H$6)),$J$6-SQRT((1-O754)*($J$6-$H$6)*($J$6-$I$6)))</f>
        <v/>
      </c>
      <c r="D754" s="17">
        <f>IF(P754&lt;$K$7,$H$7+SQRT(P754*($J$7-$H$7)*($I$7-$H$7)),$J$7-SQRT((1-P754)*($J$7-$H$7)*($J$7-$I$7)))</f>
        <v/>
      </c>
      <c r="E754" s="17">
        <f>SUM(B754:D754)</f>
        <v/>
      </c>
      <c r="N754" s="16">
        <f>RAND()</f>
        <v/>
      </c>
      <c r="O754" s="16">
        <f>RAND()</f>
        <v/>
      </c>
      <c r="P754" s="16">
        <f>RAND()</f>
        <v/>
      </c>
    </row>
    <row r="755">
      <c r="A755" s="13" t="n">
        <v>751</v>
      </c>
      <c r="B755" s="17">
        <f>IF(N755&lt;$K$5,$H$5+SQRT(N755*($J$5-$H$5)*($I$5-$H$5)),$J$5-SQRT((1-N755)*($J$5-$H$5)*($J$5-$I$5)))</f>
        <v/>
      </c>
      <c r="C755" s="17">
        <f>IF(O755&lt;$K$6,$H$6+SQRT(O755*($J$6-$H$6)*($I$6-$H$6)),$J$6-SQRT((1-O755)*($J$6-$H$6)*($J$6-$I$6)))</f>
        <v/>
      </c>
      <c r="D755" s="17">
        <f>IF(P755&lt;$K$7,$H$7+SQRT(P755*($J$7-$H$7)*($I$7-$H$7)),$J$7-SQRT((1-P755)*($J$7-$H$7)*($J$7-$I$7)))</f>
        <v/>
      </c>
      <c r="E755" s="17">
        <f>SUM(B755:D755)</f>
        <v/>
      </c>
      <c r="N755" s="16">
        <f>RAND()</f>
        <v/>
      </c>
      <c r="O755" s="16">
        <f>RAND()</f>
        <v/>
      </c>
      <c r="P755" s="16">
        <f>RAND()</f>
        <v/>
      </c>
    </row>
    <row r="756">
      <c r="A756" s="13" t="n">
        <v>752</v>
      </c>
      <c r="B756" s="17">
        <f>IF(N756&lt;$K$5,$H$5+SQRT(N756*($J$5-$H$5)*($I$5-$H$5)),$J$5-SQRT((1-N756)*($J$5-$H$5)*($J$5-$I$5)))</f>
        <v/>
      </c>
      <c r="C756" s="17">
        <f>IF(O756&lt;$K$6,$H$6+SQRT(O756*($J$6-$H$6)*($I$6-$H$6)),$J$6-SQRT((1-O756)*($J$6-$H$6)*($J$6-$I$6)))</f>
        <v/>
      </c>
      <c r="D756" s="17">
        <f>IF(P756&lt;$K$7,$H$7+SQRT(P756*($J$7-$H$7)*($I$7-$H$7)),$J$7-SQRT((1-P756)*($J$7-$H$7)*($J$7-$I$7)))</f>
        <v/>
      </c>
      <c r="E756" s="17">
        <f>SUM(B756:D756)</f>
        <v/>
      </c>
      <c r="N756" s="16">
        <f>RAND()</f>
        <v/>
      </c>
      <c r="O756" s="16">
        <f>RAND()</f>
        <v/>
      </c>
      <c r="P756" s="16">
        <f>RAND()</f>
        <v/>
      </c>
    </row>
    <row r="757">
      <c r="A757" s="13" t="n">
        <v>753</v>
      </c>
      <c r="B757" s="17">
        <f>IF(N757&lt;$K$5,$H$5+SQRT(N757*($J$5-$H$5)*($I$5-$H$5)),$J$5-SQRT((1-N757)*($J$5-$H$5)*($J$5-$I$5)))</f>
        <v/>
      </c>
      <c r="C757" s="17">
        <f>IF(O757&lt;$K$6,$H$6+SQRT(O757*($J$6-$H$6)*($I$6-$H$6)),$J$6-SQRT((1-O757)*($J$6-$H$6)*($J$6-$I$6)))</f>
        <v/>
      </c>
      <c r="D757" s="17">
        <f>IF(P757&lt;$K$7,$H$7+SQRT(P757*($J$7-$H$7)*($I$7-$H$7)),$J$7-SQRT((1-P757)*($J$7-$H$7)*($J$7-$I$7)))</f>
        <v/>
      </c>
      <c r="E757" s="17">
        <f>SUM(B757:D757)</f>
        <v/>
      </c>
      <c r="N757" s="16">
        <f>RAND()</f>
        <v/>
      </c>
      <c r="O757" s="16">
        <f>RAND()</f>
        <v/>
      </c>
      <c r="P757" s="16">
        <f>RAND()</f>
        <v/>
      </c>
    </row>
    <row r="758">
      <c r="A758" s="13" t="n">
        <v>754</v>
      </c>
      <c r="B758" s="17">
        <f>IF(N758&lt;$K$5,$H$5+SQRT(N758*($J$5-$H$5)*($I$5-$H$5)),$J$5-SQRT((1-N758)*($J$5-$H$5)*($J$5-$I$5)))</f>
        <v/>
      </c>
      <c r="C758" s="17">
        <f>IF(O758&lt;$K$6,$H$6+SQRT(O758*($J$6-$H$6)*($I$6-$H$6)),$J$6-SQRT((1-O758)*($J$6-$H$6)*($J$6-$I$6)))</f>
        <v/>
      </c>
      <c r="D758" s="17">
        <f>IF(P758&lt;$K$7,$H$7+SQRT(P758*($J$7-$H$7)*($I$7-$H$7)),$J$7-SQRT((1-P758)*($J$7-$H$7)*($J$7-$I$7)))</f>
        <v/>
      </c>
      <c r="E758" s="17">
        <f>SUM(B758:D758)</f>
        <v/>
      </c>
      <c r="N758" s="16">
        <f>RAND()</f>
        <v/>
      </c>
      <c r="O758" s="16">
        <f>RAND()</f>
        <v/>
      </c>
      <c r="P758" s="16">
        <f>RAND()</f>
        <v/>
      </c>
    </row>
    <row r="759">
      <c r="A759" s="13" t="n">
        <v>755</v>
      </c>
      <c r="B759" s="17">
        <f>IF(N759&lt;$K$5,$H$5+SQRT(N759*($J$5-$H$5)*($I$5-$H$5)),$J$5-SQRT((1-N759)*($J$5-$H$5)*($J$5-$I$5)))</f>
        <v/>
      </c>
      <c r="C759" s="17">
        <f>IF(O759&lt;$K$6,$H$6+SQRT(O759*($J$6-$H$6)*($I$6-$H$6)),$J$6-SQRT((1-O759)*($J$6-$H$6)*($J$6-$I$6)))</f>
        <v/>
      </c>
      <c r="D759" s="17">
        <f>IF(P759&lt;$K$7,$H$7+SQRT(P759*($J$7-$H$7)*($I$7-$H$7)),$J$7-SQRT((1-P759)*($J$7-$H$7)*($J$7-$I$7)))</f>
        <v/>
      </c>
      <c r="E759" s="17">
        <f>SUM(B759:D759)</f>
        <v/>
      </c>
      <c r="N759" s="16">
        <f>RAND()</f>
        <v/>
      </c>
      <c r="O759" s="16">
        <f>RAND()</f>
        <v/>
      </c>
      <c r="P759" s="16">
        <f>RAND()</f>
        <v/>
      </c>
    </row>
    <row r="760">
      <c r="A760" s="13" t="n">
        <v>756</v>
      </c>
      <c r="B760" s="17">
        <f>IF(N760&lt;$K$5,$H$5+SQRT(N760*($J$5-$H$5)*($I$5-$H$5)),$J$5-SQRT((1-N760)*($J$5-$H$5)*($J$5-$I$5)))</f>
        <v/>
      </c>
      <c r="C760" s="17">
        <f>IF(O760&lt;$K$6,$H$6+SQRT(O760*($J$6-$H$6)*($I$6-$H$6)),$J$6-SQRT((1-O760)*($J$6-$H$6)*($J$6-$I$6)))</f>
        <v/>
      </c>
      <c r="D760" s="17">
        <f>IF(P760&lt;$K$7,$H$7+SQRT(P760*($J$7-$H$7)*($I$7-$H$7)),$J$7-SQRT((1-P760)*($J$7-$H$7)*($J$7-$I$7)))</f>
        <v/>
      </c>
      <c r="E760" s="17">
        <f>SUM(B760:D760)</f>
        <v/>
      </c>
      <c r="N760" s="16">
        <f>RAND()</f>
        <v/>
      </c>
      <c r="O760" s="16">
        <f>RAND()</f>
        <v/>
      </c>
      <c r="P760" s="16">
        <f>RAND()</f>
        <v/>
      </c>
    </row>
    <row r="761">
      <c r="A761" s="13" t="n">
        <v>757</v>
      </c>
      <c r="B761" s="17">
        <f>IF(N761&lt;$K$5,$H$5+SQRT(N761*($J$5-$H$5)*($I$5-$H$5)),$J$5-SQRT((1-N761)*($J$5-$H$5)*($J$5-$I$5)))</f>
        <v/>
      </c>
      <c r="C761" s="17">
        <f>IF(O761&lt;$K$6,$H$6+SQRT(O761*($J$6-$H$6)*($I$6-$H$6)),$J$6-SQRT((1-O761)*($J$6-$H$6)*($J$6-$I$6)))</f>
        <v/>
      </c>
      <c r="D761" s="17">
        <f>IF(P761&lt;$K$7,$H$7+SQRT(P761*($J$7-$H$7)*($I$7-$H$7)),$J$7-SQRT((1-P761)*($J$7-$H$7)*($J$7-$I$7)))</f>
        <v/>
      </c>
      <c r="E761" s="17">
        <f>SUM(B761:D761)</f>
        <v/>
      </c>
      <c r="N761" s="16">
        <f>RAND()</f>
        <v/>
      </c>
      <c r="O761" s="16">
        <f>RAND()</f>
        <v/>
      </c>
      <c r="P761" s="16">
        <f>RAND()</f>
        <v/>
      </c>
    </row>
    <row r="762">
      <c r="A762" s="13" t="n">
        <v>758</v>
      </c>
      <c r="B762" s="17">
        <f>IF(N762&lt;$K$5,$H$5+SQRT(N762*($J$5-$H$5)*($I$5-$H$5)),$J$5-SQRT((1-N762)*($J$5-$H$5)*($J$5-$I$5)))</f>
        <v/>
      </c>
      <c r="C762" s="17">
        <f>IF(O762&lt;$K$6,$H$6+SQRT(O762*($J$6-$H$6)*($I$6-$H$6)),$J$6-SQRT((1-O762)*($J$6-$H$6)*($J$6-$I$6)))</f>
        <v/>
      </c>
      <c r="D762" s="17">
        <f>IF(P762&lt;$K$7,$H$7+SQRT(P762*($J$7-$H$7)*($I$7-$H$7)),$J$7-SQRT((1-P762)*($J$7-$H$7)*($J$7-$I$7)))</f>
        <v/>
      </c>
      <c r="E762" s="17">
        <f>SUM(B762:D762)</f>
        <v/>
      </c>
      <c r="N762" s="16">
        <f>RAND()</f>
        <v/>
      </c>
      <c r="O762" s="16">
        <f>RAND()</f>
        <v/>
      </c>
      <c r="P762" s="16">
        <f>RAND()</f>
        <v/>
      </c>
    </row>
    <row r="763">
      <c r="A763" s="13" t="n">
        <v>759</v>
      </c>
      <c r="B763" s="17">
        <f>IF(N763&lt;$K$5,$H$5+SQRT(N763*($J$5-$H$5)*($I$5-$H$5)),$J$5-SQRT((1-N763)*($J$5-$H$5)*($J$5-$I$5)))</f>
        <v/>
      </c>
      <c r="C763" s="17">
        <f>IF(O763&lt;$K$6,$H$6+SQRT(O763*($J$6-$H$6)*($I$6-$H$6)),$J$6-SQRT((1-O763)*($J$6-$H$6)*($J$6-$I$6)))</f>
        <v/>
      </c>
      <c r="D763" s="17">
        <f>IF(P763&lt;$K$7,$H$7+SQRT(P763*($J$7-$H$7)*($I$7-$H$7)),$J$7-SQRT((1-P763)*($J$7-$H$7)*($J$7-$I$7)))</f>
        <v/>
      </c>
      <c r="E763" s="17">
        <f>SUM(B763:D763)</f>
        <v/>
      </c>
      <c r="N763" s="16">
        <f>RAND()</f>
        <v/>
      </c>
      <c r="O763" s="16">
        <f>RAND()</f>
        <v/>
      </c>
      <c r="P763" s="16">
        <f>RAND()</f>
        <v/>
      </c>
    </row>
    <row r="764">
      <c r="A764" s="13" t="n">
        <v>760</v>
      </c>
      <c r="B764" s="17">
        <f>IF(N764&lt;$K$5,$H$5+SQRT(N764*($J$5-$H$5)*($I$5-$H$5)),$J$5-SQRT((1-N764)*($J$5-$H$5)*($J$5-$I$5)))</f>
        <v/>
      </c>
      <c r="C764" s="17">
        <f>IF(O764&lt;$K$6,$H$6+SQRT(O764*($J$6-$H$6)*($I$6-$H$6)),$J$6-SQRT((1-O764)*($J$6-$H$6)*($J$6-$I$6)))</f>
        <v/>
      </c>
      <c r="D764" s="17">
        <f>IF(P764&lt;$K$7,$H$7+SQRT(P764*($J$7-$H$7)*($I$7-$H$7)),$J$7-SQRT((1-P764)*($J$7-$H$7)*($J$7-$I$7)))</f>
        <v/>
      </c>
      <c r="E764" s="17">
        <f>SUM(B764:D764)</f>
        <v/>
      </c>
      <c r="N764" s="16">
        <f>RAND()</f>
        <v/>
      </c>
      <c r="O764" s="16">
        <f>RAND()</f>
        <v/>
      </c>
      <c r="P764" s="16">
        <f>RAND()</f>
        <v/>
      </c>
    </row>
    <row r="765">
      <c r="A765" s="13" t="n">
        <v>761</v>
      </c>
      <c r="B765" s="17">
        <f>IF(N765&lt;$K$5,$H$5+SQRT(N765*($J$5-$H$5)*($I$5-$H$5)),$J$5-SQRT((1-N765)*($J$5-$H$5)*($J$5-$I$5)))</f>
        <v/>
      </c>
      <c r="C765" s="17">
        <f>IF(O765&lt;$K$6,$H$6+SQRT(O765*($J$6-$H$6)*($I$6-$H$6)),$J$6-SQRT((1-O765)*($J$6-$H$6)*($J$6-$I$6)))</f>
        <v/>
      </c>
      <c r="D765" s="17">
        <f>IF(P765&lt;$K$7,$H$7+SQRT(P765*($J$7-$H$7)*($I$7-$H$7)),$J$7-SQRT((1-P765)*($J$7-$H$7)*($J$7-$I$7)))</f>
        <v/>
      </c>
      <c r="E765" s="17">
        <f>SUM(B765:D765)</f>
        <v/>
      </c>
      <c r="N765" s="16">
        <f>RAND()</f>
        <v/>
      </c>
      <c r="O765" s="16">
        <f>RAND()</f>
        <v/>
      </c>
      <c r="P765" s="16">
        <f>RAND()</f>
        <v/>
      </c>
    </row>
    <row r="766">
      <c r="A766" s="13" t="n">
        <v>762</v>
      </c>
      <c r="B766" s="17">
        <f>IF(N766&lt;$K$5,$H$5+SQRT(N766*($J$5-$H$5)*($I$5-$H$5)),$J$5-SQRT((1-N766)*($J$5-$H$5)*($J$5-$I$5)))</f>
        <v/>
      </c>
      <c r="C766" s="17">
        <f>IF(O766&lt;$K$6,$H$6+SQRT(O766*($J$6-$H$6)*($I$6-$H$6)),$J$6-SQRT((1-O766)*($J$6-$H$6)*($J$6-$I$6)))</f>
        <v/>
      </c>
      <c r="D766" s="17">
        <f>IF(P766&lt;$K$7,$H$7+SQRT(P766*($J$7-$H$7)*($I$7-$H$7)),$J$7-SQRT((1-P766)*($J$7-$H$7)*($J$7-$I$7)))</f>
        <v/>
      </c>
      <c r="E766" s="17">
        <f>SUM(B766:D766)</f>
        <v/>
      </c>
      <c r="N766" s="16">
        <f>RAND()</f>
        <v/>
      </c>
      <c r="O766" s="16">
        <f>RAND()</f>
        <v/>
      </c>
      <c r="P766" s="16">
        <f>RAND()</f>
        <v/>
      </c>
    </row>
    <row r="767">
      <c r="A767" s="13" t="n">
        <v>763</v>
      </c>
      <c r="B767" s="17">
        <f>IF(N767&lt;$K$5,$H$5+SQRT(N767*($J$5-$H$5)*($I$5-$H$5)),$J$5-SQRT((1-N767)*($J$5-$H$5)*($J$5-$I$5)))</f>
        <v/>
      </c>
      <c r="C767" s="17">
        <f>IF(O767&lt;$K$6,$H$6+SQRT(O767*($J$6-$H$6)*($I$6-$H$6)),$J$6-SQRT((1-O767)*($J$6-$H$6)*($J$6-$I$6)))</f>
        <v/>
      </c>
      <c r="D767" s="17">
        <f>IF(P767&lt;$K$7,$H$7+SQRT(P767*($J$7-$H$7)*($I$7-$H$7)),$J$7-SQRT((1-P767)*($J$7-$H$7)*($J$7-$I$7)))</f>
        <v/>
      </c>
      <c r="E767" s="17">
        <f>SUM(B767:D767)</f>
        <v/>
      </c>
      <c r="N767" s="16">
        <f>RAND()</f>
        <v/>
      </c>
      <c r="O767" s="16">
        <f>RAND()</f>
        <v/>
      </c>
      <c r="P767" s="16">
        <f>RAND()</f>
        <v/>
      </c>
    </row>
    <row r="768">
      <c r="A768" s="13" t="n">
        <v>764</v>
      </c>
      <c r="B768" s="17">
        <f>IF(N768&lt;$K$5,$H$5+SQRT(N768*($J$5-$H$5)*($I$5-$H$5)),$J$5-SQRT((1-N768)*($J$5-$H$5)*($J$5-$I$5)))</f>
        <v/>
      </c>
      <c r="C768" s="17">
        <f>IF(O768&lt;$K$6,$H$6+SQRT(O768*($J$6-$H$6)*($I$6-$H$6)),$J$6-SQRT((1-O768)*($J$6-$H$6)*($J$6-$I$6)))</f>
        <v/>
      </c>
      <c r="D768" s="17">
        <f>IF(P768&lt;$K$7,$H$7+SQRT(P768*($J$7-$H$7)*($I$7-$H$7)),$J$7-SQRT((1-P768)*($J$7-$H$7)*($J$7-$I$7)))</f>
        <v/>
      </c>
      <c r="E768" s="17">
        <f>SUM(B768:D768)</f>
        <v/>
      </c>
      <c r="N768" s="16">
        <f>RAND()</f>
        <v/>
      </c>
      <c r="O768" s="16">
        <f>RAND()</f>
        <v/>
      </c>
      <c r="P768" s="16">
        <f>RAND()</f>
        <v/>
      </c>
    </row>
    <row r="769">
      <c r="A769" s="13" t="n">
        <v>765</v>
      </c>
      <c r="B769" s="17">
        <f>IF(N769&lt;$K$5,$H$5+SQRT(N769*($J$5-$H$5)*($I$5-$H$5)),$J$5-SQRT((1-N769)*($J$5-$H$5)*($J$5-$I$5)))</f>
        <v/>
      </c>
      <c r="C769" s="17">
        <f>IF(O769&lt;$K$6,$H$6+SQRT(O769*($J$6-$H$6)*($I$6-$H$6)),$J$6-SQRT((1-O769)*($J$6-$H$6)*($J$6-$I$6)))</f>
        <v/>
      </c>
      <c r="D769" s="17">
        <f>IF(P769&lt;$K$7,$H$7+SQRT(P769*($J$7-$H$7)*($I$7-$H$7)),$J$7-SQRT((1-P769)*($J$7-$H$7)*($J$7-$I$7)))</f>
        <v/>
      </c>
      <c r="E769" s="17">
        <f>SUM(B769:D769)</f>
        <v/>
      </c>
      <c r="N769" s="16">
        <f>RAND()</f>
        <v/>
      </c>
      <c r="O769" s="16">
        <f>RAND()</f>
        <v/>
      </c>
      <c r="P769" s="16">
        <f>RAND()</f>
        <v/>
      </c>
    </row>
    <row r="770">
      <c r="A770" s="13" t="n">
        <v>766</v>
      </c>
      <c r="B770" s="17">
        <f>IF(N770&lt;$K$5,$H$5+SQRT(N770*($J$5-$H$5)*($I$5-$H$5)),$J$5-SQRT((1-N770)*($J$5-$H$5)*($J$5-$I$5)))</f>
        <v/>
      </c>
      <c r="C770" s="17">
        <f>IF(O770&lt;$K$6,$H$6+SQRT(O770*($J$6-$H$6)*($I$6-$H$6)),$J$6-SQRT((1-O770)*($J$6-$H$6)*($J$6-$I$6)))</f>
        <v/>
      </c>
      <c r="D770" s="17">
        <f>IF(P770&lt;$K$7,$H$7+SQRT(P770*($J$7-$H$7)*($I$7-$H$7)),$J$7-SQRT((1-P770)*($J$7-$H$7)*($J$7-$I$7)))</f>
        <v/>
      </c>
      <c r="E770" s="17">
        <f>SUM(B770:D770)</f>
        <v/>
      </c>
      <c r="N770" s="16">
        <f>RAND()</f>
        <v/>
      </c>
      <c r="O770" s="16">
        <f>RAND()</f>
        <v/>
      </c>
      <c r="P770" s="16">
        <f>RAND()</f>
        <v/>
      </c>
    </row>
    <row r="771">
      <c r="A771" s="13" t="n">
        <v>767</v>
      </c>
      <c r="B771" s="17">
        <f>IF(N771&lt;$K$5,$H$5+SQRT(N771*($J$5-$H$5)*($I$5-$H$5)),$J$5-SQRT((1-N771)*($J$5-$H$5)*($J$5-$I$5)))</f>
        <v/>
      </c>
      <c r="C771" s="17">
        <f>IF(O771&lt;$K$6,$H$6+SQRT(O771*($J$6-$H$6)*($I$6-$H$6)),$J$6-SQRT((1-O771)*($J$6-$H$6)*($J$6-$I$6)))</f>
        <v/>
      </c>
      <c r="D771" s="17">
        <f>IF(P771&lt;$K$7,$H$7+SQRT(P771*($J$7-$H$7)*($I$7-$H$7)),$J$7-SQRT((1-P771)*($J$7-$H$7)*($J$7-$I$7)))</f>
        <v/>
      </c>
      <c r="E771" s="17">
        <f>SUM(B771:D771)</f>
        <v/>
      </c>
      <c r="N771" s="16">
        <f>RAND()</f>
        <v/>
      </c>
      <c r="O771" s="16">
        <f>RAND()</f>
        <v/>
      </c>
      <c r="P771" s="16">
        <f>RAND()</f>
        <v/>
      </c>
    </row>
    <row r="772">
      <c r="A772" s="13" t="n">
        <v>768</v>
      </c>
      <c r="B772" s="17">
        <f>IF(N772&lt;$K$5,$H$5+SQRT(N772*($J$5-$H$5)*($I$5-$H$5)),$J$5-SQRT((1-N772)*($J$5-$H$5)*($J$5-$I$5)))</f>
        <v/>
      </c>
      <c r="C772" s="17">
        <f>IF(O772&lt;$K$6,$H$6+SQRT(O772*($J$6-$H$6)*($I$6-$H$6)),$J$6-SQRT((1-O772)*($J$6-$H$6)*($J$6-$I$6)))</f>
        <v/>
      </c>
      <c r="D772" s="17">
        <f>IF(P772&lt;$K$7,$H$7+SQRT(P772*($J$7-$H$7)*($I$7-$H$7)),$J$7-SQRT((1-P772)*($J$7-$H$7)*($J$7-$I$7)))</f>
        <v/>
      </c>
      <c r="E772" s="17">
        <f>SUM(B772:D772)</f>
        <v/>
      </c>
      <c r="N772" s="16">
        <f>RAND()</f>
        <v/>
      </c>
      <c r="O772" s="16">
        <f>RAND()</f>
        <v/>
      </c>
      <c r="P772" s="16">
        <f>RAND()</f>
        <v/>
      </c>
    </row>
    <row r="773">
      <c r="A773" s="13" t="n">
        <v>769</v>
      </c>
      <c r="B773" s="17">
        <f>IF(N773&lt;$K$5,$H$5+SQRT(N773*($J$5-$H$5)*($I$5-$H$5)),$J$5-SQRT((1-N773)*($J$5-$H$5)*($J$5-$I$5)))</f>
        <v/>
      </c>
      <c r="C773" s="17">
        <f>IF(O773&lt;$K$6,$H$6+SQRT(O773*($J$6-$H$6)*($I$6-$H$6)),$J$6-SQRT((1-O773)*($J$6-$H$6)*($J$6-$I$6)))</f>
        <v/>
      </c>
      <c r="D773" s="17">
        <f>IF(P773&lt;$K$7,$H$7+SQRT(P773*($J$7-$H$7)*($I$7-$H$7)),$J$7-SQRT((1-P773)*($J$7-$H$7)*($J$7-$I$7)))</f>
        <v/>
      </c>
      <c r="E773" s="17">
        <f>SUM(B773:D773)</f>
        <v/>
      </c>
      <c r="N773" s="16">
        <f>RAND()</f>
        <v/>
      </c>
      <c r="O773" s="16">
        <f>RAND()</f>
        <v/>
      </c>
      <c r="P773" s="16">
        <f>RAND()</f>
        <v/>
      </c>
    </row>
    <row r="774">
      <c r="A774" s="13" t="n">
        <v>770</v>
      </c>
      <c r="B774" s="17">
        <f>IF(N774&lt;$K$5,$H$5+SQRT(N774*($J$5-$H$5)*($I$5-$H$5)),$J$5-SQRT((1-N774)*($J$5-$H$5)*($J$5-$I$5)))</f>
        <v/>
      </c>
      <c r="C774" s="17">
        <f>IF(O774&lt;$K$6,$H$6+SQRT(O774*($J$6-$H$6)*($I$6-$H$6)),$J$6-SQRT((1-O774)*($J$6-$H$6)*($J$6-$I$6)))</f>
        <v/>
      </c>
      <c r="D774" s="17">
        <f>IF(P774&lt;$K$7,$H$7+SQRT(P774*($J$7-$H$7)*($I$7-$H$7)),$J$7-SQRT((1-P774)*($J$7-$H$7)*($J$7-$I$7)))</f>
        <v/>
      </c>
      <c r="E774" s="17">
        <f>SUM(B774:D774)</f>
        <v/>
      </c>
      <c r="N774" s="16">
        <f>RAND()</f>
        <v/>
      </c>
      <c r="O774" s="16">
        <f>RAND()</f>
        <v/>
      </c>
      <c r="P774" s="16">
        <f>RAND()</f>
        <v/>
      </c>
    </row>
    <row r="775">
      <c r="A775" s="13" t="n">
        <v>771</v>
      </c>
      <c r="B775" s="17">
        <f>IF(N775&lt;$K$5,$H$5+SQRT(N775*($J$5-$H$5)*($I$5-$H$5)),$J$5-SQRT((1-N775)*($J$5-$H$5)*($J$5-$I$5)))</f>
        <v/>
      </c>
      <c r="C775" s="17">
        <f>IF(O775&lt;$K$6,$H$6+SQRT(O775*($J$6-$H$6)*($I$6-$H$6)),$J$6-SQRT((1-O775)*($J$6-$H$6)*($J$6-$I$6)))</f>
        <v/>
      </c>
      <c r="D775" s="17">
        <f>IF(P775&lt;$K$7,$H$7+SQRT(P775*($J$7-$H$7)*($I$7-$H$7)),$J$7-SQRT((1-P775)*($J$7-$H$7)*($J$7-$I$7)))</f>
        <v/>
      </c>
      <c r="E775" s="17">
        <f>SUM(B775:D775)</f>
        <v/>
      </c>
      <c r="N775" s="16">
        <f>RAND()</f>
        <v/>
      </c>
      <c r="O775" s="16">
        <f>RAND()</f>
        <v/>
      </c>
      <c r="P775" s="16">
        <f>RAND()</f>
        <v/>
      </c>
    </row>
    <row r="776">
      <c r="A776" s="13" t="n">
        <v>772</v>
      </c>
      <c r="B776" s="17">
        <f>IF(N776&lt;$K$5,$H$5+SQRT(N776*($J$5-$H$5)*($I$5-$H$5)),$J$5-SQRT((1-N776)*($J$5-$H$5)*($J$5-$I$5)))</f>
        <v/>
      </c>
      <c r="C776" s="17">
        <f>IF(O776&lt;$K$6,$H$6+SQRT(O776*($J$6-$H$6)*($I$6-$H$6)),$J$6-SQRT((1-O776)*($J$6-$H$6)*($J$6-$I$6)))</f>
        <v/>
      </c>
      <c r="D776" s="17">
        <f>IF(P776&lt;$K$7,$H$7+SQRT(P776*($J$7-$H$7)*($I$7-$H$7)),$J$7-SQRT((1-P776)*($J$7-$H$7)*($J$7-$I$7)))</f>
        <v/>
      </c>
      <c r="E776" s="17">
        <f>SUM(B776:D776)</f>
        <v/>
      </c>
      <c r="N776" s="16">
        <f>RAND()</f>
        <v/>
      </c>
      <c r="O776" s="16">
        <f>RAND()</f>
        <v/>
      </c>
      <c r="P776" s="16">
        <f>RAND()</f>
        <v/>
      </c>
    </row>
    <row r="777">
      <c r="A777" s="13" t="n">
        <v>773</v>
      </c>
      <c r="B777" s="17">
        <f>IF(N777&lt;$K$5,$H$5+SQRT(N777*($J$5-$H$5)*($I$5-$H$5)),$J$5-SQRT((1-N777)*($J$5-$H$5)*($J$5-$I$5)))</f>
        <v/>
      </c>
      <c r="C777" s="17">
        <f>IF(O777&lt;$K$6,$H$6+SQRT(O777*($J$6-$H$6)*($I$6-$H$6)),$J$6-SQRT((1-O777)*($J$6-$H$6)*($J$6-$I$6)))</f>
        <v/>
      </c>
      <c r="D777" s="17">
        <f>IF(P777&lt;$K$7,$H$7+SQRT(P777*($J$7-$H$7)*($I$7-$H$7)),$J$7-SQRT((1-P777)*($J$7-$H$7)*($J$7-$I$7)))</f>
        <v/>
      </c>
      <c r="E777" s="17">
        <f>SUM(B777:D777)</f>
        <v/>
      </c>
      <c r="N777" s="16">
        <f>RAND()</f>
        <v/>
      </c>
      <c r="O777" s="16">
        <f>RAND()</f>
        <v/>
      </c>
      <c r="P777" s="16">
        <f>RAND()</f>
        <v/>
      </c>
    </row>
    <row r="778">
      <c r="A778" s="13" t="n">
        <v>774</v>
      </c>
      <c r="B778" s="17">
        <f>IF(N778&lt;$K$5,$H$5+SQRT(N778*($J$5-$H$5)*($I$5-$H$5)),$J$5-SQRT((1-N778)*($J$5-$H$5)*($J$5-$I$5)))</f>
        <v/>
      </c>
      <c r="C778" s="17">
        <f>IF(O778&lt;$K$6,$H$6+SQRT(O778*($J$6-$H$6)*($I$6-$H$6)),$J$6-SQRT((1-O778)*($J$6-$H$6)*($J$6-$I$6)))</f>
        <v/>
      </c>
      <c r="D778" s="17">
        <f>IF(P778&lt;$K$7,$H$7+SQRT(P778*($J$7-$H$7)*($I$7-$H$7)),$J$7-SQRT((1-P778)*($J$7-$H$7)*($J$7-$I$7)))</f>
        <v/>
      </c>
      <c r="E778" s="17">
        <f>SUM(B778:D778)</f>
        <v/>
      </c>
      <c r="N778" s="16">
        <f>RAND()</f>
        <v/>
      </c>
      <c r="O778" s="16">
        <f>RAND()</f>
        <v/>
      </c>
      <c r="P778" s="16">
        <f>RAND()</f>
        <v/>
      </c>
    </row>
    <row r="779">
      <c r="A779" s="13" t="n">
        <v>775</v>
      </c>
      <c r="B779" s="17">
        <f>IF(N779&lt;$K$5,$H$5+SQRT(N779*($J$5-$H$5)*($I$5-$H$5)),$J$5-SQRT((1-N779)*($J$5-$H$5)*($J$5-$I$5)))</f>
        <v/>
      </c>
      <c r="C779" s="17">
        <f>IF(O779&lt;$K$6,$H$6+SQRT(O779*($J$6-$H$6)*($I$6-$H$6)),$J$6-SQRT((1-O779)*($J$6-$H$6)*($J$6-$I$6)))</f>
        <v/>
      </c>
      <c r="D779" s="17">
        <f>IF(P779&lt;$K$7,$H$7+SQRT(P779*($J$7-$H$7)*($I$7-$H$7)),$J$7-SQRT((1-P779)*($J$7-$H$7)*($J$7-$I$7)))</f>
        <v/>
      </c>
      <c r="E779" s="17">
        <f>SUM(B779:D779)</f>
        <v/>
      </c>
      <c r="N779" s="16">
        <f>RAND()</f>
        <v/>
      </c>
      <c r="O779" s="16">
        <f>RAND()</f>
        <v/>
      </c>
      <c r="P779" s="16">
        <f>RAND()</f>
        <v/>
      </c>
    </row>
    <row r="780">
      <c r="A780" s="13" t="n">
        <v>776</v>
      </c>
      <c r="B780" s="17">
        <f>IF(N780&lt;$K$5,$H$5+SQRT(N780*($J$5-$H$5)*($I$5-$H$5)),$J$5-SQRT((1-N780)*($J$5-$H$5)*($J$5-$I$5)))</f>
        <v/>
      </c>
      <c r="C780" s="17">
        <f>IF(O780&lt;$K$6,$H$6+SQRT(O780*($J$6-$H$6)*($I$6-$H$6)),$J$6-SQRT((1-O780)*($J$6-$H$6)*($J$6-$I$6)))</f>
        <v/>
      </c>
      <c r="D780" s="17">
        <f>IF(P780&lt;$K$7,$H$7+SQRT(P780*($J$7-$H$7)*($I$7-$H$7)),$J$7-SQRT((1-P780)*($J$7-$H$7)*($J$7-$I$7)))</f>
        <v/>
      </c>
      <c r="E780" s="17">
        <f>SUM(B780:D780)</f>
        <v/>
      </c>
      <c r="N780" s="16">
        <f>RAND()</f>
        <v/>
      </c>
      <c r="O780" s="16">
        <f>RAND()</f>
        <v/>
      </c>
      <c r="P780" s="16">
        <f>RAND()</f>
        <v/>
      </c>
    </row>
    <row r="781">
      <c r="A781" s="13" t="n">
        <v>777</v>
      </c>
      <c r="B781" s="17">
        <f>IF(N781&lt;$K$5,$H$5+SQRT(N781*($J$5-$H$5)*($I$5-$H$5)),$J$5-SQRT((1-N781)*($J$5-$H$5)*($J$5-$I$5)))</f>
        <v/>
      </c>
      <c r="C781" s="17">
        <f>IF(O781&lt;$K$6,$H$6+SQRT(O781*($J$6-$H$6)*($I$6-$H$6)),$J$6-SQRT((1-O781)*($J$6-$H$6)*($J$6-$I$6)))</f>
        <v/>
      </c>
      <c r="D781" s="17">
        <f>IF(P781&lt;$K$7,$H$7+SQRT(P781*($J$7-$H$7)*($I$7-$H$7)),$J$7-SQRT((1-P781)*($J$7-$H$7)*($J$7-$I$7)))</f>
        <v/>
      </c>
      <c r="E781" s="17">
        <f>SUM(B781:D781)</f>
        <v/>
      </c>
      <c r="N781" s="16">
        <f>RAND()</f>
        <v/>
      </c>
      <c r="O781" s="16">
        <f>RAND()</f>
        <v/>
      </c>
      <c r="P781" s="16">
        <f>RAND()</f>
        <v/>
      </c>
    </row>
    <row r="782">
      <c r="A782" s="13" t="n">
        <v>778</v>
      </c>
      <c r="B782" s="17">
        <f>IF(N782&lt;$K$5,$H$5+SQRT(N782*($J$5-$H$5)*($I$5-$H$5)),$J$5-SQRT((1-N782)*($J$5-$H$5)*($J$5-$I$5)))</f>
        <v/>
      </c>
      <c r="C782" s="17">
        <f>IF(O782&lt;$K$6,$H$6+SQRT(O782*($J$6-$H$6)*($I$6-$H$6)),$J$6-SQRT((1-O782)*($J$6-$H$6)*($J$6-$I$6)))</f>
        <v/>
      </c>
      <c r="D782" s="17">
        <f>IF(P782&lt;$K$7,$H$7+SQRT(P782*($J$7-$H$7)*($I$7-$H$7)),$J$7-SQRT((1-P782)*($J$7-$H$7)*($J$7-$I$7)))</f>
        <v/>
      </c>
      <c r="E782" s="17">
        <f>SUM(B782:D782)</f>
        <v/>
      </c>
      <c r="N782" s="16">
        <f>RAND()</f>
        <v/>
      </c>
      <c r="O782" s="16">
        <f>RAND()</f>
        <v/>
      </c>
      <c r="P782" s="16">
        <f>RAND()</f>
        <v/>
      </c>
    </row>
    <row r="783">
      <c r="A783" s="13" t="n">
        <v>779</v>
      </c>
      <c r="B783" s="17">
        <f>IF(N783&lt;$K$5,$H$5+SQRT(N783*($J$5-$H$5)*($I$5-$H$5)),$J$5-SQRT((1-N783)*($J$5-$H$5)*($J$5-$I$5)))</f>
        <v/>
      </c>
      <c r="C783" s="17">
        <f>IF(O783&lt;$K$6,$H$6+SQRT(O783*($J$6-$H$6)*($I$6-$H$6)),$J$6-SQRT((1-O783)*($J$6-$H$6)*($J$6-$I$6)))</f>
        <v/>
      </c>
      <c r="D783" s="17">
        <f>IF(P783&lt;$K$7,$H$7+SQRT(P783*($J$7-$H$7)*($I$7-$H$7)),$J$7-SQRT((1-P783)*($J$7-$H$7)*($J$7-$I$7)))</f>
        <v/>
      </c>
      <c r="E783" s="17">
        <f>SUM(B783:D783)</f>
        <v/>
      </c>
      <c r="N783" s="16">
        <f>RAND()</f>
        <v/>
      </c>
      <c r="O783" s="16">
        <f>RAND()</f>
        <v/>
      </c>
      <c r="P783" s="16">
        <f>RAND()</f>
        <v/>
      </c>
    </row>
    <row r="784">
      <c r="A784" s="13" t="n">
        <v>780</v>
      </c>
      <c r="B784" s="17">
        <f>IF(N784&lt;$K$5,$H$5+SQRT(N784*($J$5-$H$5)*($I$5-$H$5)),$J$5-SQRT((1-N784)*($J$5-$H$5)*($J$5-$I$5)))</f>
        <v/>
      </c>
      <c r="C784" s="17">
        <f>IF(O784&lt;$K$6,$H$6+SQRT(O784*($J$6-$H$6)*($I$6-$H$6)),$J$6-SQRT((1-O784)*($J$6-$H$6)*($J$6-$I$6)))</f>
        <v/>
      </c>
      <c r="D784" s="17">
        <f>IF(P784&lt;$K$7,$H$7+SQRT(P784*($J$7-$H$7)*($I$7-$H$7)),$J$7-SQRT((1-P784)*($J$7-$H$7)*($J$7-$I$7)))</f>
        <v/>
      </c>
      <c r="E784" s="17">
        <f>SUM(B784:D784)</f>
        <v/>
      </c>
      <c r="N784" s="16">
        <f>RAND()</f>
        <v/>
      </c>
      <c r="O784" s="16">
        <f>RAND()</f>
        <v/>
      </c>
      <c r="P784" s="16">
        <f>RAND()</f>
        <v/>
      </c>
    </row>
    <row r="785">
      <c r="A785" s="13" t="n">
        <v>781</v>
      </c>
      <c r="B785" s="17">
        <f>IF(N785&lt;$K$5,$H$5+SQRT(N785*($J$5-$H$5)*($I$5-$H$5)),$J$5-SQRT((1-N785)*($J$5-$H$5)*($J$5-$I$5)))</f>
        <v/>
      </c>
      <c r="C785" s="17">
        <f>IF(O785&lt;$K$6,$H$6+SQRT(O785*($J$6-$H$6)*($I$6-$H$6)),$J$6-SQRT((1-O785)*($J$6-$H$6)*($J$6-$I$6)))</f>
        <v/>
      </c>
      <c r="D785" s="17">
        <f>IF(P785&lt;$K$7,$H$7+SQRT(P785*($J$7-$H$7)*($I$7-$H$7)),$J$7-SQRT((1-P785)*($J$7-$H$7)*($J$7-$I$7)))</f>
        <v/>
      </c>
      <c r="E785" s="17">
        <f>SUM(B785:D785)</f>
        <v/>
      </c>
      <c r="N785" s="16">
        <f>RAND()</f>
        <v/>
      </c>
      <c r="O785" s="16">
        <f>RAND()</f>
        <v/>
      </c>
      <c r="P785" s="16">
        <f>RAND()</f>
        <v/>
      </c>
    </row>
    <row r="786">
      <c r="A786" s="13" t="n">
        <v>782</v>
      </c>
      <c r="B786" s="17">
        <f>IF(N786&lt;$K$5,$H$5+SQRT(N786*($J$5-$H$5)*($I$5-$H$5)),$J$5-SQRT((1-N786)*($J$5-$H$5)*($J$5-$I$5)))</f>
        <v/>
      </c>
      <c r="C786" s="17">
        <f>IF(O786&lt;$K$6,$H$6+SQRT(O786*($J$6-$H$6)*($I$6-$H$6)),$J$6-SQRT((1-O786)*($J$6-$H$6)*($J$6-$I$6)))</f>
        <v/>
      </c>
      <c r="D786" s="17">
        <f>IF(P786&lt;$K$7,$H$7+SQRT(P786*($J$7-$H$7)*($I$7-$H$7)),$J$7-SQRT((1-P786)*($J$7-$H$7)*($J$7-$I$7)))</f>
        <v/>
      </c>
      <c r="E786" s="17">
        <f>SUM(B786:D786)</f>
        <v/>
      </c>
      <c r="N786" s="16">
        <f>RAND()</f>
        <v/>
      </c>
      <c r="O786" s="16">
        <f>RAND()</f>
        <v/>
      </c>
      <c r="P786" s="16">
        <f>RAND()</f>
        <v/>
      </c>
    </row>
    <row r="787">
      <c r="A787" s="13" t="n">
        <v>783</v>
      </c>
      <c r="B787" s="17">
        <f>IF(N787&lt;$K$5,$H$5+SQRT(N787*($J$5-$H$5)*($I$5-$H$5)),$J$5-SQRT((1-N787)*($J$5-$H$5)*($J$5-$I$5)))</f>
        <v/>
      </c>
      <c r="C787" s="17">
        <f>IF(O787&lt;$K$6,$H$6+SQRT(O787*($J$6-$H$6)*($I$6-$H$6)),$J$6-SQRT((1-O787)*($J$6-$H$6)*($J$6-$I$6)))</f>
        <v/>
      </c>
      <c r="D787" s="17">
        <f>IF(P787&lt;$K$7,$H$7+SQRT(P787*($J$7-$H$7)*($I$7-$H$7)),$J$7-SQRT((1-P787)*($J$7-$H$7)*($J$7-$I$7)))</f>
        <v/>
      </c>
      <c r="E787" s="17">
        <f>SUM(B787:D787)</f>
        <v/>
      </c>
      <c r="N787" s="16">
        <f>RAND()</f>
        <v/>
      </c>
      <c r="O787" s="16">
        <f>RAND()</f>
        <v/>
      </c>
      <c r="P787" s="16">
        <f>RAND()</f>
        <v/>
      </c>
    </row>
    <row r="788">
      <c r="A788" s="13" t="n">
        <v>784</v>
      </c>
      <c r="B788" s="17">
        <f>IF(N788&lt;$K$5,$H$5+SQRT(N788*($J$5-$H$5)*($I$5-$H$5)),$J$5-SQRT((1-N788)*($J$5-$H$5)*($J$5-$I$5)))</f>
        <v/>
      </c>
      <c r="C788" s="17">
        <f>IF(O788&lt;$K$6,$H$6+SQRT(O788*($J$6-$H$6)*($I$6-$H$6)),$J$6-SQRT((1-O788)*($J$6-$H$6)*($J$6-$I$6)))</f>
        <v/>
      </c>
      <c r="D788" s="17">
        <f>IF(P788&lt;$K$7,$H$7+SQRT(P788*($J$7-$H$7)*($I$7-$H$7)),$J$7-SQRT((1-P788)*($J$7-$H$7)*($J$7-$I$7)))</f>
        <v/>
      </c>
      <c r="E788" s="17">
        <f>SUM(B788:D788)</f>
        <v/>
      </c>
      <c r="N788" s="16">
        <f>RAND()</f>
        <v/>
      </c>
      <c r="O788" s="16">
        <f>RAND()</f>
        <v/>
      </c>
      <c r="P788" s="16">
        <f>RAND()</f>
        <v/>
      </c>
    </row>
    <row r="789">
      <c r="A789" s="13" t="n">
        <v>785</v>
      </c>
      <c r="B789" s="17">
        <f>IF(N789&lt;$K$5,$H$5+SQRT(N789*($J$5-$H$5)*($I$5-$H$5)),$J$5-SQRT((1-N789)*($J$5-$H$5)*($J$5-$I$5)))</f>
        <v/>
      </c>
      <c r="C789" s="17">
        <f>IF(O789&lt;$K$6,$H$6+SQRT(O789*($J$6-$H$6)*($I$6-$H$6)),$J$6-SQRT((1-O789)*($J$6-$H$6)*($J$6-$I$6)))</f>
        <v/>
      </c>
      <c r="D789" s="17">
        <f>IF(P789&lt;$K$7,$H$7+SQRT(P789*($J$7-$H$7)*($I$7-$H$7)),$J$7-SQRT((1-P789)*($J$7-$H$7)*($J$7-$I$7)))</f>
        <v/>
      </c>
      <c r="E789" s="17">
        <f>SUM(B789:D789)</f>
        <v/>
      </c>
      <c r="N789" s="16">
        <f>RAND()</f>
        <v/>
      </c>
      <c r="O789" s="16">
        <f>RAND()</f>
        <v/>
      </c>
      <c r="P789" s="16">
        <f>RAND()</f>
        <v/>
      </c>
    </row>
    <row r="790">
      <c r="A790" s="13" t="n">
        <v>786</v>
      </c>
      <c r="B790" s="17">
        <f>IF(N790&lt;$K$5,$H$5+SQRT(N790*($J$5-$H$5)*($I$5-$H$5)),$J$5-SQRT((1-N790)*($J$5-$H$5)*($J$5-$I$5)))</f>
        <v/>
      </c>
      <c r="C790" s="17">
        <f>IF(O790&lt;$K$6,$H$6+SQRT(O790*($J$6-$H$6)*($I$6-$H$6)),$J$6-SQRT((1-O790)*($J$6-$H$6)*($J$6-$I$6)))</f>
        <v/>
      </c>
      <c r="D790" s="17">
        <f>IF(P790&lt;$K$7,$H$7+SQRT(P790*($J$7-$H$7)*($I$7-$H$7)),$J$7-SQRT((1-P790)*($J$7-$H$7)*($J$7-$I$7)))</f>
        <v/>
      </c>
      <c r="E790" s="17">
        <f>SUM(B790:D790)</f>
        <v/>
      </c>
      <c r="N790" s="16">
        <f>RAND()</f>
        <v/>
      </c>
      <c r="O790" s="16">
        <f>RAND()</f>
        <v/>
      </c>
      <c r="P790" s="16">
        <f>RAND()</f>
        <v/>
      </c>
    </row>
    <row r="791">
      <c r="A791" s="13" t="n">
        <v>787</v>
      </c>
      <c r="B791" s="17">
        <f>IF(N791&lt;$K$5,$H$5+SQRT(N791*($J$5-$H$5)*($I$5-$H$5)),$J$5-SQRT((1-N791)*($J$5-$H$5)*($J$5-$I$5)))</f>
        <v/>
      </c>
      <c r="C791" s="17">
        <f>IF(O791&lt;$K$6,$H$6+SQRT(O791*($J$6-$H$6)*($I$6-$H$6)),$J$6-SQRT((1-O791)*($J$6-$H$6)*($J$6-$I$6)))</f>
        <v/>
      </c>
      <c r="D791" s="17">
        <f>IF(P791&lt;$K$7,$H$7+SQRT(P791*($J$7-$H$7)*($I$7-$H$7)),$J$7-SQRT((1-P791)*($J$7-$H$7)*($J$7-$I$7)))</f>
        <v/>
      </c>
      <c r="E791" s="17">
        <f>SUM(B791:D791)</f>
        <v/>
      </c>
      <c r="N791" s="16">
        <f>RAND()</f>
        <v/>
      </c>
      <c r="O791" s="16">
        <f>RAND()</f>
        <v/>
      </c>
      <c r="P791" s="16">
        <f>RAND()</f>
        <v/>
      </c>
    </row>
    <row r="792">
      <c r="A792" s="13" t="n">
        <v>788</v>
      </c>
      <c r="B792" s="17">
        <f>IF(N792&lt;$K$5,$H$5+SQRT(N792*($J$5-$H$5)*($I$5-$H$5)),$J$5-SQRT((1-N792)*($J$5-$H$5)*($J$5-$I$5)))</f>
        <v/>
      </c>
      <c r="C792" s="17">
        <f>IF(O792&lt;$K$6,$H$6+SQRT(O792*($J$6-$H$6)*($I$6-$H$6)),$J$6-SQRT((1-O792)*($J$6-$H$6)*($J$6-$I$6)))</f>
        <v/>
      </c>
      <c r="D792" s="17">
        <f>IF(P792&lt;$K$7,$H$7+SQRT(P792*($J$7-$H$7)*($I$7-$H$7)),$J$7-SQRT((1-P792)*($J$7-$H$7)*($J$7-$I$7)))</f>
        <v/>
      </c>
      <c r="E792" s="17">
        <f>SUM(B792:D792)</f>
        <v/>
      </c>
      <c r="N792" s="16">
        <f>RAND()</f>
        <v/>
      </c>
      <c r="O792" s="16">
        <f>RAND()</f>
        <v/>
      </c>
      <c r="P792" s="16">
        <f>RAND()</f>
        <v/>
      </c>
    </row>
    <row r="793">
      <c r="A793" s="13" t="n">
        <v>789</v>
      </c>
      <c r="B793" s="17">
        <f>IF(N793&lt;$K$5,$H$5+SQRT(N793*($J$5-$H$5)*($I$5-$H$5)),$J$5-SQRT((1-N793)*($J$5-$H$5)*($J$5-$I$5)))</f>
        <v/>
      </c>
      <c r="C793" s="17">
        <f>IF(O793&lt;$K$6,$H$6+SQRT(O793*($J$6-$H$6)*($I$6-$H$6)),$J$6-SQRT((1-O793)*($J$6-$H$6)*($J$6-$I$6)))</f>
        <v/>
      </c>
      <c r="D793" s="17">
        <f>IF(P793&lt;$K$7,$H$7+SQRT(P793*($J$7-$H$7)*($I$7-$H$7)),$J$7-SQRT((1-P793)*($J$7-$H$7)*($J$7-$I$7)))</f>
        <v/>
      </c>
      <c r="E793" s="17">
        <f>SUM(B793:D793)</f>
        <v/>
      </c>
      <c r="N793" s="16">
        <f>RAND()</f>
        <v/>
      </c>
      <c r="O793" s="16">
        <f>RAND()</f>
        <v/>
      </c>
      <c r="P793" s="16">
        <f>RAND()</f>
        <v/>
      </c>
    </row>
    <row r="794">
      <c r="A794" s="13" t="n">
        <v>790</v>
      </c>
      <c r="B794" s="17">
        <f>IF(N794&lt;$K$5,$H$5+SQRT(N794*($J$5-$H$5)*($I$5-$H$5)),$J$5-SQRT((1-N794)*($J$5-$H$5)*($J$5-$I$5)))</f>
        <v/>
      </c>
      <c r="C794" s="17">
        <f>IF(O794&lt;$K$6,$H$6+SQRT(O794*($J$6-$H$6)*($I$6-$H$6)),$J$6-SQRT((1-O794)*($J$6-$H$6)*($J$6-$I$6)))</f>
        <v/>
      </c>
      <c r="D794" s="17">
        <f>IF(P794&lt;$K$7,$H$7+SQRT(P794*($J$7-$H$7)*($I$7-$H$7)),$J$7-SQRT((1-P794)*($J$7-$H$7)*($J$7-$I$7)))</f>
        <v/>
      </c>
      <c r="E794" s="17">
        <f>SUM(B794:D794)</f>
        <v/>
      </c>
      <c r="N794" s="16">
        <f>RAND()</f>
        <v/>
      </c>
      <c r="O794" s="16">
        <f>RAND()</f>
        <v/>
      </c>
      <c r="P794" s="16">
        <f>RAND()</f>
        <v/>
      </c>
    </row>
    <row r="795">
      <c r="A795" s="13" t="n">
        <v>791</v>
      </c>
      <c r="B795" s="17">
        <f>IF(N795&lt;$K$5,$H$5+SQRT(N795*($J$5-$H$5)*($I$5-$H$5)),$J$5-SQRT((1-N795)*($J$5-$H$5)*($J$5-$I$5)))</f>
        <v/>
      </c>
      <c r="C795" s="17">
        <f>IF(O795&lt;$K$6,$H$6+SQRT(O795*($J$6-$H$6)*($I$6-$H$6)),$J$6-SQRT((1-O795)*($J$6-$H$6)*($J$6-$I$6)))</f>
        <v/>
      </c>
      <c r="D795" s="17">
        <f>IF(P795&lt;$K$7,$H$7+SQRT(P795*($J$7-$H$7)*($I$7-$H$7)),$J$7-SQRT((1-P795)*($J$7-$H$7)*($J$7-$I$7)))</f>
        <v/>
      </c>
      <c r="E795" s="17">
        <f>SUM(B795:D795)</f>
        <v/>
      </c>
      <c r="N795" s="16">
        <f>RAND()</f>
        <v/>
      </c>
      <c r="O795" s="16">
        <f>RAND()</f>
        <v/>
      </c>
      <c r="P795" s="16">
        <f>RAND()</f>
        <v/>
      </c>
    </row>
    <row r="796">
      <c r="A796" s="13" t="n">
        <v>792</v>
      </c>
      <c r="B796" s="17">
        <f>IF(N796&lt;$K$5,$H$5+SQRT(N796*($J$5-$H$5)*($I$5-$H$5)),$J$5-SQRT((1-N796)*($J$5-$H$5)*($J$5-$I$5)))</f>
        <v/>
      </c>
      <c r="C796" s="17">
        <f>IF(O796&lt;$K$6,$H$6+SQRT(O796*($J$6-$H$6)*($I$6-$H$6)),$J$6-SQRT((1-O796)*($J$6-$H$6)*($J$6-$I$6)))</f>
        <v/>
      </c>
      <c r="D796" s="17">
        <f>IF(P796&lt;$K$7,$H$7+SQRT(P796*($J$7-$H$7)*($I$7-$H$7)),$J$7-SQRT((1-P796)*($J$7-$H$7)*($J$7-$I$7)))</f>
        <v/>
      </c>
      <c r="E796" s="17">
        <f>SUM(B796:D796)</f>
        <v/>
      </c>
      <c r="N796" s="16">
        <f>RAND()</f>
        <v/>
      </c>
      <c r="O796" s="16">
        <f>RAND()</f>
        <v/>
      </c>
      <c r="P796" s="16">
        <f>RAND()</f>
        <v/>
      </c>
    </row>
    <row r="797">
      <c r="A797" s="13" t="n">
        <v>793</v>
      </c>
      <c r="B797" s="17">
        <f>IF(N797&lt;$K$5,$H$5+SQRT(N797*($J$5-$H$5)*($I$5-$H$5)),$J$5-SQRT((1-N797)*($J$5-$H$5)*($J$5-$I$5)))</f>
        <v/>
      </c>
      <c r="C797" s="17">
        <f>IF(O797&lt;$K$6,$H$6+SQRT(O797*($J$6-$H$6)*($I$6-$H$6)),$J$6-SQRT((1-O797)*($J$6-$H$6)*($J$6-$I$6)))</f>
        <v/>
      </c>
      <c r="D797" s="17">
        <f>IF(P797&lt;$K$7,$H$7+SQRT(P797*($J$7-$H$7)*($I$7-$H$7)),$J$7-SQRT((1-P797)*($J$7-$H$7)*($J$7-$I$7)))</f>
        <v/>
      </c>
      <c r="E797" s="17">
        <f>SUM(B797:D797)</f>
        <v/>
      </c>
      <c r="N797" s="16">
        <f>RAND()</f>
        <v/>
      </c>
      <c r="O797" s="16">
        <f>RAND()</f>
        <v/>
      </c>
      <c r="P797" s="16">
        <f>RAND()</f>
        <v/>
      </c>
    </row>
    <row r="798">
      <c r="A798" s="13" t="n">
        <v>794</v>
      </c>
      <c r="B798" s="17">
        <f>IF(N798&lt;$K$5,$H$5+SQRT(N798*($J$5-$H$5)*($I$5-$H$5)),$J$5-SQRT((1-N798)*($J$5-$H$5)*($J$5-$I$5)))</f>
        <v/>
      </c>
      <c r="C798" s="17">
        <f>IF(O798&lt;$K$6,$H$6+SQRT(O798*($J$6-$H$6)*($I$6-$H$6)),$J$6-SQRT((1-O798)*($J$6-$H$6)*($J$6-$I$6)))</f>
        <v/>
      </c>
      <c r="D798" s="17">
        <f>IF(P798&lt;$K$7,$H$7+SQRT(P798*($J$7-$H$7)*($I$7-$H$7)),$J$7-SQRT((1-P798)*($J$7-$H$7)*($J$7-$I$7)))</f>
        <v/>
      </c>
      <c r="E798" s="17">
        <f>SUM(B798:D798)</f>
        <v/>
      </c>
      <c r="N798" s="16">
        <f>RAND()</f>
        <v/>
      </c>
      <c r="O798" s="16">
        <f>RAND()</f>
        <v/>
      </c>
      <c r="P798" s="16">
        <f>RAND()</f>
        <v/>
      </c>
    </row>
    <row r="799">
      <c r="A799" s="13" t="n">
        <v>795</v>
      </c>
      <c r="B799" s="17">
        <f>IF(N799&lt;$K$5,$H$5+SQRT(N799*($J$5-$H$5)*($I$5-$H$5)),$J$5-SQRT((1-N799)*($J$5-$H$5)*($J$5-$I$5)))</f>
        <v/>
      </c>
      <c r="C799" s="17">
        <f>IF(O799&lt;$K$6,$H$6+SQRT(O799*($J$6-$H$6)*($I$6-$H$6)),$J$6-SQRT((1-O799)*($J$6-$H$6)*($J$6-$I$6)))</f>
        <v/>
      </c>
      <c r="D799" s="17">
        <f>IF(P799&lt;$K$7,$H$7+SQRT(P799*($J$7-$H$7)*($I$7-$H$7)),$J$7-SQRT((1-P799)*($J$7-$H$7)*($J$7-$I$7)))</f>
        <v/>
      </c>
      <c r="E799" s="17">
        <f>SUM(B799:D799)</f>
        <v/>
      </c>
      <c r="N799" s="16">
        <f>RAND()</f>
        <v/>
      </c>
      <c r="O799" s="16">
        <f>RAND()</f>
        <v/>
      </c>
      <c r="P799" s="16">
        <f>RAND()</f>
        <v/>
      </c>
    </row>
    <row r="800">
      <c r="A800" s="13" t="n">
        <v>796</v>
      </c>
      <c r="B800" s="17">
        <f>IF(N800&lt;$K$5,$H$5+SQRT(N800*($J$5-$H$5)*($I$5-$H$5)),$J$5-SQRT((1-N800)*($J$5-$H$5)*($J$5-$I$5)))</f>
        <v/>
      </c>
      <c r="C800" s="17">
        <f>IF(O800&lt;$K$6,$H$6+SQRT(O800*($J$6-$H$6)*($I$6-$H$6)),$J$6-SQRT((1-O800)*($J$6-$H$6)*($J$6-$I$6)))</f>
        <v/>
      </c>
      <c r="D800" s="17">
        <f>IF(P800&lt;$K$7,$H$7+SQRT(P800*($J$7-$H$7)*($I$7-$H$7)),$J$7-SQRT((1-P800)*($J$7-$H$7)*($J$7-$I$7)))</f>
        <v/>
      </c>
      <c r="E800" s="17">
        <f>SUM(B800:D800)</f>
        <v/>
      </c>
      <c r="N800" s="16">
        <f>RAND()</f>
        <v/>
      </c>
      <c r="O800" s="16">
        <f>RAND()</f>
        <v/>
      </c>
      <c r="P800" s="16">
        <f>RAND()</f>
        <v/>
      </c>
    </row>
    <row r="801">
      <c r="A801" s="13" t="n">
        <v>797</v>
      </c>
      <c r="B801" s="17">
        <f>IF(N801&lt;$K$5,$H$5+SQRT(N801*($J$5-$H$5)*($I$5-$H$5)),$J$5-SQRT((1-N801)*($J$5-$H$5)*($J$5-$I$5)))</f>
        <v/>
      </c>
      <c r="C801" s="17">
        <f>IF(O801&lt;$K$6,$H$6+SQRT(O801*($J$6-$H$6)*($I$6-$H$6)),$J$6-SQRT((1-O801)*($J$6-$H$6)*($J$6-$I$6)))</f>
        <v/>
      </c>
      <c r="D801" s="17">
        <f>IF(P801&lt;$K$7,$H$7+SQRT(P801*($J$7-$H$7)*($I$7-$H$7)),$J$7-SQRT((1-P801)*($J$7-$H$7)*($J$7-$I$7)))</f>
        <v/>
      </c>
      <c r="E801" s="17">
        <f>SUM(B801:D801)</f>
        <v/>
      </c>
      <c r="N801" s="16">
        <f>RAND()</f>
        <v/>
      </c>
      <c r="O801" s="16">
        <f>RAND()</f>
        <v/>
      </c>
      <c r="P801" s="16">
        <f>RAND()</f>
        <v/>
      </c>
    </row>
    <row r="802">
      <c r="A802" s="13" t="n">
        <v>798</v>
      </c>
      <c r="B802" s="17">
        <f>IF(N802&lt;$K$5,$H$5+SQRT(N802*($J$5-$H$5)*($I$5-$H$5)),$J$5-SQRT((1-N802)*($J$5-$H$5)*($J$5-$I$5)))</f>
        <v/>
      </c>
      <c r="C802" s="17">
        <f>IF(O802&lt;$K$6,$H$6+SQRT(O802*($J$6-$H$6)*($I$6-$H$6)),$J$6-SQRT((1-O802)*($J$6-$H$6)*($J$6-$I$6)))</f>
        <v/>
      </c>
      <c r="D802" s="17">
        <f>IF(P802&lt;$K$7,$H$7+SQRT(P802*($J$7-$H$7)*($I$7-$H$7)),$J$7-SQRT((1-P802)*($J$7-$H$7)*($J$7-$I$7)))</f>
        <v/>
      </c>
      <c r="E802" s="17">
        <f>SUM(B802:D802)</f>
        <v/>
      </c>
      <c r="N802" s="16">
        <f>RAND()</f>
        <v/>
      </c>
      <c r="O802" s="16">
        <f>RAND()</f>
        <v/>
      </c>
      <c r="P802" s="16">
        <f>RAND()</f>
        <v/>
      </c>
    </row>
    <row r="803">
      <c r="A803" s="13" t="n">
        <v>799</v>
      </c>
      <c r="B803" s="17">
        <f>IF(N803&lt;$K$5,$H$5+SQRT(N803*($J$5-$H$5)*($I$5-$H$5)),$J$5-SQRT((1-N803)*($J$5-$H$5)*($J$5-$I$5)))</f>
        <v/>
      </c>
      <c r="C803" s="17">
        <f>IF(O803&lt;$K$6,$H$6+SQRT(O803*($J$6-$H$6)*($I$6-$H$6)),$J$6-SQRT((1-O803)*($J$6-$H$6)*($J$6-$I$6)))</f>
        <v/>
      </c>
      <c r="D803" s="17">
        <f>IF(P803&lt;$K$7,$H$7+SQRT(P803*($J$7-$H$7)*($I$7-$H$7)),$J$7-SQRT((1-P803)*($J$7-$H$7)*($J$7-$I$7)))</f>
        <v/>
      </c>
      <c r="E803" s="17">
        <f>SUM(B803:D803)</f>
        <v/>
      </c>
      <c r="N803" s="16">
        <f>RAND()</f>
        <v/>
      </c>
      <c r="O803" s="16">
        <f>RAND()</f>
        <v/>
      </c>
      <c r="P803" s="16">
        <f>RAND()</f>
        <v/>
      </c>
    </row>
    <row r="804">
      <c r="A804" s="13" t="n">
        <v>800</v>
      </c>
      <c r="B804" s="17">
        <f>IF(N804&lt;$K$5,$H$5+SQRT(N804*($J$5-$H$5)*($I$5-$H$5)),$J$5-SQRT((1-N804)*($J$5-$H$5)*($J$5-$I$5)))</f>
        <v/>
      </c>
      <c r="C804" s="17">
        <f>IF(O804&lt;$K$6,$H$6+SQRT(O804*($J$6-$H$6)*($I$6-$H$6)),$J$6-SQRT((1-O804)*($J$6-$H$6)*($J$6-$I$6)))</f>
        <v/>
      </c>
      <c r="D804" s="17">
        <f>IF(P804&lt;$K$7,$H$7+SQRT(P804*($J$7-$H$7)*($I$7-$H$7)),$J$7-SQRT((1-P804)*($J$7-$H$7)*($J$7-$I$7)))</f>
        <v/>
      </c>
      <c r="E804" s="17">
        <f>SUM(B804:D804)</f>
        <v/>
      </c>
      <c r="N804" s="16">
        <f>RAND()</f>
        <v/>
      </c>
      <c r="O804" s="16">
        <f>RAND()</f>
        <v/>
      </c>
      <c r="P804" s="16">
        <f>RAND()</f>
        <v/>
      </c>
    </row>
    <row r="805">
      <c r="A805" s="13" t="n">
        <v>801</v>
      </c>
      <c r="B805" s="17">
        <f>IF(N805&lt;$K$5,$H$5+SQRT(N805*($J$5-$H$5)*($I$5-$H$5)),$J$5-SQRT((1-N805)*($J$5-$H$5)*($J$5-$I$5)))</f>
        <v/>
      </c>
      <c r="C805" s="17">
        <f>IF(O805&lt;$K$6,$H$6+SQRT(O805*($J$6-$H$6)*($I$6-$H$6)),$J$6-SQRT((1-O805)*($J$6-$H$6)*($J$6-$I$6)))</f>
        <v/>
      </c>
      <c r="D805" s="17">
        <f>IF(P805&lt;$K$7,$H$7+SQRT(P805*($J$7-$H$7)*($I$7-$H$7)),$J$7-SQRT((1-P805)*($J$7-$H$7)*($J$7-$I$7)))</f>
        <v/>
      </c>
      <c r="E805" s="17">
        <f>SUM(B805:D805)</f>
        <v/>
      </c>
      <c r="N805" s="16">
        <f>RAND()</f>
        <v/>
      </c>
      <c r="O805" s="16">
        <f>RAND()</f>
        <v/>
      </c>
      <c r="P805" s="16">
        <f>RAND()</f>
        <v/>
      </c>
    </row>
    <row r="806">
      <c r="A806" s="13" t="n">
        <v>802</v>
      </c>
      <c r="B806" s="17">
        <f>IF(N806&lt;$K$5,$H$5+SQRT(N806*($J$5-$H$5)*($I$5-$H$5)),$J$5-SQRT((1-N806)*($J$5-$H$5)*($J$5-$I$5)))</f>
        <v/>
      </c>
      <c r="C806" s="17">
        <f>IF(O806&lt;$K$6,$H$6+SQRT(O806*($J$6-$H$6)*($I$6-$H$6)),$J$6-SQRT((1-O806)*($J$6-$H$6)*($J$6-$I$6)))</f>
        <v/>
      </c>
      <c r="D806" s="17">
        <f>IF(P806&lt;$K$7,$H$7+SQRT(P806*($J$7-$H$7)*($I$7-$H$7)),$J$7-SQRT((1-P806)*($J$7-$H$7)*($J$7-$I$7)))</f>
        <v/>
      </c>
      <c r="E806" s="17">
        <f>SUM(B806:D806)</f>
        <v/>
      </c>
      <c r="N806" s="16">
        <f>RAND()</f>
        <v/>
      </c>
      <c r="O806" s="16">
        <f>RAND()</f>
        <v/>
      </c>
      <c r="P806" s="16">
        <f>RAND()</f>
        <v/>
      </c>
    </row>
    <row r="807">
      <c r="A807" s="13" t="n">
        <v>803</v>
      </c>
      <c r="B807" s="17">
        <f>IF(N807&lt;$K$5,$H$5+SQRT(N807*($J$5-$H$5)*($I$5-$H$5)),$J$5-SQRT((1-N807)*($J$5-$H$5)*($J$5-$I$5)))</f>
        <v/>
      </c>
      <c r="C807" s="17">
        <f>IF(O807&lt;$K$6,$H$6+SQRT(O807*($J$6-$H$6)*($I$6-$H$6)),$J$6-SQRT((1-O807)*($J$6-$H$6)*($J$6-$I$6)))</f>
        <v/>
      </c>
      <c r="D807" s="17">
        <f>IF(P807&lt;$K$7,$H$7+SQRT(P807*($J$7-$H$7)*($I$7-$H$7)),$J$7-SQRT((1-P807)*($J$7-$H$7)*($J$7-$I$7)))</f>
        <v/>
      </c>
      <c r="E807" s="17">
        <f>SUM(B807:D807)</f>
        <v/>
      </c>
      <c r="N807" s="16">
        <f>RAND()</f>
        <v/>
      </c>
      <c r="O807" s="16">
        <f>RAND()</f>
        <v/>
      </c>
      <c r="P807" s="16">
        <f>RAND()</f>
        <v/>
      </c>
    </row>
    <row r="808">
      <c r="A808" s="13" t="n">
        <v>804</v>
      </c>
      <c r="B808" s="17">
        <f>IF(N808&lt;$K$5,$H$5+SQRT(N808*($J$5-$H$5)*($I$5-$H$5)),$J$5-SQRT((1-N808)*($J$5-$H$5)*($J$5-$I$5)))</f>
        <v/>
      </c>
      <c r="C808" s="17">
        <f>IF(O808&lt;$K$6,$H$6+SQRT(O808*($J$6-$H$6)*($I$6-$H$6)),$J$6-SQRT((1-O808)*($J$6-$H$6)*($J$6-$I$6)))</f>
        <v/>
      </c>
      <c r="D808" s="17">
        <f>IF(P808&lt;$K$7,$H$7+SQRT(P808*($J$7-$H$7)*($I$7-$H$7)),$J$7-SQRT((1-P808)*($J$7-$H$7)*($J$7-$I$7)))</f>
        <v/>
      </c>
      <c r="E808" s="17">
        <f>SUM(B808:D808)</f>
        <v/>
      </c>
      <c r="N808" s="16">
        <f>RAND()</f>
        <v/>
      </c>
      <c r="O808" s="16">
        <f>RAND()</f>
        <v/>
      </c>
      <c r="P808" s="16">
        <f>RAND()</f>
        <v/>
      </c>
    </row>
    <row r="809">
      <c r="A809" s="13" t="n">
        <v>805</v>
      </c>
      <c r="B809" s="17">
        <f>IF(N809&lt;$K$5,$H$5+SQRT(N809*($J$5-$H$5)*($I$5-$H$5)),$J$5-SQRT((1-N809)*($J$5-$H$5)*($J$5-$I$5)))</f>
        <v/>
      </c>
      <c r="C809" s="17">
        <f>IF(O809&lt;$K$6,$H$6+SQRT(O809*($J$6-$H$6)*($I$6-$H$6)),$J$6-SQRT((1-O809)*($J$6-$H$6)*($J$6-$I$6)))</f>
        <v/>
      </c>
      <c r="D809" s="17">
        <f>IF(P809&lt;$K$7,$H$7+SQRT(P809*($J$7-$H$7)*($I$7-$H$7)),$J$7-SQRT((1-P809)*($J$7-$H$7)*($J$7-$I$7)))</f>
        <v/>
      </c>
      <c r="E809" s="17">
        <f>SUM(B809:D809)</f>
        <v/>
      </c>
      <c r="N809" s="16">
        <f>RAND()</f>
        <v/>
      </c>
      <c r="O809" s="16">
        <f>RAND()</f>
        <v/>
      </c>
      <c r="P809" s="16">
        <f>RAND()</f>
        <v/>
      </c>
    </row>
    <row r="810">
      <c r="A810" s="13" t="n">
        <v>806</v>
      </c>
      <c r="B810" s="17">
        <f>IF(N810&lt;$K$5,$H$5+SQRT(N810*($J$5-$H$5)*($I$5-$H$5)),$J$5-SQRT((1-N810)*($J$5-$H$5)*($J$5-$I$5)))</f>
        <v/>
      </c>
      <c r="C810" s="17">
        <f>IF(O810&lt;$K$6,$H$6+SQRT(O810*($J$6-$H$6)*($I$6-$H$6)),$J$6-SQRT((1-O810)*($J$6-$H$6)*($J$6-$I$6)))</f>
        <v/>
      </c>
      <c r="D810" s="17">
        <f>IF(P810&lt;$K$7,$H$7+SQRT(P810*($J$7-$H$7)*($I$7-$H$7)),$J$7-SQRT((1-P810)*($J$7-$H$7)*($J$7-$I$7)))</f>
        <v/>
      </c>
      <c r="E810" s="17">
        <f>SUM(B810:D810)</f>
        <v/>
      </c>
      <c r="N810" s="16">
        <f>RAND()</f>
        <v/>
      </c>
      <c r="O810" s="16">
        <f>RAND()</f>
        <v/>
      </c>
      <c r="P810" s="16">
        <f>RAND()</f>
        <v/>
      </c>
    </row>
    <row r="811">
      <c r="A811" s="13" t="n">
        <v>807</v>
      </c>
      <c r="B811" s="17">
        <f>IF(N811&lt;$K$5,$H$5+SQRT(N811*($J$5-$H$5)*($I$5-$H$5)),$J$5-SQRT((1-N811)*($J$5-$H$5)*($J$5-$I$5)))</f>
        <v/>
      </c>
      <c r="C811" s="17">
        <f>IF(O811&lt;$K$6,$H$6+SQRT(O811*($J$6-$H$6)*($I$6-$H$6)),$J$6-SQRT((1-O811)*($J$6-$H$6)*($J$6-$I$6)))</f>
        <v/>
      </c>
      <c r="D811" s="17">
        <f>IF(P811&lt;$K$7,$H$7+SQRT(P811*($J$7-$H$7)*($I$7-$H$7)),$J$7-SQRT((1-P811)*($J$7-$H$7)*($J$7-$I$7)))</f>
        <v/>
      </c>
      <c r="E811" s="17">
        <f>SUM(B811:D811)</f>
        <v/>
      </c>
      <c r="N811" s="16">
        <f>RAND()</f>
        <v/>
      </c>
      <c r="O811" s="16">
        <f>RAND()</f>
        <v/>
      </c>
      <c r="P811" s="16">
        <f>RAND()</f>
        <v/>
      </c>
    </row>
    <row r="812">
      <c r="A812" s="13" t="n">
        <v>808</v>
      </c>
      <c r="B812" s="17">
        <f>IF(N812&lt;$K$5,$H$5+SQRT(N812*($J$5-$H$5)*($I$5-$H$5)),$J$5-SQRT((1-N812)*($J$5-$H$5)*($J$5-$I$5)))</f>
        <v/>
      </c>
      <c r="C812" s="17">
        <f>IF(O812&lt;$K$6,$H$6+SQRT(O812*($J$6-$H$6)*($I$6-$H$6)),$J$6-SQRT((1-O812)*($J$6-$H$6)*($J$6-$I$6)))</f>
        <v/>
      </c>
      <c r="D812" s="17">
        <f>IF(P812&lt;$K$7,$H$7+SQRT(P812*($J$7-$H$7)*($I$7-$H$7)),$J$7-SQRT((1-P812)*($J$7-$H$7)*($J$7-$I$7)))</f>
        <v/>
      </c>
      <c r="E812" s="17">
        <f>SUM(B812:D812)</f>
        <v/>
      </c>
      <c r="N812" s="16">
        <f>RAND()</f>
        <v/>
      </c>
      <c r="O812" s="16">
        <f>RAND()</f>
        <v/>
      </c>
      <c r="P812" s="16">
        <f>RAND()</f>
        <v/>
      </c>
    </row>
    <row r="813">
      <c r="A813" s="13" t="n">
        <v>809</v>
      </c>
      <c r="B813" s="17">
        <f>IF(N813&lt;$K$5,$H$5+SQRT(N813*($J$5-$H$5)*($I$5-$H$5)),$J$5-SQRT((1-N813)*($J$5-$H$5)*($J$5-$I$5)))</f>
        <v/>
      </c>
      <c r="C813" s="17">
        <f>IF(O813&lt;$K$6,$H$6+SQRT(O813*($J$6-$H$6)*($I$6-$H$6)),$J$6-SQRT((1-O813)*($J$6-$H$6)*($J$6-$I$6)))</f>
        <v/>
      </c>
      <c r="D813" s="17">
        <f>IF(P813&lt;$K$7,$H$7+SQRT(P813*($J$7-$H$7)*($I$7-$H$7)),$J$7-SQRT((1-P813)*($J$7-$H$7)*($J$7-$I$7)))</f>
        <v/>
      </c>
      <c r="E813" s="17">
        <f>SUM(B813:D813)</f>
        <v/>
      </c>
      <c r="N813" s="16">
        <f>RAND()</f>
        <v/>
      </c>
      <c r="O813" s="16">
        <f>RAND()</f>
        <v/>
      </c>
      <c r="P813" s="16">
        <f>RAND()</f>
        <v/>
      </c>
    </row>
    <row r="814">
      <c r="A814" s="13" t="n">
        <v>810</v>
      </c>
      <c r="B814" s="17">
        <f>IF(N814&lt;$K$5,$H$5+SQRT(N814*($J$5-$H$5)*($I$5-$H$5)),$J$5-SQRT((1-N814)*($J$5-$H$5)*($J$5-$I$5)))</f>
        <v/>
      </c>
      <c r="C814" s="17">
        <f>IF(O814&lt;$K$6,$H$6+SQRT(O814*($J$6-$H$6)*($I$6-$H$6)),$J$6-SQRT((1-O814)*($J$6-$H$6)*($J$6-$I$6)))</f>
        <v/>
      </c>
      <c r="D814" s="17">
        <f>IF(P814&lt;$K$7,$H$7+SQRT(P814*($J$7-$H$7)*($I$7-$H$7)),$J$7-SQRT((1-P814)*($J$7-$H$7)*($J$7-$I$7)))</f>
        <v/>
      </c>
      <c r="E814" s="17">
        <f>SUM(B814:D814)</f>
        <v/>
      </c>
      <c r="N814" s="16">
        <f>RAND()</f>
        <v/>
      </c>
      <c r="O814" s="16">
        <f>RAND()</f>
        <v/>
      </c>
      <c r="P814" s="16">
        <f>RAND()</f>
        <v/>
      </c>
    </row>
    <row r="815">
      <c r="A815" s="13" t="n">
        <v>811</v>
      </c>
      <c r="B815" s="17">
        <f>IF(N815&lt;$K$5,$H$5+SQRT(N815*($J$5-$H$5)*($I$5-$H$5)),$J$5-SQRT((1-N815)*($J$5-$H$5)*($J$5-$I$5)))</f>
        <v/>
      </c>
      <c r="C815" s="17">
        <f>IF(O815&lt;$K$6,$H$6+SQRT(O815*($J$6-$H$6)*($I$6-$H$6)),$J$6-SQRT((1-O815)*($J$6-$H$6)*($J$6-$I$6)))</f>
        <v/>
      </c>
      <c r="D815" s="17">
        <f>IF(P815&lt;$K$7,$H$7+SQRT(P815*($J$7-$H$7)*($I$7-$H$7)),$J$7-SQRT((1-P815)*($J$7-$H$7)*($J$7-$I$7)))</f>
        <v/>
      </c>
      <c r="E815" s="17">
        <f>SUM(B815:D815)</f>
        <v/>
      </c>
      <c r="N815" s="16">
        <f>RAND()</f>
        <v/>
      </c>
      <c r="O815" s="16">
        <f>RAND()</f>
        <v/>
      </c>
      <c r="P815" s="16">
        <f>RAND()</f>
        <v/>
      </c>
    </row>
    <row r="816">
      <c r="A816" s="13" t="n">
        <v>812</v>
      </c>
      <c r="B816" s="17">
        <f>IF(N816&lt;$K$5,$H$5+SQRT(N816*($J$5-$H$5)*($I$5-$H$5)),$J$5-SQRT((1-N816)*($J$5-$H$5)*($J$5-$I$5)))</f>
        <v/>
      </c>
      <c r="C816" s="17">
        <f>IF(O816&lt;$K$6,$H$6+SQRT(O816*($J$6-$H$6)*($I$6-$H$6)),$J$6-SQRT((1-O816)*($J$6-$H$6)*($J$6-$I$6)))</f>
        <v/>
      </c>
      <c r="D816" s="17">
        <f>IF(P816&lt;$K$7,$H$7+SQRT(P816*($J$7-$H$7)*($I$7-$H$7)),$J$7-SQRT((1-P816)*($J$7-$H$7)*($J$7-$I$7)))</f>
        <v/>
      </c>
      <c r="E816" s="17">
        <f>SUM(B816:D816)</f>
        <v/>
      </c>
      <c r="N816" s="16">
        <f>RAND()</f>
        <v/>
      </c>
      <c r="O816" s="16">
        <f>RAND()</f>
        <v/>
      </c>
      <c r="P816" s="16">
        <f>RAND()</f>
        <v/>
      </c>
    </row>
    <row r="817">
      <c r="A817" s="13" t="n">
        <v>813</v>
      </c>
      <c r="B817" s="17">
        <f>IF(N817&lt;$K$5,$H$5+SQRT(N817*($J$5-$H$5)*($I$5-$H$5)),$J$5-SQRT((1-N817)*($J$5-$H$5)*($J$5-$I$5)))</f>
        <v/>
      </c>
      <c r="C817" s="17">
        <f>IF(O817&lt;$K$6,$H$6+SQRT(O817*($J$6-$H$6)*($I$6-$H$6)),$J$6-SQRT((1-O817)*($J$6-$H$6)*($J$6-$I$6)))</f>
        <v/>
      </c>
      <c r="D817" s="17">
        <f>IF(P817&lt;$K$7,$H$7+SQRT(P817*($J$7-$H$7)*($I$7-$H$7)),$J$7-SQRT((1-P817)*($J$7-$H$7)*($J$7-$I$7)))</f>
        <v/>
      </c>
      <c r="E817" s="17">
        <f>SUM(B817:D817)</f>
        <v/>
      </c>
      <c r="N817" s="16">
        <f>RAND()</f>
        <v/>
      </c>
      <c r="O817" s="16">
        <f>RAND()</f>
        <v/>
      </c>
      <c r="P817" s="16">
        <f>RAND()</f>
        <v/>
      </c>
    </row>
    <row r="818">
      <c r="A818" s="13" t="n">
        <v>814</v>
      </c>
      <c r="B818" s="17">
        <f>IF(N818&lt;$K$5,$H$5+SQRT(N818*($J$5-$H$5)*($I$5-$H$5)),$J$5-SQRT((1-N818)*($J$5-$H$5)*($J$5-$I$5)))</f>
        <v/>
      </c>
      <c r="C818" s="17">
        <f>IF(O818&lt;$K$6,$H$6+SQRT(O818*($J$6-$H$6)*($I$6-$H$6)),$J$6-SQRT((1-O818)*($J$6-$H$6)*($J$6-$I$6)))</f>
        <v/>
      </c>
      <c r="D818" s="17">
        <f>IF(P818&lt;$K$7,$H$7+SQRT(P818*($J$7-$H$7)*($I$7-$H$7)),$J$7-SQRT((1-P818)*($J$7-$H$7)*($J$7-$I$7)))</f>
        <v/>
      </c>
      <c r="E818" s="17">
        <f>SUM(B818:D818)</f>
        <v/>
      </c>
      <c r="N818" s="16">
        <f>RAND()</f>
        <v/>
      </c>
      <c r="O818" s="16">
        <f>RAND()</f>
        <v/>
      </c>
      <c r="P818" s="16">
        <f>RAND()</f>
        <v/>
      </c>
    </row>
    <row r="819">
      <c r="A819" s="13" t="n">
        <v>815</v>
      </c>
      <c r="B819" s="17">
        <f>IF(N819&lt;$K$5,$H$5+SQRT(N819*($J$5-$H$5)*($I$5-$H$5)),$J$5-SQRT((1-N819)*($J$5-$H$5)*($J$5-$I$5)))</f>
        <v/>
      </c>
      <c r="C819" s="17">
        <f>IF(O819&lt;$K$6,$H$6+SQRT(O819*($J$6-$H$6)*($I$6-$H$6)),$J$6-SQRT((1-O819)*($J$6-$H$6)*($J$6-$I$6)))</f>
        <v/>
      </c>
      <c r="D819" s="17">
        <f>IF(P819&lt;$K$7,$H$7+SQRT(P819*($J$7-$H$7)*($I$7-$H$7)),$J$7-SQRT((1-P819)*($J$7-$H$7)*($J$7-$I$7)))</f>
        <v/>
      </c>
      <c r="E819" s="17">
        <f>SUM(B819:D819)</f>
        <v/>
      </c>
      <c r="N819" s="16">
        <f>RAND()</f>
        <v/>
      </c>
      <c r="O819" s="16">
        <f>RAND()</f>
        <v/>
      </c>
      <c r="P819" s="16">
        <f>RAND()</f>
        <v/>
      </c>
    </row>
    <row r="820">
      <c r="A820" s="13" t="n">
        <v>816</v>
      </c>
      <c r="B820" s="17">
        <f>IF(N820&lt;$K$5,$H$5+SQRT(N820*($J$5-$H$5)*($I$5-$H$5)),$J$5-SQRT((1-N820)*($J$5-$H$5)*($J$5-$I$5)))</f>
        <v/>
      </c>
      <c r="C820" s="17">
        <f>IF(O820&lt;$K$6,$H$6+SQRT(O820*($J$6-$H$6)*($I$6-$H$6)),$J$6-SQRT((1-O820)*($J$6-$H$6)*($J$6-$I$6)))</f>
        <v/>
      </c>
      <c r="D820" s="17">
        <f>IF(P820&lt;$K$7,$H$7+SQRT(P820*($J$7-$H$7)*($I$7-$H$7)),$J$7-SQRT((1-P820)*($J$7-$H$7)*($J$7-$I$7)))</f>
        <v/>
      </c>
      <c r="E820" s="17">
        <f>SUM(B820:D820)</f>
        <v/>
      </c>
      <c r="N820" s="16">
        <f>RAND()</f>
        <v/>
      </c>
      <c r="O820" s="16">
        <f>RAND()</f>
        <v/>
      </c>
      <c r="P820" s="16">
        <f>RAND()</f>
        <v/>
      </c>
    </row>
    <row r="821">
      <c r="A821" s="13" t="n">
        <v>817</v>
      </c>
      <c r="B821" s="17">
        <f>IF(N821&lt;$K$5,$H$5+SQRT(N821*($J$5-$H$5)*($I$5-$H$5)),$J$5-SQRT((1-N821)*($J$5-$H$5)*($J$5-$I$5)))</f>
        <v/>
      </c>
      <c r="C821" s="17">
        <f>IF(O821&lt;$K$6,$H$6+SQRT(O821*($J$6-$H$6)*($I$6-$H$6)),$J$6-SQRT((1-O821)*($J$6-$H$6)*($J$6-$I$6)))</f>
        <v/>
      </c>
      <c r="D821" s="17">
        <f>IF(P821&lt;$K$7,$H$7+SQRT(P821*($J$7-$H$7)*($I$7-$H$7)),$J$7-SQRT((1-P821)*($J$7-$H$7)*($J$7-$I$7)))</f>
        <v/>
      </c>
      <c r="E821" s="17">
        <f>SUM(B821:D821)</f>
        <v/>
      </c>
      <c r="N821" s="16">
        <f>RAND()</f>
        <v/>
      </c>
      <c r="O821" s="16">
        <f>RAND()</f>
        <v/>
      </c>
      <c r="P821" s="16">
        <f>RAND()</f>
        <v/>
      </c>
    </row>
    <row r="822">
      <c r="A822" s="13" t="n">
        <v>818</v>
      </c>
      <c r="B822" s="17">
        <f>IF(N822&lt;$K$5,$H$5+SQRT(N822*($J$5-$H$5)*($I$5-$H$5)),$J$5-SQRT((1-N822)*($J$5-$H$5)*($J$5-$I$5)))</f>
        <v/>
      </c>
      <c r="C822" s="17">
        <f>IF(O822&lt;$K$6,$H$6+SQRT(O822*($J$6-$H$6)*($I$6-$H$6)),$J$6-SQRT((1-O822)*($J$6-$H$6)*($J$6-$I$6)))</f>
        <v/>
      </c>
      <c r="D822" s="17">
        <f>IF(P822&lt;$K$7,$H$7+SQRT(P822*($J$7-$H$7)*($I$7-$H$7)),$J$7-SQRT((1-P822)*($J$7-$H$7)*($J$7-$I$7)))</f>
        <v/>
      </c>
      <c r="E822" s="17">
        <f>SUM(B822:D822)</f>
        <v/>
      </c>
      <c r="N822" s="16">
        <f>RAND()</f>
        <v/>
      </c>
      <c r="O822" s="16">
        <f>RAND()</f>
        <v/>
      </c>
      <c r="P822" s="16">
        <f>RAND()</f>
        <v/>
      </c>
    </row>
    <row r="823">
      <c r="A823" s="13" t="n">
        <v>819</v>
      </c>
      <c r="B823" s="17">
        <f>IF(N823&lt;$K$5,$H$5+SQRT(N823*($J$5-$H$5)*($I$5-$H$5)),$J$5-SQRT((1-N823)*($J$5-$H$5)*($J$5-$I$5)))</f>
        <v/>
      </c>
      <c r="C823" s="17">
        <f>IF(O823&lt;$K$6,$H$6+SQRT(O823*($J$6-$H$6)*($I$6-$H$6)),$J$6-SQRT((1-O823)*($J$6-$H$6)*($J$6-$I$6)))</f>
        <v/>
      </c>
      <c r="D823" s="17">
        <f>IF(P823&lt;$K$7,$H$7+SQRT(P823*($J$7-$H$7)*($I$7-$H$7)),$J$7-SQRT((1-P823)*($J$7-$H$7)*($J$7-$I$7)))</f>
        <v/>
      </c>
      <c r="E823" s="17">
        <f>SUM(B823:D823)</f>
        <v/>
      </c>
      <c r="N823" s="16">
        <f>RAND()</f>
        <v/>
      </c>
      <c r="O823" s="16">
        <f>RAND()</f>
        <v/>
      </c>
      <c r="P823" s="16">
        <f>RAND()</f>
        <v/>
      </c>
    </row>
    <row r="824">
      <c r="A824" s="13" t="n">
        <v>820</v>
      </c>
      <c r="B824" s="17">
        <f>IF(N824&lt;$K$5,$H$5+SQRT(N824*($J$5-$H$5)*($I$5-$H$5)),$J$5-SQRT((1-N824)*($J$5-$H$5)*($J$5-$I$5)))</f>
        <v/>
      </c>
      <c r="C824" s="17">
        <f>IF(O824&lt;$K$6,$H$6+SQRT(O824*($J$6-$H$6)*($I$6-$H$6)),$J$6-SQRT((1-O824)*($J$6-$H$6)*($J$6-$I$6)))</f>
        <v/>
      </c>
      <c r="D824" s="17">
        <f>IF(P824&lt;$K$7,$H$7+SQRT(P824*($J$7-$H$7)*($I$7-$H$7)),$J$7-SQRT((1-P824)*($J$7-$H$7)*($J$7-$I$7)))</f>
        <v/>
      </c>
      <c r="E824" s="17">
        <f>SUM(B824:D824)</f>
        <v/>
      </c>
      <c r="N824" s="16">
        <f>RAND()</f>
        <v/>
      </c>
      <c r="O824" s="16">
        <f>RAND()</f>
        <v/>
      </c>
      <c r="P824" s="16">
        <f>RAND()</f>
        <v/>
      </c>
    </row>
    <row r="825">
      <c r="A825" s="13" t="n">
        <v>821</v>
      </c>
      <c r="B825" s="17">
        <f>IF(N825&lt;$K$5,$H$5+SQRT(N825*($J$5-$H$5)*($I$5-$H$5)),$J$5-SQRT((1-N825)*($J$5-$H$5)*($J$5-$I$5)))</f>
        <v/>
      </c>
      <c r="C825" s="17">
        <f>IF(O825&lt;$K$6,$H$6+SQRT(O825*($J$6-$H$6)*($I$6-$H$6)),$J$6-SQRT((1-O825)*($J$6-$H$6)*($J$6-$I$6)))</f>
        <v/>
      </c>
      <c r="D825" s="17">
        <f>IF(P825&lt;$K$7,$H$7+SQRT(P825*($J$7-$H$7)*($I$7-$H$7)),$J$7-SQRT((1-P825)*($J$7-$H$7)*($J$7-$I$7)))</f>
        <v/>
      </c>
      <c r="E825" s="17">
        <f>SUM(B825:D825)</f>
        <v/>
      </c>
      <c r="N825" s="16">
        <f>RAND()</f>
        <v/>
      </c>
      <c r="O825" s="16">
        <f>RAND()</f>
        <v/>
      </c>
      <c r="P825" s="16">
        <f>RAND()</f>
        <v/>
      </c>
    </row>
    <row r="826">
      <c r="A826" s="13" t="n">
        <v>822</v>
      </c>
      <c r="B826" s="17">
        <f>IF(N826&lt;$K$5,$H$5+SQRT(N826*($J$5-$H$5)*($I$5-$H$5)),$J$5-SQRT((1-N826)*($J$5-$H$5)*($J$5-$I$5)))</f>
        <v/>
      </c>
      <c r="C826" s="17">
        <f>IF(O826&lt;$K$6,$H$6+SQRT(O826*($J$6-$H$6)*($I$6-$H$6)),$J$6-SQRT((1-O826)*($J$6-$H$6)*($J$6-$I$6)))</f>
        <v/>
      </c>
      <c r="D826" s="17">
        <f>IF(P826&lt;$K$7,$H$7+SQRT(P826*($J$7-$H$7)*($I$7-$H$7)),$J$7-SQRT((1-P826)*($J$7-$H$7)*($J$7-$I$7)))</f>
        <v/>
      </c>
      <c r="E826" s="17">
        <f>SUM(B826:D826)</f>
        <v/>
      </c>
      <c r="N826" s="16">
        <f>RAND()</f>
        <v/>
      </c>
      <c r="O826" s="16">
        <f>RAND()</f>
        <v/>
      </c>
      <c r="P826" s="16">
        <f>RAND()</f>
        <v/>
      </c>
    </row>
    <row r="827">
      <c r="A827" s="13" t="n">
        <v>823</v>
      </c>
      <c r="B827" s="17">
        <f>IF(N827&lt;$K$5,$H$5+SQRT(N827*($J$5-$H$5)*($I$5-$H$5)),$J$5-SQRT((1-N827)*($J$5-$H$5)*($J$5-$I$5)))</f>
        <v/>
      </c>
      <c r="C827" s="17">
        <f>IF(O827&lt;$K$6,$H$6+SQRT(O827*($J$6-$H$6)*($I$6-$H$6)),$J$6-SQRT((1-O827)*($J$6-$H$6)*($J$6-$I$6)))</f>
        <v/>
      </c>
      <c r="D827" s="17">
        <f>IF(P827&lt;$K$7,$H$7+SQRT(P827*($J$7-$H$7)*($I$7-$H$7)),$J$7-SQRT((1-P827)*($J$7-$H$7)*($J$7-$I$7)))</f>
        <v/>
      </c>
      <c r="E827" s="17">
        <f>SUM(B827:D827)</f>
        <v/>
      </c>
      <c r="N827" s="16">
        <f>RAND()</f>
        <v/>
      </c>
      <c r="O827" s="16">
        <f>RAND()</f>
        <v/>
      </c>
      <c r="P827" s="16">
        <f>RAND()</f>
        <v/>
      </c>
    </row>
    <row r="828">
      <c r="A828" s="13" t="n">
        <v>824</v>
      </c>
      <c r="B828" s="17">
        <f>IF(N828&lt;$K$5,$H$5+SQRT(N828*($J$5-$H$5)*($I$5-$H$5)),$J$5-SQRT((1-N828)*($J$5-$H$5)*($J$5-$I$5)))</f>
        <v/>
      </c>
      <c r="C828" s="17">
        <f>IF(O828&lt;$K$6,$H$6+SQRT(O828*($J$6-$H$6)*($I$6-$H$6)),$J$6-SQRT((1-O828)*($J$6-$H$6)*($J$6-$I$6)))</f>
        <v/>
      </c>
      <c r="D828" s="17">
        <f>IF(P828&lt;$K$7,$H$7+SQRT(P828*($J$7-$H$7)*($I$7-$H$7)),$J$7-SQRT((1-P828)*($J$7-$H$7)*($J$7-$I$7)))</f>
        <v/>
      </c>
      <c r="E828" s="17">
        <f>SUM(B828:D828)</f>
        <v/>
      </c>
      <c r="N828" s="16">
        <f>RAND()</f>
        <v/>
      </c>
      <c r="O828" s="16">
        <f>RAND()</f>
        <v/>
      </c>
      <c r="P828" s="16">
        <f>RAND()</f>
        <v/>
      </c>
    </row>
    <row r="829">
      <c r="A829" s="13" t="n">
        <v>825</v>
      </c>
      <c r="B829" s="17">
        <f>IF(N829&lt;$K$5,$H$5+SQRT(N829*($J$5-$H$5)*($I$5-$H$5)),$J$5-SQRT((1-N829)*($J$5-$H$5)*($J$5-$I$5)))</f>
        <v/>
      </c>
      <c r="C829" s="17">
        <f>IF(O829&lt;$K$6,$H$6+SQRT(O829*($J$6-$H$6)*($I$6-$H$6)),$J$6-SQRT((1-O829)*($J$6-$H$6)*($J$6-$I$6)))</f>
        <v/>
      </c>
      <c r="D829" s="17">
        <f>IF(P829&lt;$K$7,$H$7+SQRT(P829*($J$7-$H$7)*($I$7-$H$7)),$J$7-SQRT((1-P829)*($J$7-$H$7)*($J$7-$I$7)))</f>
        <v/>
      </c>
      <c r="E829" s="17">
        <f>SUM(B829:D829)</f>
        <v/>
      </c>
      <c r="N829" s="16">
        <f>RAND()</f>
        <v/>
      </c>
      <c r="O829" s="16">
        <f>RAND()</f>
        <v/>
      </c>
      <c r="P829" s="16">
        <f>RAND()</f>
        <v/>
      </c>
    </row>
    <row r="830">
      <c r="A830" s="13" t="n">
        <v>826</v>
      </c>
      <c r="B830" s="17">
        <f>IF(N830&lt;$K$5,$H$5+SQRT(N830*($J$5-$H$5)*($I$5-$H$5)),$J$5-SQRT((1-N830)*($J$5-$H$5)*($J$5-$I$5)))</f>
        <v/>
      </c>
      <c r="C830" s="17">
        <f>IF(O830&lt;$K$6,$H$6+SQRT(O830*($J$6-$H$6)*($I$6-$H$6)),$J$6-SQRT((1-O830)*($J$6-$H$6)*($J$6-$I$6)))</f>
        <v/>
      </c>
      <c r="D830" s="17">
        <f>IF(P830&lt;$K$7,$H$7+SQRT(P830*($J$7-$H$7)*($I$7-$H$7)),$J$7-SQRT((1-P830)*($J$7-$H$7)*($J$7-$I$7)))</f>
        <v/>
      </c>
      <c r="E830" s="17">
        <f>SUM(B830:D830)</f>
        <v/>
      </c>
      <c r="N830" s="16">
        <f>RAND()</f>
        <v/>
      </c>
      <c r="O830" s="16">
        <f>RAND()</f>
        <v/>
      </c>
      <c r="P830" s="16">
        <f>RAND()</f>
        <v/>
      </c>
    </row>
    <row r="831">
      <c r="A831" s="13" t="n">
        <v>827</v>
      </c>
      <c r="B831" s="17">
        <f>IF(N831&lt;$K$5,$H$5+SQRT(N831*($J$5-$H$5)*($I$5-$H$5)),$J$5-SQRT((1-N831)*($J$5-$H$5)*($J$5-$I$5)))</f>
        <v/>
      </c>
      <c r="C831" s="17">
        <f>IF(O831&lt;$K$6,$H$6+SQRT(O831*($J$6-$H$6)*($I$6-$H$6)),$J$6-SQRT((1-O831)*($J$6-$H$6)*($J$6-$I$6)))</f>
        <v/>
      </c>
      <c r="D831" s="17">
        <f>IF(P831&lt;$K$7,$H$7+SQRT(P831*($J$7-$H$7)*($I$7-$H$7)),$J$7-SQRT((1-P831)*($J$7-$H$7)*($J$7-$I$7)))</f>
        <v/>
      </c>
      <c r="E831" s="17">
        <f>SUM(B831:D831)</f>
        <v/>
      </c>
      <c r="N831" s="16">
        <f>RAND()</f>
        <v/>
      </c>
      <c r="O831" s="16">
        <f>RAND()</f>
        <v/>
      </c>
      <c r="P831" s="16">
        <f>RAND()</f>
        <v/>
      </c>
    </row>
    <row r="832">
      <c r="A832" s="13" t="n">
        <v>828</v>
      </c>
      <c r="B832" s="17">
        <f>IF(N832&lt;$K$5,$H$5+SQRT(N832*($J$5-$H$5)*($I$5-$H$5)),$J$5-SQRT((1-N832)*($J$5-$H$5)*($J$5-$I$5)))</f>
        <v/>
      </c>
      <c r="C832" s="17">
        <f>IF(O832&lt;$K$6,$H$6+SQRT(O832*($J$6-$H$6)*($I$6-$H$6)),$J$6-SQRT((1-O832)*($J$6-$H$6)*($J$6-$I$6)))</f>
        <v/>
      </c>
      <c r="D832" s="17">
        <f>IF(P832&lt;$K$7,$H$7+SQRT(P832*($J$7-$H$7)*($I$7-$H$7)),$J$7-SQRT((1-P832)*($J$7-$H$7)*($J$7-$I$7)))</f>
        <v/>
      </c>
      <c r="E832" s="17">
        <f>SUM(B832:D832)</f>
        <v/>
      </c>
      <c r="N832" s="16">
        <f>RAND()</f>
        <v/>
      </c>
      <c r="O832" s="16">
        <f>RAND()</f>
        <v/>
      </c>
      <c r="P832" s="16">
        <f>RAND()</f>
        <v/>
      </c>
    </row>
    <row r="833">
      <c r="A833" s="13" t="n">
        <v>829</v>
      </c>
      <c r="B833" s="17">
        <f>IF(N833&lt;$K$5,$H$5+SQRT(N833*($J$5-$H$5)*($I$5-$H$5)),$J$5-SQRT((1-N833)*($J$5-$H$5)*($J$5-$I$5)))</f>
        <v/>
      </c>
      <c r="C833" s="17">
        <f>IF(O833&lt;$K$6,$H$6+SQRT(O833*($J$6-$H$6)*($I$6-$H$6)),$J$6-SQRT((1-O833)*($J$6-$H$6)*($J$6-$I$6)))</f>
        <v/>
      </c>
      <c r="D833" s="17">
        <f>IF(P833&lt;$K$7,$H$7+SQRT(P833*($J$7-$H$7)*($I$7-$H$7)),$J$7-SQRT((1-P833)*($J$7-$H$7)*($J$7-$I$7)))</f>
        <v/>
      </c>
      <c r="E833" s="17">
        <f>SUM(B833:D833)</f>
        <v/>
      </c>
      <c r="N833" s="16">
        <f>RAND()</f>
        <v/>
      </c>
      <c r="O833" s="16">
        <f>RAND()</f>
        <v/>
      </c>
      <c r="P833" s="16">
        <f>RAND()</f>
        <v/>
      </c>
    </row>
    <row r="834">
      <c r="A834" s="13" t="n">
        <v>830</v>
      </c>
      <c r="B834" s="17">
        <f>IF(N834&lt;$K$5,$H$5+SQRT(N834*($J$5-$H$5)*($I$5-$H$5)),$J$5-SQRT((1-N834)*($J$5-$H$5)*($J$5-$I$5)))</f>
        <v/>
      </c>
      <c r="C834" s="17">
        <f>IF(O834&lt;$K$6,$H$6+SQRT(O834*($J$6-$H$6)*($I$6-$H$6)),$J$6-SQRT((1-O834)*($J$6-$H$6)*($J$6-$I$6)))</f>
        <v/>
      </c>
      <c r="D834" s="17">
        <f>IF(P834&lt;$K$7,$H$7+SQRT(P834*($J$7-$H$7)*($I$7-$H$7)),$J$7-SQRT((1-P834)*($J$7-$H$7)*($J$7-$I$7)))</f>
        <v/>
      </c>
      <c r="E834" s="17">
        <f>SUM(B834:D834)</f>
        <v/>
      </c>
      <c r="N834" s="16">
        <f>RAND()</f>
        <v/>
      </c>
      <c r="O834" s="16">
        <f>RAND()</f>
        <v/>
      </c>
      <c r="P834" s="16">
        <f>RAND()</f>
        <v/>
      </c>
    </row>
    <row r="835">
      <c r="A835" s="13" t="n">
        <v>831</v>
      </c>
      <c r="B835" s="17">
        <f>IF(N835&lt;$K$5,$H$5+SQRT(N835*($J$5-$H$5)*($I$5-$H$5)),$J$5-SQRT((1-N835)*($J$5-$H$5)*($J$5-$I$5)))</f>
        <v/>
      </c>
      <c r="C835" s="17">
        <f>IF(O835&lt;$K$6,$H$6+SQRT(O835*($J$6-$H$6)*($I$6-$H$6)),$J$6-SQRT((1-O835)*($J$6-$H$6)*($J$6-$I$6)))</f>
        <v/>
      </c>
      <c r="D835" s="17">
        <f>IF(P835&lt;$K$7,$H$7+SQRT(P835*($J$7-$H$7)*($I$7-$H$7)),$J$7-SQRT((1-P835)*($J$7-$H$7)*($J$7-$I$7)))</f>
        <v/>
      </c>
      <c r="E835" s="17">
        <f>SUM(B835:D835)</f>
        <v/>
      </c>
      <c r="N835" s="16">
        <f>RAND()</f>
        <v/>
      </c>
      <c r="O835" s="16">
        <f>RAND()</f>
        <v/>
      </c>
      <c r="P835" s="16">
        <f>RAND()</f>
        <v/>
      </c>
    </row>
    <row r="836">
      <c r="A836" s="13" t="n">
        <v>832</v>
      </c>
      <c r="B836" s="17">
        <f>IF(N836&lt;$K$5,$H$5+SQRT(N836*($J$5-$H$5)*($I$5-$H$5)),$J$5-SQRT((1-N836)*($J$5-$H$5)*($J$5-$I$5)))</f>
        <v/>
      </c>
      <c r="C836" s="17">
        <f>IF(O836&lt;$K$6,$H$6+SQRT(O836*($J$6-$H$6)*($I$6-$H$6)),$J$6-SQRT((1-O836)*($J$6-$H$6)*($J$6-$I$6)))</f>
        <v/>
      </c>
      <c r="D836" s="17">
        <f>IF(P836&lt;$K$7,$H$7+SQRT(P836*($J$7-$H$7)*($I$7-$H$7)),$J$7-SQRT((1-P836)*($J$7-$H$7)*($J$7-$I$7)))</f>
        <v/>
      </c>
      <c r="E836" s="17">
        <f>SUM(B836:D836)</f>
        <v/>
      </c>
      <c r="N836" s="16">
        <f>RAND()</f>
        <v/>
      </c>
      <c r="O836" s="16">
        <f>RAND()</f>
        <v/>
      </c>
      <c r="P836" s="16">
        <f>RAND()</f>
        <v/>
      </c>
    </row>
    <row r="837">
      <c r="A837" s="13" t="n">
        <v>833</v>
      </c>
      <c r="B837" s="17">
        <f>IF(N837&lt;$K$5,$H$5+SQRT(N837*($J$5-$H$5)*($I$5-$H$5)),$J$5-SQRT((1-N837)*($J$5-$H$5)*($J$5-$I$5)))</f>
        <v/>
      </c>
      <c r="C837" s="17">
        <f>IF(O837&lt;$K$6,$H$6+SQRT(O837*($J$6-$H$6)*($I$6-$H$6)),$J$6-SQRT((1-O837)*($J$6-$H$6)*($J$6-$I$6)))</f>
        <v/>
      </c>
      <c r="D837" s="17">
        <f>IF(P837&lt;$K$7,$H$7+SQRT(P837*($J$7-$H$7)*($I$7-$H$7)),$J$7-SQRT((1-P837)*($J$7-$H$7)*($J$7-$I$7)))</f>
        <v/>
      </c>
      <c r="E837" s="17">
        <f>SUM(B837:D837)</f>
        <v/>
      </c>
      <c r="N837" s="16">
        <f>RAND()</f>
        <v/>
      </c>
      <c r="O837" s="16">
        <f>RAND()</f>
        <v/>
      </c>
      <c r="P837" s="16">
        <f>RAND()</f>
        <v/>
      </c>
    </row>
    <row r="838">
      <c r="A838" s="13" t="n">
        <v>834</v>
      </c>
      <c r="B838" s="17">
        <f>IF(N838&lt;$K$5,$H$5+SQRT(N838*($J$5-$H$5)*($I$5-$H$5)),$J$5-SQRT((1-N838)*($J$5-$H$5)*($J$5-$I$5)))</f>
        <v/>
      </c>
      <c r="C838" s="17">
        <f>IF(O838&lt;$K$6,$H$6+SQRT(O838*($J$6-$H$6)*($I$6-$H$6)),$J$6-SQRT((1-O838)*($J$6-$H$6)*($J$6-$I$6)))</f>
        <v/>
      </c>
      <c r="D838" s="17">
        <f>IF(P838&lt;$K$7,$H$7+SQRT(P838*($J$7-$H$7)*($I$7-$H$7)),$J$7-SQRT((1-P838)*($J$7-$H$7)*($J$7-$I$7)))</f>
        <v/>
      </c>
      <c r="E838" s="17">
        <f>SUM(B838:D838)</f>
        <v/>
      </c>
      <c r="N838" s="16">
        <f>RAND()</f>
        <v/>
      </c>
      <c r="O838" s="16">
        <f>RAND()</f>
        <v/>
      </c>
      <c r="P838" s="16">
        <f>RAND()</f>
        <v/>
      </c>
    </row>
    <row r="839">
      <c r="A839" s="13" t="n">
        <v>835</v>
      </c>
      <c r="B839" s="17">
        <f>IF(N839&lt;$K$5,$H$5+SQRT(N839*($J$5-$H$5)*($I$5-$H$5)),$J$5-SQRT((1-N839)*($J$5-$H$5)*($J$5-$I$5)))</f>
        <v/>
      </c>
      <c r="C839" s="17">
        <f>IF(O839&lt;$K$6,$H$6+SQRT(O839*($J$6-$H$6)*($I$6-$H$6)),$J$6-SQRT((1-O839)*($J$6-$H$6)*($J$6-$I$6)))</f>
        <v/>
      </c>
      <c r="D839" s="17">
        <f>IF(P839&lt;$K$7,$H$7+SQRT(P839*($J$7-$H$7)*($I$7-$H$7)),$J$7-SQRT((1-P839)*($J$7-$H$7)*($J$7-$I$7)))</f>
        <v/>
      </c>
      <c r="E839" s="17">
        <f>SUM(B839:D839)</f>
        <v/>
      </c>
      <c r="N839" s="16">
        <f>RAND()</f>
        <v/>
      </c>
      <c r="O839" s="16">
        <f>RAND()</f>
        <v/>
      </c>
      <c r="P839" s="16">
        <f>RAND()</f>
        <v/>
      </c>
    </row>
    <row r="840">
      <c r="A840" s="13" t="n">
        <v>836</v>
      </c>
      <c r="B840" s="17">
        <f>IF(N840&lt;$K$5,$H$5+SQRT(N840*($J$5-$H$5)*($I$5-$H$5)),$J$5-SQRT((1-N840)*($J$5-$H$5)*($J$5-$I$5)))</f>
        <v/>
      </c>
      <c r="C840" s="17">
        <f>IF(O840&lt;$K$6,$H$6+SQRT(O840*($J$6-$H$6)*($I$6-$H$6)),$J$6-SQRT((1-O840)*($J$6-$H$6)*($J$6-$I$6)))</f>
        <v/>
      </c>
      <c r="D840" s="17">
        <f>IF(P840&lt;$K$7,$H$7+SQRT(P840*($J$7-$H$7)*($I$7-$H$7)),$J$7-SQRT((1-P840)*($J$7-$H$7)*($J$7-$I$7)))</f>
        <v/>
      </c>
      <c r="E840" s="17">
        <f>SUM(B840:D840)</f>
        <v/>
      </c>
      <c r="N840" s="16">
        <f>RAND()</f>
        <v/>
      </c>
      <c r="O840" s="16">
        <f>RAND()</f>
        <v/>
      </c>
      <c r="P840" s="16">
        <f>RAND()</f>
        <v/>
      </c>
    </row>
    <row r="841">
      <c r="A841" s="13" t="n">
        <v>837</v>
      </c>
      <c r="B841" s="17">
        <f>IF(N841&lt;$K$5,$H$5+SQRT(N841*($J$5-$H$5)*($I$5-$H$5)),$J$5-SQRT((1-N841)*($J$5-$H$5)*($J$5-$I$5)))</f>
        <v/>
      </c>
      <c r="C841" s="17">
        <f>IF(O841&lt;$K$6,$H$6+SQRT(O841*($J$6-$H$6)*($I$6-$H$6)),$J$6-SQRT((1-O841)*($J$6-$H$6)*($J$6-$I$6)))</f>
        <v/>
      </c>
      <c r="D841" s="17">
        <f>IF(P841&lt;$K$7,$H$7+SQRT(P841*($J$7-$H$7)*($I$7-$H$7)),$J$7-SQRT((1-P841)*($J$7-$H$7)*($J$7-$I$7)))</f>
        <v/>
      </c>
      <c r="E841" s="17">
        <f>SUM(B841:D841)</f>
        <v/>
      </c>
      <c r="N841" s="16">
        <f>RAND()</f>
        <v/>
      </c>
      <c r="O841" s="16">
        <f>RAND()</f>
        <v/>
      </c>
      <c r="P841" s="16">
        <f>RAND()</f>
        <v/>
      </c>
    </row>
    <row r="842">
      <c r="A842" s="13" t="n">
        <v>838</v>
      </c>
      <c r="B842" s="17">
        <f>IF(N842&lt;$K$5,$H$5+SQRT(N842*($J$5-$H$5)*($I$5-$H$5)),$J$5-SQRT((1-N842)*($J$5-$H$5)*($J$5-$I$5)))</f>
        <v/>
      </c>
      <c r="C842" s="17">
        <f>IF(O842&lt;$K$6,$H$6+SQRT(O842*($J$6-$H$6)*($I$6-$H$6)),$J$6-SQRT((1-O842)*($J$6-$H$6)*($J$6-$I$6)))</f>
        <v/>
      </c>
      <c r="D842" s="17">
        <f>IF(P842&lt;$K$7,$H$7+SQRT(P842*($J$7-$H$7)*($I$7-$H$7)),$J$7-SQRT((1-P842)*($J$7-$H$7)*($J$7-$I$7)))</f>
        <v/>
      </c>
      <c r="E842" s="17">
        <f>SUM(B842:D842)</f>
        <v/>
      </c>
      <c r="N842" s="16">
        <f>RAND()</f>
        <v/>
      </c>
      <c r="O842" s="16">
        <f>RAND()</f>
        <v/>
      </c>
      <c r="P842" s="16">
        <f>RAND()</f>
        <v/>
      </c>
    </row>
    <row r="843">
      <c r="A843" s="13" t="n">
        <v>839</v>
      </c>
      <c r="B843" s="17">
        <f>IF(N843&lt;$K$5,$H$5+SQRT(N843*($J$5-$H$5)*($I$5-$H$5)),$J$5-SQRT((1-N843)*($J$5-$H$5)*($J$5-$I$5)))</f>
        <v/>
      </c>
      <c r="C843" s="17">
        <f>IF(O843&lt;$K$6,$H$6+SQRT(O843*($J$6-$H$6)*($I$6-$H$6)),$J$6-SQRT((1-O843)*($J$6-$H$6)*($J$6-$I$6)))</f>
        <v/>
      </c>
      <c r="D843" s="17">
        <f>IF(P843&lt;$K$7,$H$7+SQRT(P843*($J$7-$H$7)*($I$7-$H$7)),$J$7-SQRT((1-P843)*($J$7-$H$7)*($J$7-$I$7)))</f>
        <v/>
      </c>
      <c r="E843" s="17">
        <f>SUM(B843:D843)</f>
        <v/>
      </c>
      <c r="N843" s="16">
        <f>RAND()</f>
        <v/>
      </c>
      <c r="O843" s="16">
        <f>RAND()</f>
        <v/>
      </c>
      <c r="P843" s="16">
        <f>RAND()</f>
        <v/>
      </c>
    </row>
    <row r="844">
      <c r="A844" s="13" t="n">
        <v>840</v>
      </c>
      <c r="B844" s="17">
        <f>IF(N844&lt;$K$5,$H$5+SQRT(N844*($J$5-$H$5)*($I$5-$H$5)),$J$5-SQRT((1-N844)*($J$5-$H$5)*($J$5-$I$5)))</f>
        <v/>
      </c>
      <c r="C844" s="17">
        <f>IF(O844&lt;$K$6,$H$6+SQRT(O844*($J$6-$H$6)*($I$6-$H$6)),$J$6-SQRT((1-O844)*($J$6-$H$6)*($J$6-$I$6)))</f>
        <v/>
      </c>
      <c r="D844" s="17">
        <f>IF(P844&lt;$K$7,$H$7+SQRT(P844*($J$7-$H$7)*($I$7-$H$7)),$J$7-SQRT((1-P844)*($J$7-$H$7)*($J$7-$I$7)))</f>
        <v/>
      </c>
      <c r="E844" s="17">
        <f>SUM(B844:D844)</f>
        <v/>
      </c>
      <c r="N844" s="16">
        <f>RAND()</f>
        <v/>
      </c>
      <c r="O844" s="16">
        <f>RAND()</f>
        <v/>
      </c>
      <c r="P844" s="16">
        <f>RAND()</f>
        <v/>
      </c>
    </row>
    <row r="845">
      <c r="A845" s="13" t="n">
        <v>841</v>
      </c>
      <c r="B845" s="17">
        <f>IF(N845&lt;$K$5,$H$5+SQRT(N845*($J$5-$H$5)*($I$5-$H$5)),$J$5-SQRT((1-N845)*($J$5-$H$5)*($J$5-$I$5)))</f>
        <v/>
      </c>
      <c r="C845" s="17">
        <f>IF(O845&lt;$K$6,$H$6+SQRT(O845*($J$6-$H$6)*($I$6-$H$6)),$J$6-SQRT((1-O845)*($J$6-$H$6)*($J$6-$I$6)))</f>
        <v/>
      </c>
      <c r="D845" s="17">
        <f>IF(P845&lt;$K$7,$H$7+SQRT(P845*($J$7-$H$7)*($I$7-$H$7)),$J$7-SQRT((1-P845)*($J$7-$H$7)*($J$7-$I$7)))</f>
        <v/>
      </c>
      <c r="E845" s="17">
        <f>SUM(B845:D845)</f>
        <v/>
      </c>
      <c r="N845" s="16">
        <f>RAND()</f>
        <v/>
      </c>
      <c r="O845" s="16">
        <f>RAND()</f>
        <v/>
      </c>
      <c r="P845" s="16">
        <f>RAND()</f>
        <v/>
      </c>
    </row>
    <row r="846">
      <c r="A846" s="13" t="n">
        <v>842</v>
      </c>
      <c r="B846" s="17">
        <f>IF(N846&lt;$K$5,$H$5+SQRT(N846*($J$5-$H$5)*($I$5-$H$5)),$J$5-SQRT((1-N846)*($J$5-$H$5)*($J$5-$I$5)))</f>
        <v/>
      </c>
      <c r="C846" s="17">
        <f>IF(O846&lt;$K$6,$H$6+SQRT(O846*($J$6-$H$6)*($I$6-$H$6)),$J$6-SQRT((1-O846)*($J$6-$H$6)*($J$6-$I$6)))</f>
        <v/>
      </c>
      <c r="D846" s="17">
        <f>IF(P846&lt;$K$7,$H$7+SQRT(P846*($J$7-$H$7)*($I$7-$H$7)),$J$7-SQRT((1-P846)*($J$7-$H$7)*($J$7-$I$7)))</f>
        <v/>
      </c>
      <c r="E846" s="17">
        <f>SUM(B846:D846)</f>
        <v/>
      </c>
      <c r="N846" s="16">
        <f>RAND()</f>
        <v/>
      </c>
      <c r="O846" s="16">
        <f>RAND()</f>
        <v/>
      </c>
      <c r="P846" s="16">
        <f>RAND()</f>
        <v/>
      </c>
    </row>
    <row r="847">
      <c r="A847" s="13" t="n">
        <v>843</v>
      </c>
      <c r="B847" s="17">
        <f>IF(N847&lt;$K$5,$H$5+SQRT(N847*($J$5-$H$5)*($I$5-$H$5)),$J$5-SQRT((1-N847)*($J$5-$H$5)*($J$5-$I$5)))</f>
        <v/>
      </c>
      <c r="C847" s="17">
        <f>IF(O847&lt;$K$6,$H$6+SQRT(O847*($J$6-$H$6)*($I$6-$H$6)),$J$6-SQRT((1-O847)*($J$6-$H$6)*($J$6-$I$6)))</f>
        <v/>
      </c>
      <c r="D847" s="17">
        <f>IF(P847&lt;$K$7,$H$7+SQRT(P847*($J$7-$H$7)*($I$7-$H$7)),$J$7-SQRT((1-P847)*($J$7-$H$7)*($J$7-$I$7)))</f>
        <v/>
      </c>
      <c r="E847" s="17">
        <f>SUM(B847:D847)</f>
        <v/>
      </c>
      <c r="N847" s="16">
        <f>RAND()</f>
        <v/>
      </c>
      <c r="O847" s="16">
        <f>RAND()</f>
        <v/>
      </c>
      <c r="P847" s="16">
        <f>RAND()</f>
        <v/>
      </c>
    </row>
    <row r="848">
      <c r="A848" s="13" t="n">
        <v>844</v>
      </c>
      <c r="B848" s="17">
        <f>IF(N848&lt;$K$5,$H$5+SQRT(N848*($J$5-$H$5)*($I$5-$H$5)),$J$5-SQRT((1-N848)*($J$5-$H$5)*($J$5-$I$5)))</f>
        <v/>
      </c>
      <c r="C848" s="17">
        <f>IF(O848&lt;$K$6,$H$6+SQRT(O848*($J$6-$H$6)*($I$6-$H$6)),$J$6-SQRT((1-O848)*($J$6-$H$6)*($J$6-$I$6)))</f>
        <v/>
      </c>
      <c r="D848" s="17">
        <f>IF(P848&lt;$K$7,$H$7+SQRT(P848*($J$7-$H$7)*($I$7-$H$7)),$J$7-SQRT((1-P848)*($J$7-$H$7)*($J$7-$I$7)))</f>
        <v/>
      </c>
      <c r="E848" s="17">
        <f>SUM(B848:D848)</f>
        <v/>
      </c>
      <c r="N848" s="16">
        <f>RAND()</f>
        <v/>
      </c>
      <c r="O848" s="16">
        <f>RAND()</f>
        <v/>
      </c>
      <c r="P848" s="16">
        <f>RAND()</f>
        <v/>
      </c>
    </row>
    <row r="849">
      <c r="A849" s="13" t="n">
        <v>845</v>
      </c>
      <c r="B849" s="17">
        <f>IF(N849&lt;$K$5,$H$5+SQRT(N849*($J$5-$H$5)*($I$5-$H$5)),$J$5-SQRT((1-N849)*($J$5-$H$5)*($J$5-$I$5)))</f>
        <v/>
      </c>
      <c r="C849" s="17">
        <f>IF(O849&lt;$K$6,$H$6+SQRT(O849*($J$6-$H$6)*($I$6-$H$6)),$J$6-SQRT((1-O849)*($J$6-$H$6)*($J$6-$I$6)))</f>
        <v/>
      </c>
      <c r="D849" s="17">
        <f>IF(P849&lt;$K$7,$H$7+SQRT(P849*($J$7-$H$7)*($I$7-$H$7)),$J$7-SQRT((1-P849)*($J$7-$H$7)*($J$7-$I$7)))</f>
        <v/>
      </c>
      <c r="E849" s="17">
        <f>SUM(B849:D849)</f>
        <v/>
      </c>
      <c r="N849" s="16">
        <f>RAND()</f>
        <v/>
      </c>
      <c r="O849" s="16">
        <f>RAND()</f>
        <v/>
      </c>
      <c r="P849" s="16">
        <f>RAND()</f>
        <v/>
      </c>
    </row>
    <row r="850">
      <c r="A850" s="13" t="n">
        <v>846</v>
      </c>
      <c r="B850" s="17">
        <f>IF(N850&lt;$K$5,$H$5+SQRT(N850*($J$5-$H$5)*($I$5-$H$5)),$J$5-SQRT((1-N850)*($J$5-$H$5)*($J$5-$I$5)))</f>
        <v/>
      </c>
      <c r="C850" s="17">
        <f>IF(O850&lt;$K$6,$H$6+SQRT(O850*($J$6-$H$6)*($I$6-$H$6)),$J$6-SQRT((1-O850)*($J$6-$H$6)*($J$6-$I$6)))</f>
        <v/>
      </c>
      <c r="D850" s="17">
        <f>IF(P850&lt;$K$7,$H$7+SQRT(P850*($J$7-$H$7)*($I$7-$H$7)),$J$7-SQRT((1-P850)*($J$7-$H$7)*($J$7-$I$7)))</f>
        <v/>
      </c>
      <c r="E850" s="17">
        <f>SUM(B850:D850)</f>
        <v/>
      </c>
      <c r="N850" s="16">
        <f>RAND()</f>
        <v/>
      </c>
      <c r="O850" s="16">
        <f>RAND()</f>
        <v/>
      </c>
      <c r="P850" s="16">
        <f>RAND()</f>
        <v/>
      </c>
    </row>
    <row r="851">
      <c r="A851" s="13" t="n">
        <v>847</v>
      </c>
      <c r="B851" s="17">
        <f>IF(N851&lt;$K$5,$H$5+SQRT(N851*($J$5-$H$5)*($I$5-$H$5)),$J$5-SQRT((1-N851)*($J$5-$H$5)*($J$5-$I$5)))</f>
        <v/>
      </c>
      <c r="C851" s="17">
        <f>IF(O851&lt;$K$6,$H$6+SQRT(O851*($J$6-$H$6)*($I$6-$H$6)),$J$6-SQRT((1-O851)*($J$6-$H$6)*($J$6-$I$6)))</f>
        <v/>
      </c>
      <c r="D851" s="17">
        <f>IF(P851&lt;$K$7,$H$7+SQRT(P851*($J$7-$H$7)*($I$7-$H$7)),$J$7-SQRT((1-P851)*($J$7-$H$7)*($J$7-$I$7)))</f>
        <v/>
      </c>
      <c r="E851" s="17">
        <f>SUM(B851:D851)</f>
        <v/>
      </c>
      <c r="N851" s="16">
        <f>RAND()</f>
        <v/>
      </c>
      <c r="O851" s="16">
        <f>RAND()</f>
        <v/>
      </c>
      <c r="P851" s="16">
        <f>RAND()</f>
        <v/>
      </c>
    </row>
    <row r="852">
      <c r="A852" s="13" t="n">
        <v>848</v>
      </c>
      <c r="B852" s="17">
        <f>IF(N852&lt;$K$5,$H$5+SQRT(N852*($J$5-$H$5)*($I$5-$H$5)),$J$5-SQRT((1-N852)*($J$5-$H$5)*($J$5-$I$5)))</f>
        <v/>
      </c>
      <c r="C852" s="17">
        <f>IF(O852&lt;$K$6,$H$6+SQRT(O852*($J$6-$H$6)*($I$6-$H$6)),$J$6-SQRT((1-O852)*($J$6-$H$6)*($J$6-$I$6)))</f>
        <v/>
      </c>
      <c r="D852" s="17">
        <f>IF(P852&lt;$K$7,$H$7+SQRT(P852*($J$7-$H$7)*($I$7-$H$7)),$J$7-SQRT((1-P852)*($J$7-$H$7)*($J$7-$I$7)))</f>
        <v/>
      </c>
      <c r="E852" s="17">
        <f>SUM(B852:D852)</f>
        <v/>
      </c>
      <c r="N852" s="16">
        <f>RAND()</f>
        <v/>
      </c>
      <c r="O852" s="16">
        <f>RAND()</f>
        <v/>
      </c>
      <c r="P852" s="16">
        <f>RAND()</f>
        <v/>
      </c>
    </row>
    <row r="853">
      <c r="A853" s="13" t="n">
        <v>849</v>
      </c>
      <c r="B853" s="17">
        <f>IF(N853&lt;$K$5,$H$5+SQRT(N853*($J$5-$H$5)*($I$5-$H$5)),$J$5-SQRT((1-N853)*($J$5-$H$5)*($J$5-$I$5)))</f>
        <v/>
      </c>
      <c r="C853" s="17">
        <f>IF(O853&lt;$K$6,$H$6+SQRT(O853*($J$6-$H$6)*($I$6-$H$6)),$J$6-SQRT((1-O853)*($J$6-$H$6)*($J$6-$I$6)))</f>
        <v/>
      </c>
      <c r="D853" s="17">
        <f>IF(P853&lt;$K$7,$H$7+SQRT(P853*($J$7-$H$7)*($I$7-$H$7)),$J$7-SQRT((1-P853)*($J$7-$H$7)*($J$7-$I$7)))</f>
        <v/>
      </c>
      <c r="E853" s="17">
        <f>SUM(B853:D853)</f>
        <v/>
      </c>
      <c r="N853" s="16">
        <f>RAND()</f>
        <v/>
      </c>
      <c r="O853" s="16">
        <f>RAND()</f>
        <v/>
      </c>
      <c r="P853" s="16">
        <f>RAND()</f>
        <v/>
      </c>
    </row>
    <row r="854">
      <c r="A854" s="13" t="n">
        <v>850</v>
      </c>
      <c r="B854" s="17">
        <f>IF(N854&lt;$K$5,$H$5+SQRT(N854*($J$5-$H$5)*($I$5-$H$5)),$J$5-SQRT((1-N854)*($J$5-$H$5)*($J$5-$I$5)))</f>
        <v/>
      </c>
      <c r="C854" s="17">
        <f>IF(O854&lt;$K$6,$H$6+SQRT(O854*($J$6-$H$6)*($I$6-$H$6)),$J$6-SQRT((1-O854)*($J$6-$H$6)*($J$6-$I$6)))</f>
        <v/>
      </c>
      <c r="D854" s="17">
        <f>IF(P854&lt;$K$7,$H$7+SQRT(P854*($J$7-$H$7)*($I$7-$H$7)),$J$7-SQRT((1-P854)*($J$7-$H$7)*($J$7-$I$7)))</f>
        <v/>
      </c>
      <c r="E854" s="17">
        <f>SUM(B854:D854)</f>
        <v/>
      </c>
      <c r="N854" s="16">
        <f>RAND()</f>
        <v/>
      </c>
      <c r="O854" s="16">
        <f>RAND()</f>
        <v/>
      </c>
      <c r="P854" s="16">
        <f>RAND()</f>
        <v/>
      </c>
    </row>
    <row r="855">
      <c r="A855" s="13" t="n">
        <v>851</v>
      </c>
      <c r="B855" s="17">
        <f>IF(N855&lt;$K$5,$H$5+SQRT(N855*($J$5-$H$5)*($I$5-$H$5)),$J$5-SQRT((1-N855)*($J$5-$H$5)*($J$5-$I$5)))</f>
        <v/>
      </c>
      <c r="C855" s="17">
        <f>IF(O855&lt;$K$6,$H$6+SQRT(O855*($J$6-$H$6)*($I$6-$H$6)),$J$6-SQRT((1-O855)*($J$6-$H$6)*($J$6-$I$6)))</f>
        <v/>
      </c>
      <c r="D855" s="17">
        <f>IF(P855&lt;$K$7,$H$7+SQRT(P855*($J$7-$H$7)*($I$7-$H$7)),$J$7-SQRT((1-P855)*($J$7-$H$7)*($J$7-$I$7)))</f>
        <v/>
      </c>
      <c r="E855" s="17">
        <f>SUM(B855:D855)</f>
        <v/>
      </c>
      <c r="N855" s="16">
        <f>RAND()</f>
        <v/>
      </c>
      <c r="O855" s="16">
        <f>RAND()</f>
        <v/>
      </c>
      <c r="P855" s="16">
        <f>RAND()</f>
        <v/>
      </c>
    </row>
    <row r="856">
      <c r="A856" s="13" t="n">
        <v>852</v>
      </c>
      <c r="B856" s="17">
        <f>IF(N856&lt;$K$5,$H$5+SQRT(N856*($J$5-$H$5)*($I$5-$H$5)),$J$5-SQRT((1-N856)*($J$5-$H$5)*($J$5-$I$5)))</f>
        <v/>
      </c>
      <c r="C856" s="17">
        <f>IF(O856&lt;$K$6,$H$6+SQRT(O856*($J$6-$H$6)*($I$6-$H$6)),$J$6-SQRT((1-O856)*($J$6-$H$6)*($J$6-$I$6)))</f>
        <v/>
      </c>
      <c r="D856" s="17">
        <f>IF(P856&lt;$K$7,$H$7+SQRT(P856*($J$7-$H$7)*($I$7-$H$7)),$J$7-SQRT((1-P856)*($J$7-$H$7)*($J$7-$I$7)))</f>
        <v/>
      </c>
      <c r="E856" s="17">
        <f>SUM(B856:D856)</f>
        <v/>
      </c>
      <c r="N856" s="16">
        <f>RAND()</f>
        <v/>
      </c>
      <c r="O856" s="16">
        <f>RAND()</f>
        <v/>
      </c>
      <c r="P856" s="16">
        <f>RAND()</f>
        <v/>
      </c>
    </row>
    <row r="857">
      <c r="A857" s="13" t="n">
        <v>853</v>
      </c>
      <c r="B857" s="17">
        <f>IF(N857&lt;$K$5,$H$5+SQRT(N857*($J$5-$H$5)*($I$5-$H$5)),$J$5-SQRT((1-N857)*($J$5-$H$5)*($J$5-$I$5)))</f>
        <v/>
      </c>
      <c r="C857" s="17">
        <f>IF(O857&lt;$K$6,$H$6+SQRT(O857*($J$6-$H$6)*($I$6-$H$6)),$J$6-SQRT((1-O857)*($J$6-$H$6)*($J$6-$I$6)))</f>
        <v/>
      </c>
      <c r="D857" s="17">
        <f>IF(P857&lt;$K$7,$H$7+SQRT(P857*($J$7-$H$7)*($I$7-$H$7)),$J$7-SQRT((1-P857)*($J$7-$H$7)*($J$7-$I$7)))</f>
        <v/>
      </c>
      <c r="E857" s="17">
        <f>SUM(B857:D857)</f>
        <v/>
      </c>
      <c r="N857" s="16">
        <f>RAND()</f>
        <v/>
      </c>
      <c r="O857" s="16">
        <f>RAND()</f>
        <v/>
      </c>
      <c r="P857" s="16">
        <f>RAND()</f>
        <v/>
      </c>
    </row>
    <row r="858">
      <c r="A858" s="13" t="n">
        <v>854</v>
      </c>
      <c r="B858" s="17">
        <f>IF(N858&lt;$K$5,$H$5+SQRT(N858*($J$5-$H$5)*($I$5-$H$5)),$J$5-SQRT((1-N858)*($J$5-$H$5)*($J$5-$I$5)))</f>
        <v/>
      </c>
      <c r="C858" s="17">
        <f>IF(O858&lt;$K$6,$H$6+SQRT(O858*($J$6-$H$6)*($I$6-$H$6)),$J$6-SQRT((1-O858)*($J$6-$H$6)*($J$6-$I$6)))</f>
        <v/>
      </c>
      <c r="D858" s="17">
        <f>IF(P858&lt;$K$7,$H$7+SQRT(P858*($J$7-$H$7)*($I$7-$H$7)),$J$7-SQRT((1-P858)*($J$7-$H$7)*($J$7-$I$7)))</f>
        <v/>
      </c>
      <c r="E858" s="17">
        <f>SUM(B858:D858)</f>
        <v/>
      </c>
      <c r="N858" s="16">
        <f>RAND()</f>
        <v/>
      </c>
      <c r="O858" s="16">
        <f>RAND()</f>
        <v/>
      </c>
      <c r="P858" s="16">
        <f>RAND()</f>
        <v/>
      </c>
    </row>
    <row r="859">
      <c r="A859" s="13" t="n">
        <v>855</v>
      </c>
      <c r="B859" s="17">
        <f>IF(N859&lt;$K$5,$H$5+SQRT(N859*($J$5-$H$5)*($I$5-$H$5)),$J$5-SQRT((1-N859)*($J$5-$H$5)*($J$5-$I$5)))</f>
        <v/>
      </c>
      <c r="C859" s="17">
        <f>IF(O859&lt;$K$6,$H$6+SQRT(O859*($J$6-$H$6)*($I$6-$H$6)),$J$6-SQRT((1-O859)*($J$6-$H$6)*($J$6-$I$6)))</f>
        <v/>
      </c>
      <c r="D859" s="17">
        <f>IF(P859&lt;$K$7,$H$7+SQRT(P859*($J$7-$H$7)*($I$7-$H$7)),$J$7-SQRT((1-P859)*($J$7-$H$7)*($J$7-$I$7)))</f>
        <v/>
      </c>
      <c r="E859" s="17">
        <f>SUM(B859:D859)</f>
        <v/>
      </c>
      <c r="N859" s="16">
        <f>RAND()</f>
        <v/>
      </c>
      <c r="O859" s="16">
        <f>RAND()</f>
        <v/>
      </c>
      <c r="P859" s="16">
        <f>RAND()</f>
        <v/>
      </c>
    </row>
    <row r="860">
      <c r="A860" s="13" t="n">
        <v>856</v>
      </c>
      <c r="B860" s="17">
        <f>IF(N860&lt;$K$5,$H$5+SQRT(N860*($J$5-$H$5)*($I$5-$H$5)),$J$5-SQRT((1-N860)*($J$5-$H$5)*($J$5-$I$5)))</f>
        <v/>
      </c>
      <c r="C860" s="17">
        <f>IF(O860&lt;$K$6,$H$6+SQRT(O860*($J$6-$H$6)*($I$6-$H$6)),$J$6-SQRT((1-O860)*($J$6-$H$6)*($J$6-$I$6)))</f>
        <v/>
      </c>
      <c r="D860" s="17">
        <f>IF(P860&lt;$K$7,$H$7+SQRT(P860*($J$7-$H$7)*($I$7-$H$7)),$J$7-SQRT((1-P860)*($J$7-$H$7)*($J$7-$I$7)))</f>
        <v/>
      </c>
      <c r="E860" s="17">
        <f>SUM(B860:D860)</f>
        <v/>
      </c>
      <c r="N860" s="16">
        <f>RAND()</f>
        <v/>
      </c>
      <c r="O860" s="16">
        <f>RAND()</f>
        <v/>
      </c>
      <c r="P860" s="16">
        <f>RAND()</f>
        <v/>
      </c>
    </row>
    <row r="861">
      <c r="A861" s="13" t="n">
        <v>857</v>
      </c>
      <c r="B861" s="17">
        <f>IF(N861&lt;$K$5,$H$5+SQRT(N861*($J$5-$H$5)*($I$5-$H$5)),$J$5-SQRT((1-N861)*($J$5-$H$5)*($J$5-$I$5)))</f>
        <v/>
      </c>
      <c r="C861" s="17">
        <f>IF(O861&lt;$K$6,$H$6+SQRT(O861*($J$6-$H$6)*($I$6-$H$6)),$J$6-SQRT((1-O861)*($J$6-$H$6)*($J$6-$I$6)))</f>
        <v/>
      </c>
      <c r="D861" s="17">
        <f>IF(P861&lt;$K$7,$H$7+SQRT(P861*($J$7-$H$7)*($I$7-$H$7)),$J$7-SQRT((1-P861)*($J$7-$H$7)*($J$7-$I$7)))</f>
        <v/>
      </c>
      <c r="E861" s="17">
        <f>SUM(B861:D861)</f>
        <v/>
      </c>
      <c r="N861" s="16">
        <f>RAND()</f>
        <v/>
      </c>
      <c r="O861" s="16">
        <f>RAND()</f>
        <v/>
      </c>
      <c r="P861" s="16">
        <f>RAND()</f>
        <v/>
      </c>
    </row>
    <row r="862">
      <c r="A862" s="13" t="n">
        <v>858</v>
      </c>
      <c r="B862" s="17">
        <f>IF(N862&lt;$K$5,$H$5+SQRT(N862*($J$5-$H$5)*($I$5-$H$5)),$J$5-SQRT((1-N862)*($J$5-$H$5)*($J$5-$I$5)))</f>
        <v/>
      </c>
      <c r="C862" s="17">
        <f>IF(O862&lt;$K$6,$H$6+SQRT(O862*($J$6-$H$6)*($I$6-$H$6)),$J$6-SQRT((1-O862)*($J$6-$H$6)*($J$6-$I$6)))</f>
        <v/>
      </c>
      <c r="D862" s="17">
        <f>IF(P862&lt;$K$7,$H$7+SQRT(P862*($J$7-$H$7)*($I$7-$H$7)),$J$7-SQRT((1-P862)*($J$7-$H$7)*($J$7-$I$7)))</f>
        <v/>
      </c>
      <c r="E862" s="17">
        <f>SUM(B862:D862)</f>
        <v/>
      </c>
      <c r="N862" s="16">
        <f>RAND()</f>
        <v/>
      </c>
      <c r="O862" s="16">
        <f>RAND()</f>
        <v/>
      </c>
      <c r="P862" s="16">
        <f>RAND()</f>
        <v/>
      </c>
    </row>
    <row r="863">
      <c r="A863" s="13" t="n">
        <v>859</v>
      </c>
      <c r="B863" s="17">
        <f>IF(N863&lt;$K$5,$H$5+SQRT(N863*($J$5-$H$5)*($I$5-$H$5)),$J$5-SQRT((1-N863)*($J$5-$H$5)*($J$5-$I$5)))</f>
        <v/>
      </c>
      <c r="C863" s="17">
        <f>IF(O863&lt;$K$6,$H$6+SQRT(O863*($J$6-$H$6)*($I$6-$H$6)),$J$6-SQRT((1-O863)*($J$6-$H$6)*($J$6-$I$6)))</f>
        <v/>
      </c>
      <c r="D863" s="17">
        <f>IF(P863&lt;$K$7,$H$7+SQRT(P863*($J$7-$H$7)*($I$7-$H$7)),$J$7-SQRT((1-P863)*($J$7-$H$7)*($J$7-$I$7)))</f>
        <v/>
      </c>
      <c r="E863" s="17">
        <f>SUM(B863:D863)</f>
        <v/>
      </c>
      <c r="N863" s="16">
        <f>RAND()</f>
        <v/>
      </c>
      <c r="O863" s="16">
        <f>RAND()</f>
        <v/>
      </c>
      <c r="P863" s="16">
        <f>RAND()</f>
        <v/>
      </c>
    </row>
    <row r="864">
      <c r="A864" s="13" t="n">
        <v>860</v>
      </c>
      <c r="B864" s="17">
        <f>IF(N864&lt;$K$5,$H$5+SQRT(N864*($J$5-$H$5)*($I$5-$H$5)),$J$5-SQRT((1-N864)*($J$5-$H$5)*($J$5-$I$5)))</f>
        <v/>
      </c>
      <c r="C864" s="17">
        <f>IF(O864&lt;$K$6,$H$6+SQRT(O864*($J$6-$H$6)*($I$6-$H$6)),$J$6-SQRT((1-O864)*($J$6-$H$6)*($J$6-$I$6)))</f>
        <v/>
      </c>
      <c r="D864" s="17">
        <f>IF(P864&lt;$K$7,$H$7+SQRT(P864*($J$7-$H$7)*($I$7-$H$7)),$J$7-SQRT((1-P864)*($J$7-$H$7)*($J$7-$I$7)))</f>
        <v/>
      </c>
      <c r="E864" s="17">
        <f>SUM(B864:D864)</f>
        <v/>
      </c>
      <c r="N864" s="16">
        <f>RAND()</f>
        <v/>
      </c>
      <c r="O864" s="16">
        <f>RAND()</f>
        <v/>
      </c>
      <c r="P864" s="16">
        <f>RAND()</f>
        <v/>
      </c>
    </row>
    <row r="865">
      <c r="A865" s="13" t="n">
        <v>861</v>
      </c>
      <c r="B865" s="17">
        <f>IF(N865&lt;$K$5,$H$5+SQRT(N865*($J$5-$H$5)*($I$5-$H$5)),$J$5-SQRT((1-N865)*($J$5-$H$5)*($J$5-$I$5)))</f>
        <v/>
      </c>
      <c r="C865" s="17">
        <f>IF(O865&lt;$K$6,$H$6+SQRT(O865*($J$6-$H$6)*($I$6-$H$6)),$J$6-SQRT((1-O865)*($J$6-$H$6)*($J$6-$I$6)))</f>
        <v/>
      </c>
      <c r="D865" s="17">
        <f>IF(P865&lt;$K$7,$H$7+SQRT(P865*($J$7-$H$7)*($I$7-$H$7)),$J$7-SQRT((1-P865)*($J$7-$H$7)*($J$7-$I$7)))</f>
        <v/>
      </c>
      <c r="E865" s="17">
        <f>SUM(B865:D865)</f>
        <v/>
      </c>
      <c r="N865" s="16">
        <f>RAND()</f>
        <v/>
      </c>
      <c r="O865" s="16">
        <f>RAND()</f>
        <v/>
      </c>
      <c r="P865" s="16">
        <f>RAND()</f>
        <v/>
      </c>
    </row>
    <row r="866">
      <c r="A866" s="13" t="n">
        <v>862</v>
      </c>
      <c r="B866" s="17">
        <f>IF(N866&lt;$K$5,$H$5+SQRT(N866*($J$5-$H$5)*($I$5-$H$5)),$J$5-SQRT((1-N866)*($J$5-$H$5)*($J$5-$I$5)))</f>
        <v/>
      </c>
      <c r="C866" s="17">
        <f>IF(O866&lt;$K$6,$H$6+SQRT(O866*($J$6-$H$6)*($I$6-$H$6)),$J$6-SQRT((1-O866)*($J$6-$H$6)*($J$6-$I$6)))</f>
        <v/>
      </c>
      <c r="D866" s="17">
        <f>IF(P866&lt;$K$7,$H$7+SQRT(P866*($J$7-$H$7)*($I$7-$H$7)),$J$7-SQRT((1-P866)*($J$7-$H$7)*($J$7-$I$7)))</f>
        <v/>
      </c>
      <c r="E866" s="17">
        <f>SUM(B866:D866)</f>
        <v/>
      </c>
      <c r="N866" s="16">
        <f>RAND()</f>
        <v/>
      </c>
      <c r="O866" s="16">
        <f>RAND()</f>
        <v/>
      </c>
      <c r="P866" s="16">
        <f>RAND()</f>
        <v/>
      </c>
    </row>
    <row r="867">
      <c r="A867" s="13" t="n">
        <v>863</v>
      </c>
      <c r="B867" s="17">
        <f>IF(N867&lt;$K$5,$H$5+SQRT(N867*($J$5-$H$5)*($I$5-$H$5)),$J$5-SQRT((1-N867)*($J$5-$H$5)*($J$5-$I$5)))</f>
        <v/>
      </c>
      <c r="C867" s="17">
        <f>IF(O867&lt;$K$6,$H$6+SQRT(O867*($J$6-$H$6)*($I$6-$H$6)),$J$6-SQRT((1-O867)*($J$6-$H$6)*($J$6-$I$6)))</f>
        <v/>
      </c>
      <c r="D867" s="17">
        <f>IF(P867&lt;$K$7,$H$7+SQRT(P867*($J$7-$H$7)*($I$7-$H$7)),$J$7-SQRT((1-P867)*($J$7-$H$7)*($J$7-$I$7)))</f>
        <v/>
      </c>
      <c r="E867" s="17">
        <f>SUM(B867:D867)</f>
        <v/>
      </c>
      <c r="N867" s="16">
        <f>RAND()</f>
        <v/>
      </c>
      <c r="O867" s="16">
        <f>RAND()</f>
        <v/>
      </c>
      <c r="P867" s="16">
        <f>RAND()</f>
        <v/>
      </c>
    </row>
    <row r="868">
      <c r="A868" s="13" t="n">
        <v>864</v>
      </c>
      <c r="B868" s="17">
        <f>IF(N868&lt;$K$5,$H$5+SQRT(N868*($J$5-$H$5)*($I$5-$H$5)),$J$5-SQRT((1-N868)*($J$5-$H$5)*($J$5-$I$5)))</f>
        <v/>
      </c>
      <c r="C868" s="17">
        <f>IF(O868&lt;$K$6,$H$6+SQRT(O868*($J$6-$H$6)*($I$6-$H$6)),$J$6-SQRT((1-O868)*($J$6-$H$6)*($J$6-$I$6)))</f>
        <v/>
      </c>
      <c r="D868" s="17">
        <f>IF(P868&lt;$K$7,$H$7+SQRT(P868*($J$7-$H$7)*($I$7-$H$7)),$J$7-SQRT((1-P868)*($J$7-$H$7)*($J$7-$I$7)))</f>
        <v/>
      </c>
      <c r="E868" s="17">
        <f>SUM(B868:D868)</f>
        <v/>
      </c>
      <c r="N868" s="16">
        <f>RAND()</f>
        <v/>
      </c>
      <c r="O868" s="16">
        <f>RAND()</f>
        <v/>
      </c>
      <c r="P868" s="16">
        <f>RAND()</f>
        <v/>
      </c>
    </row>
    <row r="869">
      <c r="A869" s="13" t="n">
        <v>865</v>
      </c>
      <c r="B869" s="17">
        <f>IF(N869&lt;$K$5,$H$5+SQRT(N869*($J$5-$H$5)*($I$5-$H$5)),$J$5-SQRT((1-N869)*($J$5-$H$5)*($J$5-$I$5)))</f>
        <v/>
      </c>
      <c r="C869" s="17">
        <f>IF(O869&lt;$K$6,$H$6+SQRT(O869*($J$6-$H$6)*($I$6-$H$6)),$J$6-SQRT((1-O869)*($J$6-$H$6)*($J$6-$I$6)))</f>
        <v/>
      </c>
      <c r="D869" s="17">
        <f>IF(P869&lt;$K$7,$H$7+SQRT(P869*($J$7-$H$7)*($I$7-$H$7)),$J$7-SQRT((1-P869)*($J$7-$H$7)*($J$7-$I$7)))</f>
        <v/>
      </c>
      <c r="E869" s="17">
        <f>SUM(B869:D869)</f>
        <v/>
      </c>
      <c r="N869" s="16">
        <f>RAND()</f>
        <v/>
      </c>
      <c r="O869" s="16">
        <f>RAND()</f>
        <v/>
      </c>
      <c r="P869" s="16">
        <f>RAND()</f>
        <v/>
      </c>
    </row>
    <row r="870">
      <c r="A870" s="13" t="n">
        <v>866</v>
      </c>
      <c r="B870" s="17">
        <f>IF(N870&lt;$K$5,$H$5+SQRT(N870*($J$5-$H$5)*($I$5-$H$5)),$J$5-SQRT((1-N870)*($J$5-$H$5)*($J$5-$I$5)))</f>
        <v/>
      </c>
      <c r="C870" s="17">
        <f>IF(O870&lt;$K$6,$H$6+SQRT(O870*($J$6-$H$6)*($I$6-$H$6)),$J$6-SQRT((1-O870)*($J$6-$H$6)*($J$6-$I$6)))</f>
        <v/>
      </c>
      <c r="D870" s="17">
        <f>IF(P870&lt;$K$7,$H$7+SQRT(P870*($J$7-$H$7)*($I$7-$H$7)),$J$7-SQRT((1-P870)*($J$7-$H$7)*($J$7-$I$7)))</f>
        <v/>
      </c>
      <c r="E870" s="17">
        <f>SUM(B870:D870)</f>
        <v/>
      </c>
      <c r="N870" s="16">
        <f>RAND()</f>
        <v/>
      </c>
      <c r="O870" s="16">
        <f>RAND()</f>
        <v/>
      </c>
      <c r="P870" s="16">
        <f>RAND()</f>
        <v/>
      </c>
    </row>
    <row r="871">
      <c r="A871" s="13" t="n">
        <v>867</v>
      </c>
      <c r="B871" s="17">
        <f>IF(N871&lt;$K$5,$H$5+SQRT(N871*($J$5-$H$5)*($I$5-$H$5)),$J$5-SQRT((1-N871)*($J$5-$H$5)*($J$5-$I$5)))</f>
        <v/>
      </c>
      <c r="C871" s="17">
        <f>IF(O871&lt;$K$6,$H$6+SQRT(O871*($J$6-$H$6)*($I$6-$H$6)),$J$6-SQRT((1-O871)*($J$6-$H$6)*($J$6-$I$6)))</f>
        <v/>
      </c>
      <c r="D871" s="17">
        <f>IF(P871&lt;$K$7,$H$7+SQRT(P871*($J$7-$H$7)*($I$7-$H$7)),$J$7-SQRT((1-P871)*($J$7-$H$7)*($J$7-$I$7)))</f>
        <v/>
      </c>
      <c r="E871" s="17">
        <f>SUM(B871:D871)</f>
        <v/>
      </c>
      <c r="N871" s="16">
        <f>RAND()</f>
        <v/>
      </c>
      <c r="O871" s="16">
        <f>RAND()</f>
        <v/>
      </c>
      <c r="P871" s="16">
        <f>RAND()</f>
        <v/>
      </c>
    </row>
    <row r="872">
      <c r="A872" s="13" t="n">
        <v>868</v>
      </c>
      <c r="B872" s="17">
        <f>IF(N872&lt;$K$5,$H$5+SQRT(N872*($J$5-$H$5)*($I$5-$H$5)),$J$5-SQRT((1-N872)*($J$5-$H$5)*($J$5-$I$5)))</f>
        <v/>
      </c>
      <c r="C872" s="17">
        <f>IF(O872&lt;$K$6,$H$6+SQRT(O872*($J$6-$H$6)*($I$6-$H$6)),$J$6-SQRT((1-O872)*($J$6-$H$6)*($J$6-$I$6)))</f>
        <v/>
      </c>
      <c r="D872" s="17">
        <f>IF(P872&lt;$K$7,$H$7+SQRT(P872*($J$7-$H$7)*($I$7-$H$7)),$J$7-SQRT((1-P872)*($J$7-$H$7)*($J$7-$I$7)))</f>
        <v/>
      </c>
      <c r="E872" s="17">
        <f>SUM(B872:D872)</f>
        <v/>
      </c>
      <c r="N872" s="16">
        <f>RAND()</f>
        <v/>
      </c>
      <c r="O872" s="16">
        <f>RAND()</f>
        <v/>
      </c>
      <c r="P872" s="16">
        <f>RAND()</f>
        <v/>
      </c>
    </row>
    <row r="873">
      <c r="A873" s="13" t="n">
        <v>869</v>
      </c>
      <c r="B873" s="17">
        <f>IF(N873&lt;$K$5,$H$5+SQRT(N873*($J$5-$H$5)*($I$5-$H$5)),$J$5-SQRT((1-N873)*($J$5-$H$5)*($J$5-$I$5)))</f>
        <v/>
      </c>
      <c r="C873" s="17">
        <f>IF(O873&lt;$K$6,$H$6+SQRT(O873*($J$6-$H$6)*($I$6-$H$6)),$J$6-SQRT((1-O873)*($J$6-$H$6)*($J$6-$I$6)))</f>
        <v/>
      </c>
      <c r="D873" s="17">
        <f>IF(P873&lt;$K$7,$H$7+SQRT(P873*($J$7-$H$7)*($I$7-$H$7)),$J$7-SQRT((1-P873)*($J$7-$H$7)*($J$7-$I$7)))</f>
        <v/>
      </c>
      <c r="E873" s="17">
        <f>SUM(B873:D873)</f>
        <v/>
      </c>
      <c r="N873" s="16">
        <f>RAND()</f>
        <v/>
      </c>
      <c r="O873" s="16">
        <f>RAND()</f>
        <v/>
      </c>
      <c r="P873" s="16">
        <f>RAND()</f>
        <v/>
      </c>
    </row>
    <row r="874">
      <c r="A874" s="13" t="n">
        <v>870</v>
      </c>
      <c r="B874" s="17">
        <f>IF(N874&lt;$K$5,$H$5+SQRT(N874*($J$5-$H$5)*($I$5-$H$5)),$J$5-SQRT((1-N874)*($J$5-$H$5)*($J$5-$I$5)))</f>
        <v/>
      </c>
      <c r="C874" s="17">
        <f>IF(O874&lt;$K$6,$H$6+SQRT(O874*($J$6-$H$6)*($I$6-$H$6)),$J$6-SQRT((1-O874)*($J$6-$H$6)*($J$6-$I$6)))</f>
        <v/>
      </c>
      <c r="D874" s="17">
        <f>IF(P874&lt;$K$7,$H$7+SQRT(P874*($J$7-$H$7)*($I$7-$H$7)),$J$7-SQRT((1-P874)*($J$7-$H$7)*($J$7-$I$7)))</f>
        <v/>
      </c>
      <c r="E874" s="17">
        <f>SUM(B874:D874)</f>
        <v/>
      </c>
      <c r="N874" s="16">
        <f>RAND()</f>
        <v/>
      </c>
      <c r="O874" s="16">
        <f>RAND()</f>
        <v/>
      </c>
      <c r="P874" s="16">
        <f>RAND()</f>
        <v/>
      </c>
    </row>
    <row r="875">
      <c r="A875" s="13" t="n">
        <v>871</v>
      </c>
      <c r="B875" s="17">
        <f>IF(N875&lt;$K$5,$H$5+SQRT(N875*($J$5-$H$5)*($I$5-$H$5)),$J$5-SQRT((1-N875)*($J$5-$H$5)*($J$5-$I$5)))</f>
        <v/>
      </c>
      <c r="C875" s="17">
        <f>IF(O875&lt;$K$6,$H$6+SQRT(O875*($J$6-$H$6)*($I$6-$H$6)),$J$6-SQRT((1-O875)*($J$6-$H$6)*($J$6-$I$6)))</f>
        <v/>
      </c>
      <c r="D875" s="17">
        <f>IF(P875&lt;$K$7,$H$7+SQRT(P875*($J$7-$H$7)*($I$7-$H$7)),$J$7-SQRT((1-P875)*($J$7-$H$7)*($J$7-$I$7)))</f>
        <v/>
      </c>
      <c r="E875" s="17">
        <f>SUM(B875:D875)</f>
        <v/>
      </c>
      <c r="N875" s="16">
        <f>RAND()</f>
        <v/>
      </c>
      <c r="O875" s="16">
        <f>RAND()</f>
        <v/>
      </c>
      <c r="P875" s="16">
        <f>RAND()</f>
        <v/>
      </c>
    </row>
    <row r="876">
      <c r="A876" s="13" t="n">
        <v>872</v>
      </c>
      <c r="B876" s="17">
        <f>IF(N876&lt;$K$5,$H$5+SQRT(N876*($J$5-$H$5)*($I$5-$H$5)),$J$5-SQRT((1-N876)*($J$5-$H$5)*($J$5-$I$5)))</f>
        <v/>
      </c>
      <c r="C876" s="17">
        <f>IF(O876&lt;$K$6,$H$6+SQRT(O876*($J$6-$H$6)*($I$6-$H$6)),$J$6-SQRT((1-O876)*($J$6-$H$6)*($J$6-$I$6)))</f>
        <v/>
      </c>
      <c r="D876" s="17">
        <f>IF(P876&lt;$K$7,$H$7+SQRT(P876*($J$7-$H$7)*($I$7-$H$7)),$J$7-SQRT((1-P876)*($J$7-$H$7)*($J$7-$I$7)))</f>
        <v/>
      </c>
      <c r="E876" s="17">
        <f>SUM(B876:D876)</f>
        <v/>
      </c>
      <c r="N876" s="16">
        <f>RAND()</f>
        <v/>
      </c>
      <c r="O876" s="16">
        <f>RAND()</f>
        <v/>
      </c>
      <c r="P876" s="16">
        <f>RAND()</f>
        <v/>
      </c>
    </row>
    <row r="877">
      <c r="A877" s="13" t="n">
        <v>873</v>
      </c>
      <c r="B877" s="17">
        <f>IF(N877&lt;$K$5,$H$5+SQRT(N877*($J$5-$H$5)*($I$5-$H$5)),$J$5-SQRT((1-N877)*($J$5-$H$5)*($J$5-$I$5)))</f>
        <v/>
      </c>
      <c r="C877" s="17">
        <f>IF(O877&lt;$K$6,$H$6+SQRT(O877*($J$6-$H$6)*($I$6-$H$6)),$J$6-SQRT((1-O877)*($J$6-$H$6)*($J$6-$I$6)))</f>
        <v/>
      </c>
      <c r="D877" s="17">
        <f>IF(P877&lt;$K$7,$H$7+SQRT(P877*($J$7-$H$7)*($I$7-$H$7)),$J$7-SQRT((1-P877)*($J$7-$H$7)*($J$7-$I$7)))</f>
        <v/>
      </c>
      <c r="E877" s="17">
        <f>SUM(B877:D877)</f>
        <v/>
      </c>
      <c r="N877" s="16">
        <f>RAND()</f>
        <v/>
      </c>
      <c r="O877" s="16">
        <f>RAND()</f>
        <v/>
      </c>
      <c r="P877" s="16">
        <f>RAND()</f>
        <v/>
      </c>
    </row>
    <row r="878">
      <c r="A878" s="13" t="n">
        <v>874</v>
      </c>
      <c r="B878" s="17">
        <f>IF(N878&lt;$K$5,$H$5+SQRT(N878*($J$5-$H$5)*($I$5-$H$5)),$J$5-SQRT((1-N878)*($J$5-$H$5)*($J$5-$I$5)))</f>
        <v/>
      </c>
      <c r="C878" s="17">
        <f>IF(O878&lt;$K$6,$H$6+SQRT(O878*($J$6-$H$6)*($I$6-$H$6)),$J$6-SQRT((1-O878)*($J$6-$H$6)*($J$6-$I$6)))</f>
        <v/>
      </c>
      <c r="D878" s="17">
        <f>IF(P878&lt;$K$7,$H$7+SQRT(P878*($J$7-$H$7)*($I$7-$H$7)),$J$7-SQRT((1-P878)*($J$7-$H$7)*($J$7-$I$7)))</f>
        <v/>
      </c>
      <c r="E878" s="17">
        <f>SUM(B878:D878)</f>
        <v/>
      </c>
      <c r="N878" s="16">
        <f>RAND()</f>
        <v/>
      </c>
      <c r="O878" s="16">
        <f>RAND()</f>
        <v/>
      </c>
      <c r="P878" s="16">
        <f>RAND()</f>
        <v/>
      </c>
    </row>
    <row r="879">
      <c r="A879" s="13" t="n">
        <v>875</v>
      </c>
      <c r="B879" s="17">
        <f>IF(N879&lt;$K$5,$H$5+SQRT(N879*($J$5-$H$5)*($I$5-$H$5)),$J$5-SQRT((1-N879)*($J$5-$H$5)*($J$5-$I$5)))</f>
        <v/>
      </c>
      <c r="C879" s="17">
        <f>IF(O879&lt;$K$6,$H$6+SQRT(O879*($J$6-$H$6)*($I$6-$H$6)),$J$6-SQRT((1-O879)*($J$6-$H$6)*($J$6-$I$6)))</f>
        <v/>
      </c>
      <c r="D879" s="17">
        <f>IF(P879&lt;$K$7,$H$7+SQRT(P879*($J$7-$H$7)*($I$7-$H$7)),$J$7-SQRT((1-P879)*($J$7-$H$7)*($J$7-$I$7)))</f>
        <v/>
      </c>
      <c r="E879" s="17">
        <f>SUM(B879:D879)</f>
        <v/>
      </c>
      <c r="N879" s="16">
        <f>RAND()</f>
        <v/>
      </c>
      <c r="O879" s="16">
        <f>RAND()</f>
        <v/>
      </c>
      <c r="P879" s="16">
        <f>RAND()</f>
        <v/>
      </c>
    </row>
    <row r="880">
      <c r="A880" s="13" t="n">
        <v>876</v>
      </c>
      <c r="B880" s="17">
        <f>IF(N880&lt;$K$5,$H$5+SQRT(N880*($J$5-$H$5)*($I$5-$H$5)),$J$5-SQRT((1-N880)*($J$5-$H$5)*($J$5-$I$5)))</f>
        <v/>
      </c>
      <c r="C880" s="17">
        <f>IF(O880&lt;$K$6,$H$6+SQRT(O880*($J$6-$H$6)*($I$6-$H$6)),$J$6-SQRT((1-O880)*($J$6-$H$6)*($J$6-$I$6)))</f>
        <v/>
      </c>
      <c r="D880" s="17">
        <f>IF(P880&lt;$K$7,$H$7+SQRT(P880*($J$7-$H$7)*($I$7-$H$7)),$J$7-SQRT((1-P880)*($J$7-$H$7)*($J$7-$I$7)))</f>
        <v/>
      </c>
      <c r="E880" s="17">
        <f>SUM(B880:D880)</f>
        <v/>
      </c>
      <c r="N880" s="16">
        <f>RAND()</f>
        <v/>
      </c>
      <c r="O880" s="16">
        <f>RAND()</f>
        <v/>
      </c>
      <c r="P880" s="16">
        <f>RAND()</f>
        <v/>
      </c>
    </row>
    <row r="881">
      <c r="A881" s="13" t="n">
        <v>877</v>
      </c>
      <c r="B881" s="17">
        <f>IF(N881&lt;$K$5,$H$5+SQRT(N881*($J$5-$H$5)*($I$5-$H$5)),$J$5-SQRT((1-N881)*($J$5-$H$5)*($J$5-$I$5)))</f>
        <v/>
      </c>
      <c r="C881" s="17">
        <f>IF(O881&lt;$K$6,$H$6+SQRT(O881*($J$6-$H$6)*($I$6-$H$6)),$J$6-SQRT((1-O881)*($J$6-$H$6)*($J$6-$I$6)))</f>
        <v/>
      </c>
      <c r="D881" s="17">
        <f>IF(P881&lt;$K$7,$H$7+SQRT(P881*($J$7-$H$7)*($I$7-$H$7)),$J$7-SQRT((1-P881)*($J$7-$H$7)*($J$7-$I$7)))</f>
        <v/>
      </c>
      <c r="E881" s="17">
        <f>SUM(B881:D881)</f>
        <v/>
      </c>
      <c r="N881" s="16">
        <f>RAND()</f>
        <v/>
      </c>
      <c r="O881" s="16">
        <f>RAND()</f>
        <v/>
      </c>
      <c r="P881" s="16">
        <f>RAND()</f>
        <v/>
      </c>
    </row>
    <row r="882">
      <c r="A882" s="13" t="n">
        <v>878</v>
      </c>
      <c r="B882" s="17">
        <f>IF(N882&lt;$K$5,$H$5+SQRT(N882*($J$5-$H$5)*($I$5-$H$5)),$J$5-SQRT((1-N882)*($J$5-$H$5)*($J$5-$I$5)))</f>
        <v/>
      </c>
      <c r="C882" s="17">
        <f>IF(O882&lt;$K$6,$H$6+SQRT(O882*($J$6-$H$6)*($I$6-$H$6)),$J$6-SQRT((1-O882)*($J$6-$H$6)*($J$6-$I$6)))</f>
        <v/>
      </c>
      <c r="D882" s="17">
        <f>IF(P882&lt;$K$7,$H$7+SQRT(P882*($J$7-$H$7)*($I$7-$H$7)),$J$7-SQRT((1-P882)*($J$7-$H$7)*($J$7-$I$7)))</f>
        <v/>
      </c>
      <c r="E882" s="17">
        <f>SUM(B882:D882)</f>
        <v/>
      </c>
      <c r="N882" s="16">
        <f>RAND()</f>
        <v/>
      </c>
      <c r="O882" s="16">
        <f>RAND()</f>
        <v/>
      </c>
      <c r="P882" s="16">
        <f>RAND()</f>
        <v/>
      </c>
    </row>
    <row r="883">
      <c r="A883" s="13" t="n">
        <v>879</v>
      </c>
      <c r="B883" s="17">
        <f>IF(N883&lt;$K$5,$H$5+SQRT(N883*($J$5-$H$5)*($I$5-$H$5)),$J$5-SQRT((1-N883)*($J$5-$H$5)*($J$5-$I$5)))</f>
        <v/>
      </c>
      <c r="C883" s="17">
        <f>IF(O883&lt;$K$6,$H$6+SQRT(O883*($J$6-$H$6)*($I$6-$H$6)),$J$6-SQRT((1-O883)*($J$6-$H$6)*($J$6-$I$6)))</f>
        <v/>
      </c>
      <c r="D883" s="17">
        <f>IF(P883&lt;$K$7,$H$7+SQRT(P883*($J$7-$H$7)*($I$7-$H$7)),$J$7-SQRT((1-P883)*($J$7-$H$7)*($J$7-$I$7)))</f>
        <v/>
      </c>
      <c r="E883" s="17">
        <f>SUM(B883:D883)</f>
        <v/>
      </c>
      <c r="N883" s="16">
        <f>RAND()</f>
        <v/>
      </c>
      <c r="O883" s="16">
        <f>RAND()</f>
        <v/>
      </c>
      <c r="P883" s="16">
        <f>RAND()</f>
        <v/>
      </c>
    </row>
    <row r="884">
      <c r="A884" s="13" t="n">
        <v>880</v>
      </c>
      <c r="B884" s="17">
        <f>IF(N884&lt;$K$5,$H$5+SQRT(N884*($J$5-$H$5)*($I$5-$H$5)),$J$5-SQRT((1-N884)*($J$5-$H$5)*($J$5-$I$5)))</f>
        <v/>
      </c>
      <c r="C884" s="17">
        <f>IF(O884&lt;$K$6,$H$6+SQRT(O884*($J$6-$H$6)*($I$6-$H$6)),$J$6-SQRT((1-O884)*($J$6-$H$6)*($J$6-$I$6)))</f>
        <v/>
      </c>
      <c r="D884" s="17">
        <f>IF(P884&lt;$K$7,$H$7+SQRT(P884*($J$7-$H$7)*($I$7-$H$7)),$J$7-SQRT((1-P884)*($J$7-$H$7)*($J$7-$I$7)))</f>
        <v/>
      </c>
      <c r="E884" s="17">
        <f>SUM(B884:D884)</f>
        <v/>
      </c>
      <c r="N884" s="16">
        <f>RAND()</f>
        <v/>
      </c>
      <c r="O884" s="16">
        <f>RAND()</f>
        <v/>
      </c>
      <c r="P884" s="16">
        <f>RAND()</f>
        <v/>
      </c>
    </row>
    <row r="885">
      <c r="A885" s="13" t="n">
        <v>881</v>
      </c>
      <c r="B885" s="17">
        <f>IF(N885&lt;$K$5,$H$5+SQRT(N885*($J$5-$H$5)*($I$5-$H$5)),$J$5-SQRT((1-N885)*($J$5-$H$5)*($J$5-$I$5)))</f>
        <v/>
      </c>
      <c r="C885" s="17">
        <f>IF(O885&lt;$K$6,$H$6+SQRT(O885*($J$6-$H$6)*($I$6-$H$6)),$J$6-SQRT((1-O885)*($J$6-$H$6)*($J$6-$I$6)))</f>
        <v/>
      </c>
      <c r="D885" s="17">
        <f>IF(P885&lt;$K$7,$H$7+SQRT(P885*($J$7-$H$7)*($I$7-$H$7)),$J$7-SQRT((1-P885)*($J$7-$H$7)*($J$7-$I$7)))</f>
        <v/>
      </c>
      <c r="E885" s="17">
        <f>SUM(B885:D885)</f>
        <v/>
      </c>
      <c r="N885" s="16">
        <f>RAND()</f>
        <v/>
      </c>
      <c r="O885" s="16">
        <f>RAND()</f>
        <v/>
      </c>
      <c r="P885" s="16">
        <f>RAND()</f>
        <v/>
      </c>
    </row>
    <row r="886">
      <c r="A886" s="13" t="n">
        <v>882</v>
      </c>
      <c r="B886" s="17">
        <f>IF(N886&lt;$K$5,$H$5+SQRT(N886*($J$5-$H$5)*($I$5-$H$5)),$J$5-SQRT((1-N886)*($J$5-$H$5)*($J$5-$I$5)))</f>
        <v/>
      </c>
      <c r="C886" s="17">
        <f>IF(O886&lt;$K$6,$H$6+SQRT(O886*($J$6-$H$6)*($I$6-$H$6)),$J$6-SQRT((1-O886)*($J$6-$H$6)*($J$6-$I$6)))</f>
        <v/>
      </c>
      <c r="D886" s="17">
        <f>IF(P886&lt;$K$7,$H$7+SQRT(P886*($J$7-$H$7)*($I$7-$H$7)),$J$7-SQRT((1-P886)*($J$7-$H$7)*($J$7-$I$7)))</f>
        <v/>
      </c>
      <c r="E886" s="17">
        <f>SUM(B886:D886)</f>
        <v/>
      </c>
      <c r="N886" s="16">
        <f>RAND()</f>
        <v/>
      </c>
      <c r="O886" s="16">
        <f>RAND()</f>
        <v/>
      </c>
      <c r="P886" s="16">
        <f>RAND()</f>
        <v/>
      </c>
    </row>
    <row r="887">
      <c r="A887" s="13" t="n">
        <v>883</v>
      </c>
      <c r="B887" s="17">
        <f>IF(N887&lt;$K$5,$H$5+SQRT(N887*($J$5-$H$5)*($I$5-$H$5)),$J$5-SQRT((1-N887)*($J$5-$H$5)*($J$5-$I$5)))</f>
        <v/>
      </c>
      <c r="C887" s="17">
        <f>IF(O887&lt;$K$6,$H$6+SQRT(O887*($J$6-$H$6)*($I$6-$H$6)),$J$6-SQRT((1-O887)*($J$6-$H$6)*($J$6-$I$6)))</f>
        <v/>
      </c>
      <c r="D887" s="17">
        <f>IF(P887&lt;$K$7,$H$7+SQRT(P887*($J$7-$H$7)*($I$7-$H$7)),$J$7-SQRT((1-P887)*($J$7-$H$7)*($J$7-$I$7)))</f>
        <v/>
      </c>
      <c r="E887" s="17">
        <f>SUM(B887:D887)</f>
        <v/>
      </c>
      <c r="N887" s="16">
        <f>RAND()</f>
        <v/>
      </c>
      <c r="O887" s="16">
        <f>RAND()</f>
        <v/>
      </c>
      <c r="P887" s="16">
        <f>RAND()</f>
        <v/>
      </c>
    </row>
    <row r="888">
      <c r="A888" s="13" t="n">
        <v>884</v>
      </c>
      <c r="B888" s="17">
        <f>IF(N888&lt;$K$5,$H$5+SQRT(N888*($J$5-$H$5)*($I$5-$H$5)),$J$5-SQRT((1-N888)*($J$5-$H$5)*($J$5-$I$5)))</f>
        <v/>
      </c>
      <c r="C888" s="17">
        <f>IF(O888&lt;$K$6,$H$6+SQRT(O888*($J$6-$H$6)*($I$6-$H$6)),$J$6-SQRT((1-O888)*($J$6-$H$6)*($J$6-$I$6)))</f>
        <v/>
      </c>
      <c r="D888" s="17">
        <f>IF(P888&lt;$K$7,$H$7+SQRT(P888*($J$7-$H$7)*($I$7-$H$7)),$J$7-SQRT((1-P888)*($J$7-$H$7)*($J$7-$I$7)))</f>
        <v/>
      </c>
      <c r="E888" s="17">
        <f>SUM(B888:D888)</f>
        <v/>
      </c>
      <c r="N888" s="16">
        <f>RAND()</f>
        <v/>
      </c>
      <c r="O888" s="16">
        <f>RAND()</f>
        <v/>
      </c>
      <c r="P888" s="16">
        <f>RAND()</f>
        <v/>
      </c>
    </row>
    <row r="889">
      <c r="A889" s="13" t="n">
        <v>885</v>
      </c>
      <c r="B889" s="17">
        <f>IF(N889&lt;$K$5,$H$5+SQRT(N889*($J$5-$H$5)*($I$5-$H$5)),$J$5-SQRT((1-N889)*($J$5-$H$5)*($J$5-$I$5)))</f>
        <v/>
      </c>
      <c r="C889" s="17">
        <f>IF(O889&lt;$K$6,$H$6+SQRT(O889*($J$6-$H$6)*($I$6-$H$6)),$J$6-SQRT((1-O889)*($J$6-$H$6)*($J$6-$I$6)))</f>
        <v/>
      </c>
      <c r="D889" s="17">
        <f>IF(P889&lt;$K$7,$H$7+SQRT(P889*($J$7-$H$7)*($I$7-$H$7)),$J$7-SQRT((1-P889)*($J$7-$H$7)*($J$7-$I$7)))</f>
        <v/>
      </c>
      <c r="E889" s="17">
        <f>SUM(B889:D889)</f>
        <v/>
      </c>
      <c r="N889" s="16">
        <f>RAND()</f>
        <v/>
      </c>
      <c r="O889" s="16">
        <f>RAND()</f>
        <v/>
      </c>
      <c r="P889" s="16">
        <f>RAND()</f>
        <v/>
      </c>
    </row>
    <row r="890">
      <c r="A890" s="13" t="n">
        <v>886</v>
      </c>
      <c r="B890" s="17">
        <f>IF(N890&lt;$K$5,$H$5+SQRT(N890*($J$5-$H$5)*($I$5-$H$5)),$J$5-SQRT((1-N890)*($J$5-$H$5)*($J$5-$I$5)))</f>
        <v/>
      </c>
      <c r="C890" s="17">
        <f>IF(O890&lt;$K$6,$H$6+SQRT(O890*($J$6-$H$6)*($I$6-$H$6)),$J$6-SQRT((1-O890)*($J$6-$H$6)*($J$6-$I$6)))</f>
        <v/>
      </c>
      <c r="D890" s="17">
        <f>IF(P890&lt;$K$7,$H$7+SQRT(P890*($J$7-$H$7)*($I$7-$H$7)),$J$7-SQRT((1-P890)*($J$7-$H$7)*($J$7-$I$7)))</f>
        <v/>
      </c>
      <c r="E890" s="17">
        <f>SUM(B890:D890)</f>
        <v/>
      </c>
      <c r="N890" s="16">
        <f>RAND()</f>
        <v/>
      </c>
      <c r="O890" s="16">
        <f>RAND()</f>
        <v/>
      </c>
      <c r="P890" s="16">
        <f>RAND()</f>
        <v/>
      </c>
    </row>
    <row r="891">
      <c r="A891" s="13" t="n">
        <v>887</v>
      </c>
      <c r="B891" s="17">
        <f>IF(N891&lt;$K$5,$H$5+SQRT(N891*($J$5-$H$5)*($I$5-$H$5)),$J$5-SQRT((1-N891)*($J$5-$H$5)*($J$5-$I$5)))</f>
        <v/>
      </c>
      <c r="C891" s="17">
        <f>IF(O891&lt;$K$6,$H$6+SQRT(O891*($J$6-$H$6)*($I$6-$H$6)),$J$6-SQRT((1-O891)*($J$6-$H$6)*($J$6-$I$6)))</f>
        <v/>
      </c>
      <c r="D891" s="17">
        <f>IF(P891&lt;$K$7,$H$7+SQRT(P891*($J$7-$H$7)*($I$7-$H$7)),$J$7-SQRT((1-P891)*($J$7-$H$7)*($J$7-$I$7)))</f>
        <v/>
      </c>
      <c r="E891" s="17">
        <f>SUM(B891:D891)</f>
        <v/>
      </c>
      <c r="N891" s="16">
        <f>RAND()</f>
        <v/>
      </c>
      <c r="O891" s="16">
        <f>RAND()</f>
        <v/>
      </c>
      <c r="P891" s="16">
        <f>RAND()</f>
        <v/>
      </c>
    </row>
    <row r="892">
      <c r="A892" s="13" t="n">
        <v>888</v>
      </c>
      <c r="B892" s="17">
        <f>IF(N892&lt;$K$5,$H$5+SQRT(N892*($J$5-$H$5)*($I$5-$H$5)),$J$5-SQRT((1-N892)*($J$5-$H$5)*($J$5-$I$5)))</f>
        <v/>
      </c>
      <c r="C892" s="17">
        <f>IF(O892&lt;$K$6,$H$6+SQRT(O892*($J$6-$H$6)*($I$6-$H$6)),$J$6-SQRT((1-O892)*($J$6-$H$6)*($J$6-$I$6)))</f>
        <v/>
      </c>
      <c r="D892" s="17">
        <f>IF(P892&lt;$K$7,$H$7+SQRT(P892*($J$7-$H$7)*($I$7-$H$7)),$J$7-SQRT((1-P892)*($J$7-$H$7)*($J$7-$I$7)))</f>
        <v/>
      </c>
      <c r="E892" s="17">
        <f>SUM(B892:D892)</f>
        <v/>
      </c>
      <c r="N892" s="16">
        <f>RAND()</f>
        <v/>
      </c>
      <c r="O892" s="16">
        <f>RAND()</f>
        <v/>
      </c>
      <c r="P892" s="16">
        <f>RAND()</f>
        <v/>
      </c>
    </row>
    <row r="893">
      <c r="A893" s="13" t="n">
        <v>889</v>
      </c>
      <c r="B893" s="17">
        <f>IF(N893&lt;$K$5,$H$5+SQRT(N893*($J$5-$H$5)*($I$5-$H$5)),$J$5-SQRT((1-N893)*($J$5-$H$5)*($J$5-$I$5)))</f>
        <v/>
      </c>
      <c r="C893" s="17">
        <f>IF(O893&lt;$K$6,$H$6+SQRT(O893*($J$6-$H$6)*($I$6-$H$6)),$J$6-SQRT((1-O893)*($J$6-$H$6)*($J$6-$I$6)))</f>
        <v/>
      </c>
      <c r="D893" s="17">
        <f>IF(P893&lt;$K$7,$H$7+SQRT(P893*($J$7-$H$7)*($I$7-$H$7)),$J$7-SQRT((1-P893)*($J$7-$H$7)*($J$7-$I$7)))</f>
        <v/>
      </c>
      <c r="E893" s="17">
        <f>SUM(B893:D893)</f>
        <v/>
      </c>
      <c r="N893" s="16">
        <f>RAND()</f>
        <v/>
      </c>
      <c r="O893" s="16">
        <f>RAND()</f>
        <v/>
      </c>
      <c r="P893" s="16">
        <f>RAND()</f>
        <v/>
      </c>
    </row>
    <row r="894">
      <c r="A894" s="13" t="n">
        <v>890</v>
      </c>
      <c r="B894" s="17">
        <f>IF(N894&lt;$K$5,$H$5+SQRT(N894*($J$5-$H$5)*($I$5-$H$5)),$J$5-SQRT((1-N894)*($J$5-$H$5)*($J$5-$I$5)))</f>
        <v/>
      </c>
      <c r="C894" s="17">
        <f>IF(O894&lt;$K$6,$H$6+SQRT(O894*($J$6-$H$6)*($I$6-$H$6)),$J$6-SQRT((1-O894)*($J$6-$H$6)*($J$6-$I$6)))</f>
        <v/>
      </c>
      <c r="D894" s="17">
        <f>IF(P894&lt;$K$7,$H$7+SQRT(P894*($J$7-$H$7)*($I$7-$H$7)),$J$7-SQRT((1-P894)*($J$7-$H$7)*($J$7-$I$7)))</f>
        <v/>
      </c>
      <c r="E894" s="17">
        <f>SUM(B894:D894)</f>
        <v/>
      </c>
      <c r="N894" s="16">
        <f>RAND()</f>
        <v/>
      </c>
      <c r="O894" s="16">
        <f>RAND()</f>
        <v/>
      </c>
      <c r="P894" s="16">
        <f>RAND()</f>
        <v/>
      </c>
    </row>
    <row r="895">
      <c r="A895" s="13" t="n">
        <v>891</v>
      </c>
      <c r="B895" s="17">
        <f>IF(N895&lt;$K$5,$H$5+SQRT(N895*($J$5-$H$5)*($I$5-$H$5)),$J$5-SQRT((1-N895)*($J$5-$H$5)*($J$5-$I$5)))</f>
        <v/>
      </c>
      <c r="C895" s="17">
        <f>IF(O895&lt;$K$6,$H$6+SQRT(O895*($J$6-$H$6)*($I$6-$H$6)),$J$6-SQRT((1-O895)*($J$6-$H$6)*($J$6-$I$6)))</f>
        <v/>
      </c>
      <c r="D895" s="17">
        <f>IF(P895&lt;$K$7,$H$7+SQRT(P895*($J$7-$H$7)*($I$7-$H$7)),$J$7-SQRT((1-P895)*($J$7-$H$7)*($J$7-$I$7)))</f>
        <v/>
      </c>
      <c r="E895" s="17">
        <f>SUM(B895:D895)</f>
        <v/>
      </c>
      <c r="N895" s="16">
        <f>RAND()</f>
        <v/>
      </c>
      <c r="O895" s="16">
        <f>RAND()</f>
        <v/>
      </c>
      <c r="P895" s="16">
        <f>RAND()</f>
        <v/>
      </c>
    </row>
    <row r="896">
      <c r="A896" s="13" t="n">
        <v>892</v>
      </c>
      <c r="B896" s="17">
        <f>IF(N896&lt;$K$5,$H$5+SQRT(N896*($J$5-$H$5)*($I$5-$H$5)),$J$5-SQRT((1-N896)*($J$5-$H$5)*($J$5-$I$5)))</f>
        <v/>
      </c>
      <c r="C896" s="17">
        <f>IF(O896&lt;$K$6,$H$6+SQRT(O896*($J$6-$H$6)*($I$6-$H$6)),$J$6-SQRT((1-O896)*($J$6-$H$6)*($J$6-$I$6)))</f>
        <v/>
      </c>
      <c r="D896" s="17">
        <f>IF(P896&lt;$K$7,$H$7+SQRT(P896*($J$7-$H$7)*($I$7-$H$7)),$J$7-SQRT((1-P896)*($J$7-$H$7)*($J$7-$I$7)))</f>
        <v/>
      </c>
      <c r="E896" s="17">
        <f>SUM(B896:D896)</f>
        <v/>
      </c>
      <c r="N896" s="16">
        <f>RAND()</f>
        <v/>
      </c>
      <c r="O896" s="16">
        <f>RAND()</f>
        <v/>
      </c>
      <c r="P896" s="16">
        <f>RAND()</f>
        <v/>
      </c>
    </row>
    <row r="897">
      <c r="A897" s="13" t="n">
        <v>893</v>
      </c>
      <c r="B897" s="17">
        <f>IF(N897&lt;$K$5,$H$5+SQRT(N897*($J$5-$H$5)*($I$5-$H$5)),$J$5-SQRT((1-N897)*($J$5-$H$5)*($J$5-$I$5)))</f>
        <v/>
      </c>
      <c r="C897" s="17">
        <f>IF(O897&lt;$K$6,$H$6+SQRT(O897*($J$6-$H$6)*($I$6-$H$6)),$J$6-SQRT((1-O897)*($J$6-$H$6)*($J$6-$I$6)))</f>
        <v/>
      </c>
      <c r="D897" s="17">
        <f>IF(P897&lt;$K$7,$H$7+SQRT(P897*($J$7-$H$7)*($I$7-$H$7)),$J$7-SQRT((1-P897)*($J$7-$H$7)*($J$7-$I$7)))</f>
        <v/>
      </c>
      <c r="E897" s="17">
        <f>SUM(B897:D897)</f>
        <v/>
      </c>
      <c r="N897" s="16">
        <f>RAND()</f>
        <v/>
      </c>
      <c r="O897" s="16">
        <f>RAND()</f>
        <v/>
      </c>
      <c r="P897" s="16">
        <f>RAND()</f>
        <v/>
      </c>
    </row>
    <row r="898">
      <c r="A898" s="13" t="n">
        <v>894</v>
      </c>
      <c r="B898" s="17">
        <f>IF(N898&lt;$K$5,$H$5+SQRT(N898*($J$5-$H$5)*($I$5-$H$5)),$J$5-SQRT((1-N898)*($J$5-$H$5)*($J$5-$I$5)))</f>
        <v/>
      </c>
      <c r="C898" s="17">
        <f>IF(O898&lt;$K$6,$H$6+SQRT(O898*($J$6-$H$6)*($I$6-$H$6)),$J$6-SQRT((1-O898)*($J$6-$H$6)*($J$6-$I$6)))</f>
        <v/>
      </c>
      <c r="D898" s="17">
        <f>IF(P898&lt;$K$7,$H$7+SQRT(P898*($J$7-$H$7)*($I$7-$H$7)),$J$7-SQRT((1-P898)*($J$7-$H$7)*($J$7-$I$7)))</f>
        <v/>
      </c>
      <c r="E898" s="17">
        <f>SUM(B898:D898)</f>
        <v/>
      </c>
      <c r="N898" s="16">
        <f>RAND()</f>
        <v/>
      </c>
      <c r="O898" s="16">
        <f>RAND()</f>
        <v/>
      </c>
      <c r="P898" s="16">
        <f>RAND()</f>
        <v/>
      </c>
    </row>
    <row r="899">
      <c r="A899" s="13" t="n">
        <v>895</v>
      </c>
      <c r="B899" s="17">
        <f>IF(N899&lt;$K$5,$H$5+SQRT(N899*($J$5-$H$5)*($I$5-$H$5)),$J$5-SQRT((1-N899)*($J$5-$H$5)*($J$5-$I$5)))</f>
        <v/>
      </c>
      <c r="C899" s="17">
        <f>IF(O899&lt;$K$6,$H$6+SQRT(O899*($J$6-$H$6)*($I$6-$H$6)),$J$6-SQRT((1-O899)*($J$6-$H$6)*($J$6-$I$6)))</f>
        <v/>
      </c>
      <c r="D899" s="17">
        <f>IF(P899&lt;$K$7,$H$7+SQRT(P899*($J$7-$H$7)*($I$7-$H$7)),$J$7-SQRT((1-P899)*($J$7-$H$7)*($J$7-$I$7)))</f>
        <v/>
      </c>
      <c r="E899" s="17">
        <f>SUM(B899:D899)</f>
        <v/>
      </c>
      <c r="N899" s="16">
        <f>RAND()</f>
        <v/>
      </c>
      <c r="O899" s="16">
        <f>RAND()</f>
        <v/>
      </c>
      <c r="P899" s="16">
        <f>RAND()</f>
        <v/>
      </c>
    </row>
    <row r="900">
      <c r="A900" s="13" t="n">
        <v>896</v>
      </c>
      <c r="B900" s="17">
        <f>IF(N900&lt;$K$5,$H$5+SQRT(N900*($J$5-$H$5)*($I$5-$H$5)),$J$5-SQRT((1-N900)*($J$5-$H$5)*($J$5-$I$5)))</f>
        <v/>
      </c>
      <c r="C900" s="17">
        <f>IF(O900&lt;$K$6,$H$6+SQRT(O900*($J$6-$H$6)*($I$6-$H$6)),$J$6-SQRT((1-O900)*($J$6-$H$6)*($J$6-$I$6)))</f>
        <v/>
      </c>
      <c r="D900" s="17">
        <f>IF(P900&lt;$K$7,$H$7+SQRT(P900*($J$7-$H$7)*($I$7-$H$7)),$J$7-SQRT((1-P900)*($J$7-$H$7)*($J$7-$I$7)))</f>
        <v/>
      </c>
      <c r="E900" s="17">
        <f>SUM(B900:D900)</f>
        <v/>
      </c>
      <c r="N900" s="16">
        <f>RAND()</f>
        <v/>
      </c>
      <c r="O900" s="16">
        <f>RAND()</f>
        <v/>
      </c>
      <c r="P900" s="16">
        <f>RAND()</f>
        <v/>
      </c>
    </row>
    <row r="901">
      <c r="A901" s="13" t="n">
        <v>897</v>
      </c>
      <c r="B901" s="17">
        <f>IF(N901&lt;$K$5,$H$5+SQRT(N901*($J$5-$H$5)*($I$5-$H$5)),$J$5-SQRT((1-N901)*($J$5-$H$5)*($J$5-$I$5)))</f>
        <v/>
      </c>
      <c r="C901" s="17">
        <f>IF(O901&lt;$K$6,$H$6+SQRT(O901*($J$6-$H$6)*($I$6-$H$6)),$J$6-SQRT((1-O901)*($J$6-$H$6)*($J$6-$I$6)))</f>
        <v/>
      </c>
      <c r="D901" s="17">
        <f>IF(P901&lt;$K$7,$H$7+SQRT(P901*($J$7-$H$7)*($I$7-$H$7)),$J$7-SQRT((1-P901)*($J$7-$H$7)*($J$7-$I$7)))</f>
        <v/>
      </c>
      <c r="E901" s="17">
        <f>SUM(B901:D901)</f>
        <v/>
      </c>
      <c r="N901" s="16">
        <f>RAND()</f>
        <v/>
      </c>
      <c r="O901" s="16">
        <f>RAND()</f>
        <v/>
      </c>
      <c r="P901" s="16">
        <f>RAND()</f>
        <v/>
      </c>
    </row>
    <row r="902">
      <c r="A902" s="13" t="n">
        <v>898</v>
      </c>
      <c r="B902" s="17">
        <f>IF(N902&lt;$K$5,$H$5+SQRT(N902*($J$5-$H$5)*($I$5-$H$5)),$J$5-SQRT((1-N902)*($J$5-$H$5)*($J$5-$I$5)))</f>
        <v/>
      </c>
      <c r="C902" s="17">
        <f>IF(O902&lt;$K$6,$H$6+SQRT(O902*($J$6-$H$6)*($I$6-$H$6)),$J$6-SQRT((1-O902)*($J$6-$H$6)*($J$6-$I$6)))</f>
        <v/>
      </c>
      <c r="D902" s="17">
        <f>IF(P902&lt;$K$7,$H$7+SQRT(P902*($J$7-$H$7)*($I$7-$H$7)),$J$7-SQRT((1-P902)*($J$7-$H$7)*($J$7-$I$7)))</f>
        <v/>
      </c>
      <c r="E902" s="17">
        <f>SUM(B902:D902)</f>
        <v/>
      </c>
      <c r="N902" s="16">
        <f>RAND()</f>
        <v/>
      </c>
      <c r="O902" s="16">
        <f>RAND()</f>
        <v/>
      </c>
      <c r="P902" s="16">
        <f>RAND()</f>
        <v/>
      </c>
    </row>
    <row r="903">
      <c r="A903" s="13" t="n">
        <v>899</v>
      </c>
      <c r="B903" s="17">
        <f>IF(N903&lt;$K$5,$H$5+SQRT(N903*($J$5-$H$5)*($I$5-$H$5)),$J$5-SQRT((1-N903)*($J$5-$H$5)*($J$5-$I$5)))</f>
        <v/>
      </c>
      <c r="C903" s="17">
        <f>IF(O903&lt;$K$6,$H$6+SQRT(O903*($J$6-$H$6)*($I$6-$H$6)),$J$6-SQRT((1-O903)*($J$6-$H$6)*($J$6-$I$6)))</f>
        <v/>
      </c>
      <c r="D903" s="17">
        <f>IF(P903&lt;$K$7,$H$7+SQRT(P903*($J$7-$H$7)*($I$7-$H$7)),$J$7-SQRT((1-P903)*($J$7-$H$7)*($J$7-$I$7)))</f>
        <v/>
      </c>
      <c r="E903" s="17">
        <f>SUM(B903:D903)</f>
        <v/>
      </c>
      <c r="N903" s="16">
        <f>RAND()</f>
        <v/>
      </c>
      <c r="O903" s="16">
        <f>RAND()</f>
        <v/>
      </c>
      <c r="P903" s="16">
        <f>RAND()</f>
        <v/>
      </c>
    </row>
    <row r="904">
      <c r="A904" s="13" t="n">
        <v>900</v>
      </c>
      <c r="B904" s="17">
        <f>IF(N904&lt;$K$5,$H$5+SQRT(N904*($J$5-$H$5)*($I$5-$H$5)),$J$5-SQRT((1-N904)*($J$5-$H$5)*($J$5-$I$5)))</f>
        <v/>
      </c>
      <c r="C904" s="17">
        <f>IF(O904&lt;$K$6,$H$6+SQRT(O904*($J$6-$H$6)*($I$6-$H$6)),$J$6-SQRT((1-O904)*($J$6-$H$6)*($J$6-$I$6)))</f>
        <v/>
      </c>
      <c r="D904" s="17">
        <f>IF(P904&lt;$K$7,$H$7+SQRT(P904*($J$7-$H$7)*($I$7-$H$7)),$J$7-SQRT((1-P904)*($J$7-$H$7)*($J$7-$I$7)))</f>
        <v/>
      </c>
      <c r="E904" s="17">
        <f>SUM(B904:D904)</f>
        <v/>
      </c>
      <c r="N904" s="16">
        <f>RAND()</f>
        <v/>
      </c>
      <c r="O904" s="16">
        <f>RAND()</f>
        <v/>
      </c>
      <c r="P904" s="16">
        <f>RAND()</f>
        <v/>
      </c>
    </row>
    <row r="905">
      <c r="A905" s="13" t="n">
        <v>901</v>
      </c>
      <c r="B905" s="17">
        <f>IF(N905&lt;$K$5,$H$5+SQRT(N905*($J$5-$H$5)*($I$5-$H$5)),$J$5-SQRT((1-N905)*($J$5-$H$5)*($J$5-$I$5)))</f>
        <v/>
      </c>
      <c r="C905" s="17">
        <f>IF(O905&lt;$K$6,$H$6+SQRT(O905*($J$6-$H$6)*($I$6-$H$6)),$J$6-SQRT((1-O905)*($J$6-$H$6)*($J$6-$I$6)))</f>
        <v/>
      </c>
      <c r="D905" s="17">
        <f>IF(P905&lt;$K$7,$H$7+SQRT(P905*($J$7-$H$7)*($I$7-$H$7)),$J$7-SQRT((1-P905)*($J$7-$H$7)*($J$7-$I$7)))</f>
        <v/>
      </c>
      <c r="E905" s="17">
        <f>SUM(B905:D905)</f>
        <v/>
      </c>
      <c r="N905" s="16">
        <f>RAND()</f>
        <v/>
      </c>
      <c r="O905" s="16">
        <f>RAND()</f>
        <v/>
      </c>
      <c r="P905" s="16">
        <f>RAND()</f>
        <v/>
      </c>
    </row>
    <row r="906">
      <c r="A906" s="13" t="n">
        <v>902</v>
      </c>
      <c r="B906" s="17">
        <f>IF(N906&lt;$K$5,$H$5+SQRT(N906*($J$5-$H$5)*($I$5-$H$5)),$J$5-SQRT((1-N906)*($J$5-$H$5)*($J$5-$I$5)))</f>
        <v/>
      </c>
      <c r="C906" s="17">
        <f>IF(O906&lt;$K$6,$H$6+SQRT(O906*($J$6-$H$6)*($I$6-$H$6)),$J$6-SQRT((1-O906)*($J$6-$H$6)*($J$6-$I$6)))</f>
        <v/>
      </c>
      <c r="D906" s="17">
        <f>IF(P906&lt;$K$7,$H$7+SQRT(P906*($J$7-$H$7)*($I$7-$H$7)),$J$7-SQRT((1-P906)*($J$7-$H$7)*($J$7-$I$7)))</f>
        <v/>
      </c>
      <c r="E906" s="17">
        <f>SUM(B906:D906)</f>
        <v/>
      </c>
      <c r="N906" s="16">
        <f>RAND()</f>
        <v/>
      </c>
      <c r="O906" s="16">
        <f>RAND()</f>
        <v/>
      </c>
      <c r="P906" s="16">
        <f>RAND()</f>
        <v/>
      </c>
    </row>
    <row r="907">
      <c r="A907" s="13" t="n">
        <v>903</v>
      </c>
      <c r="B907" s="17">
        <f>IF(N907&lt;$K$5,$H$5+SQRT(N907*($J$5-$H$5)*($I$5-$H$5)),$J$5-SQRT((1-N907)*($J$5-$H$5)*($J$5-$I$5)))</f>
        <v/>
      </c>
      <c r="C907" s="17">
        <f>IF(O907&lt;$K$6,$H$6+SQRT(O907*($J$6-$H$6)*($I$6-$H$6)),$J$6-SQRT((1-O907)*($J$6-$H$6)*($J$6-$I$6)))</f>
        <v/>
      </c>
      <c r="D907" s="17">
        <f>IF(P907&lt;$K$7,$H$7+SQRT(P907*($J$7-$H$7)*($I$7-$H$7)),$J$7-SQRT((1-P907)*($J$7-$H$7)*($J$7-$I$7)))</f>
        <v/>
      </c>
      <c r="E907" s="17">
        <f>SUM(B907:D907)</f>
        <v/>
      </c>
      <c r="N907" s="16">
        <f>RAND()</f>
        <v/>
      </c>
      <c r="O907" s="16">
        <f>RAND()</f>
        <v/>
      </c>
      <c r="P907" s="16">
        <f>RAND()</f>
        <v/>
      </c>
    </row>
    <row r="908">
      <c r="A908" s="13" t="n">
        <v>904</v>
      </c>
      <c r="B908" s="17">
        <f>IF(N908&lt;$K$5,$H$5+SQRT(N908*($J$5-$H$5)*($I$5-$H$5)),$J$5-SQRT((1-N908)*($J$5-$H$5)*($J$5-$I$5)))</f>
        <v/>
      </c>
      <c r="C908" s="17">
        <f>IF(O908&lt;$K$6,$H$6+SQRT(O908*($J$6-$H$6)*($I$6-$H$6)),$J$6-SQRT((1-O908)*($J$6-$H$6)*($J$6-$I$6)))</f>
        <v/>
      </c>
      <c r="D908" s="17">
        <f>IF(P908&lt;$K$7,$H$7+SQRT(P908*($J$7-$H$7)*($I$7-$H$7)),$J$7-SQRT((1-P908)*($J$7-$H$7)*($J$7-$I$7)))</f>
        <v/>
      </c>
      <c r="E908" s="17">
        <f>SUM(B908:D908)</f>
        <v/>
      </c>
      <c r="N908" s="16">
        <f>RAND()</f>
        <v/>
      </c>
      <c r="O908" s="16">
        <f>RAND()</f>
        <v/>
      </c>
      <c r="P908" s="16">
        <f>RAND()</f>
        <v/>
      </c>
    </row>
    <row r="909">
      <c r="A909" s="13" t="n">
        <v>905</v>
      </c>
      <c r="B909" s="17">
        <f>IF(N909&lt;$K$5,$H$5+SQRT(N909*($J$5-$H$5)*($I$5-$H$5)),$J$5-SQRT((1-N909)*($J$5-$H$5)*($J$5-$I$5)))</f>
        <v/>
      </c>
      <c r="C909" s="17">
        <f>IF(O909&lt;$K$6,$H$6+SQRT(O909*($J$6-$H$6)*($I$6-$H$6)),$J$6-SQRT((1-O909)*($J$6-$H$6)*($J$6-$I$6)))</f>
        <v/>
      </c>
      <c r="D909" s="17">
        <f>IF(P909&lt;$K$7,$H$7+SQRT(P909*($J$7-$H$7)*($I$7-$H$7)),$J$7-SQRT((1-P909)*($J$7-$H$7)*($J$7-$I$7)))</f>
        <v/>
      </c>
      <c r="E909" s="17">
        <f>SUM(B909:D909)</f>
        <v/>
      </c>
      <c r="N909" s="16">
        <f>RAND()</f>
        <v/>
      </c>
      <c r="O909" s="16">
        <f>RAND()</f>
        <v/>
      </c>
      <c r="P909" s="16">
        <f>RAND()</f>
        <v/>
      </c>
    </row>
    <row r="910">
      <c r="A910" s="13" t="n">
        <v>906</v>
      </c>
      <c r="B910" s="17">
        <f>IF(N910&lt;$K$5,$H$5+SQRT(N910*($J$5-$H$5)*($I$5-$H$5)),$J$5-SQRT((1-N910)*($J$5-$H$5)*($J$5-$I$5)))</f>
        <v/>
      </c>
      <c r="C910" s="17">
        <f>IF(O910&lt;$K$6,$H$6+SQRT(O910*($J$6-$H$6)*($I$6-$H$6)),$J$6-SQRT((1-O910)*($J$6-$H$6)*($J$6-$I$6)))</f>
        <v/>
      </c>
      <c r="D910" s="17">
        <f>IF(P910&lt;$K$7,$H$7+SQRT(P910*($J$7-$H$7)*($I$7-$H$7)),$J$7-SQRT((1-P910)*($J$7-$H$7)*($J$7-$I$7)))</f>
        <v/>
      </c>
      <c r="E910" s="17">
        <f>SUM(B910:D910)</f>
        <v/>
      </c>
      <c r="N910" s="16">
        <f>RAND()</f>
        <v/>
      </c>
      <c r="O910" s="16">
        <f>RAND()</f>
        <v/>
      </c>
      <c r="P910" s="16">
        <f>RAND()</f>
        <v/>
      </c>
    </row>
    <row r="911">
      <c r="A911" s="13" t="n">
        <v>907</v>
      </c>
      <c r="B911" s="17">
        <f>IF(N911&lt;$K$5,$H$5+SQRT(N911*($J$5-$H$5)*($I$5-$H$5)),$J$5-SQRT((1-N911)*($J$5-$H$5)*($J$5-$I$5)))</f>
        <v/>
      </c>
      <c r="C911" s="17">
        <f>IF(O911&lt;$K$6,$H$6+SQRT(O911*($J$6-$H$6)*($I$6-$H$6)),$J$6-SQRT((1-O911)*($J$6-$H$6)*($J$6-$I$6)))</f>
        <v/>
      </c>
      <c r="D911" s="17">
        <f>IF(P911&lt;$K$7,$H$7+SQRT(P911*($J$7-$H$7)*($I$7-$H$7)),$J$7-SQRT((1-P911)*($J$7-$H$7)*($J$7-$I$7)))</f>
        <v/>
      </c>
      <c r="E911" s="17">
        <f>SUM(B911:D911)</f>
        <v/>
      </c>
      <c r="N911" s="16">
        <f>RAND()</f>
        <v/>
      </c>
      <c r="O911" s="16">
        <f>RAND()</f>
        <v/>
      </c>
      <c r="P911" s="16">
        <f>RAND()</f>
        <v/>
      </c>
    </row>
    <row r="912">
      <c r="A912" s="13" t="n">
        <v>908</v>
      </c>
      <c r="B912" s="17">
        <f>IF(N912&lt;$K$5,$H$5+SQRT(N912*($J$5-$H$5)*($I$5-$H$5)),$J$5-SQRT((1-N912)*($J$5-$H$5)*($J$5-$I$5)))</f>
        <v/>
      </c>
      <c r="C912" s="17">
        <f>IF(O912&lt;$K$6,$H$6+SQRT(O912*($J$6-$H$6)*($I$6-$H$6)),$J$6-SQRT((1-O912)*($J$6-$H$6)*($J$6-$I$6)))</f>
        <v/>
      </c>
      <c r="D912" s="17">
        <f>IF(P912&lt;$K$7,$H$7+SQRT(P912*($J$7-$H$7)*($I$7-$H$7)),$J$7-SQRT((1-P912)*($J$7-$H$7)*($J$7-$I$7)))</f>
        <v/>
      </c>
      <c r="E912" s="17">
        <f>SUM(B912:D912)</f>
        <v/>
      </c>
      <c r="N912" s="16">
        <f>RAND()</f>
        <v/>
      </c>
      <c r="O912" s="16">
        <f>RAND()</f>
        <v/>
      </c>
      <c r="P912" s="16">
        <f>RAND()</f>
        <v/>
      </c>
    </row>
    <row r="913">
      <c r="A913" s="13" t="n">
        <v>909</v>
      </c>
      <c r="B913" s="17">
        <f>IF(N913&lt;$K$5,$H$5+SQRT(N913*($J$5-$H$5)*($I$5-$H$5)),$J$5-SQRT((1-N913)*($J$5-$H$5)*($J$5-$I$5)))</f>
        <v/>
      </c>
      <c r="C913" s="17">
        <f>IF(O913&lt;$K$6,$H$6+SQRT(O913*($J$6-$H$6)*($I$6-$H$6)),$J$6-SQRT((1-O913)*($J$6-$H$6)*($J$6-$I$6)))</f>
        <v/>
      </c>
      <c r="D913" s="17">
        <f>IF(P913&lt;$K$7,$H$7+SQRT(P913*($J$7-$H$7)*($I$7-$H$7)),$J$7-SQRT((1-P913)*($J$7-$H$7)*($J$7-$I$7)))</f>
        <v/>
      </c>
      <c r="E913" s="17">
        <f>SUM(B913:D913)</f>
        <v/>
      </c>
      <c r="N913" s="16">
        <f>RAND()</f>
        <v/>
      </c>
      <c r="O913" s="16">
        <f>RAND()</f>
        <v/>
      </c>
      <c r="P913" s="16">
        <f>RAND()</f>
        <v/>
      </c>
    </row>
    <row r="914">
      <c r="A914" s="13" t="n">
        <v>910</v>
      </c>
      <c r="B914" s="17">
        <f>IF(N914&lt;$K$5,$H$5+SQRT(N914*($J$5-$H$5)*($I$5-$H$5)),$J$5-SQRT((1-N914)*($J$5-$H$5)*($J$5-$I$5)))</f>
        <v/>
      </c>
      <c r="C914" s="17">
        <f>IF(O914&lt;$K$6,$H$6+SQRT(O914*($J$6-$H$6)*($I$6-$H$6)),$J$6-SQRT((1-O914)*($J$6-$H$6)*($J$6-$I$6)))</f>
        <v/>
      </c>
      <c r="D914" s="17">
        <f>IF(P914&lt;$K$7,$H$7+SQRT(P914*($J$7-$H$7)*($I$7-$H$7)),$J$7-SQRT((1-P914)*($J$7-$H$7)*($J$7-$I$7)))</f>
        <v/>
      </c>
      <c r="E914" s="17">
        <f>SUM(B914:D914)</f>
        <v/>
      </c>
      <c r="N914" s="16">
        <f>RAND()</f>
        <v/>
      </c>
      <c r="O914" s="16">
        <f>RAND()</f>
        <v/>
      </c>
      <c r="P914" s="16">
        <f>RAND()</f>
        <v/>
      </c>
    </row>
    <row r="915">
      <c r="A915" s="13" t="n">
        <v>911</v>
      </c>
      <c r="B915" s="17">
        <f>IF(N915&lt;$K$5,$H$5+SQRT(N915*($J$5-$H$5)*($I$5-$H$5)),$J$5-SQRT((1-N915)*($J$5-$H$5)*($J$5-$I$5)))</f>
        <v/>
      </c>
      <c r="C915" s="17">
        <f>IF(O915&lt;$K$6,$H$6+SQRT(O915*($J$6-$H$6)*($I$6-$H$6)),$J$6-SQRT((1-O915)*($J$6-$H$6)*($J$6-$I$6)))</f>
        <v/>
      </c>
      <c r="D915" s="17">
        <f>IF(P915&lt;$K$7,$H$7+SQRT(P915*($J$7-$H$7)*($I$7-$H$7)),$J$7-SQRT((1-P915)*($J$7-$H$7)*($J$7-$I$7)))</f>
        <v/>
      </c>
      <c r="E915" s="17">
        <f>SUM(B915:D915)</f>
        <v/>
      </c>
      <c r="N915" s="16">
        <f>RAND()</f>
        <v/>
      </c>
      <c r="O915" s="16">
        <f>RAND()</f>
        <v/>
      </c>
      <c r="P915" s="16">
        <f>RAND()</f>
        <v/>
      </c>
    </row>
    <row r="916">
      <c r="A916" s="13" t="n">
        <v>912</v>
      </c>
      <c r="B916" s="17">
        <f>IF(N916&lt;$K$5,$H$5+SQRT(N916*($J$5-$H$5)*($I$5-$H$5)),$J$5-SQRT((1-N916)*($J$5-$H$5)*($J$5-$I$5)))</f>
        <v/>
      </c>
      <c r="C916" s="17">
        <f>IF(O916&lt;$K$6,$H$6+SQRT(O916*($J$6-$H$6)*($I$6-$H$6)),$J$6-SQRT((1-O916)*($J$6-$H$6)*($J$6-$I$6)))</f>
        <v/>
      </c>
      <c r="D916" s="17">
        <f>IF(P916&lt;$K$7,$H$7+SQRT(P916*($J$7-$H$7)*($I$7-$H$7)),$J$7-SQRT((1-P916)*($J$7-$H$7)*($J$7-$I$7)))</f>
        <v/>
      </c>
      <c r="E916" s="17">
        <f>SUM(B916:D916)</f>
        <v/>
      </c>
      <c r="N916" s="16">
        <f>RAND()</f>
        <v/>
      </c>
      <c r="O916" s="16">
        <f>RAND()</f>
        <v/>
      </c>
      <c r="P916" s="16">
        <f>RAND()</f>
        <v/>
      </c>
    </row>
    <row r="917">
      <c r="A917" s="13" t="n">
        <v>913</v>
      </c>
      <c r="B917" s="17">
        <f>IF(N917&lt;$K$5,$H$5+SQRT(N917*($J$5-$H$5)*($I$5-$H$5)),$J$5-SQRT((1-N917)*($J$5-$H$5)*($J$5-$I$5)))</f>
        <v/>
      </c>
      <c r="C917" s="17">
        <f>IF(O917&lt;$K$6,$H$6+SQRT(O917*($J$6-$H$6)*($I$6-$H$6)),$J$6-SQRT((1-O917)*($J$6-$H$6)*($J$6-$I$6)))</f>
        <v/>
      </c>
      <c r="D917" s="17">
        <f>IF(P917&lt;$K$7,$H$7+SQRT(P917*($J$7-$H$7)*($I$7-$H$7)),$J$7-SQRT((1-P917)*($J$7-$H$7)*($J$7-$I$7)))</f>
        <v/>
      </c>
      <c r="E917" s="17">
        <f>SUM(B917:D917)</f>
        <v/>
      </c>
      <c r="N917" s="16">
        <f>RAND()</f>
        <v/>
      </c>
      <c r="O917" s="16">
        <f>RAND()</f>
        <v/>
      </c>
      <c r="P917" s="16">
        <f>RAND()</f>
        <v/>
      </c>
    </row>
    <row r="918">
      <c r="A918" s="13" t="n">
        <v>914</v>
      </c>
      <c r="B918" s="17">
        <f>IF(N918&lt;$K$5,$H$5+SQRT(N918*($J$5-$H$5)*($I$5-$H$5)),$J$5-SQRT((1-N918)*($J$5-$H$5)*($J$5-$I$5)))</f>
        <v/>
      </c>
      <c r="C918" s="17">
        <f>IF(O918&lt;$K$6,$H$6+SQRT(O918*($J$6-$H$6)*($I$6-$H$6)),$J$6-SQRT((1-O918)*($J$6-$H$6)*($J$6-$I$6)))</f>
        <v/>
      </c>
      <c r="D918" s="17">
        <f>IF(P918&lt;$K$7,$H$7+SQRT(P918*($J$7-$H$7)*($I$7-$H$7)),$J$7-SQRT((1-P918)*($J$7-$H$7)*($J$7-$I$7)))</f>
        <v/>
      </c>
      <c r="E918" s="17">
        <f>SUM(B918:D918)</f>
        <v/>
      </c>
      <c r="N918" s="16">
        <f>RAND()</f>
        <v/>
      </c>
      <c r="O918" s="16">
        <f>RAND()</f>
        <v/>
      </c>
      <c r="P918" s="16">
        <f>RAND()</f>
        <v/>
      </c>
    </row>
    <row r="919">
      <c r="A919" s="13" t="n">
        <v>915</v>
      </c>
      <c r="B919" s="17">
        <f>IF(N919&lt;$K$5,$H$5+SQRT(N919*($J$5-$H$5)*($I$5-$H$5)),$J$5-SQRT((1-N919)*($J$5-$H$5)*($J$5-$I$5)))</f>
        <v/>
      </c>
      <c r="C919" s="17">
        <f>IF(O919&lt;$K$6,$H$6+SQRT(O919*($J$6-$H$6)*($I$6-$H$6)),$J$6-SQRT((1-O919)*($J$6-$H$6)*($J$6-$I$6)))</f>
        <v/>
      </c>
      <c r="D919" s="17">
        <f>IF(P919&lt;$K$7,$H$7+SQRT(P919*($J$7-$H$7)*($I$7-$H$7)),$J$7-SQRT((1-P919)*($J$7-$H$7)*($J$7-$I$7)))</f>
        <v/>
      </c>
      <c r="E919" s="17">
        <f>SUM(B919:D919)</f>
        <v/>
      </c>
      <c r="N919" s="16">
        <f>RAND()</f>
        <v/>
      </c>
      <c r="O919" s="16">
        <f>RAND()</f>
        <v/>
      </c>
      <c r="P919" s="16">
        <f>RAND()</f>
        <v/>
      </c>
    </row>
    <row r="920">
      <c r="A920" s="13" t="n">
        <v>916</v>
      </c>
      <c r="B920" s="17">
        <f>IF(N920&lt;$K$5,$H$5+SQRT(N920*($J$5-$H$5)*($I$5-$H$5)),$J$5-SQRT((1-N920)*($J$5-$H$5)*($J$5-$I$5)))</f>
        <v/>
      </c>
      <c r="C920" s="17">
        <f>IF(O920&lt;$K$6,$H$6+SQRT(O920*($J$6-$H$6)*($I$6-$H$6)),$J$6-SQRT((1-O920)*($J$6-$H$6)*($J$6-$I$6)))</f>
        <v/>
      </c>
      <c r="D920" s="17">
        <f>IF(P920&lt;$K$7,$H$7+SQRT(P920*($J$7-$H$7)*($I$7-$H$7)),$J$7-SQRT((1-P920)*($J$7-$H$7)*($J$7-$I$7)))</f>
        <v/>
      </c>
      <c r="E920" s="17">
        <f>SUM(B920:D920)</f>
        <v/>
      </c>
      <c r="N920" s="16">
        <f>RAND()</f>
        <v/>
      </c>
      <c r="O920" s="16">
        <f>RAND()</f>
        <v/>
      </c>
      <c r="P920" s="16">
        <f>RAND()</f>
        <v/>
      </c>
    </row>
    <row r="921">
      <c r="A921" s="13" t="n">
        <v>917</v>
      </c>
      <c r="B921" s="17">
        <f>IF(N921&lt;$K$5,$H$5+SQRT(N921*($J$5-$H$5)*($I$5-$H$5)),$J$5-SQRT((1-N921)*($J$5-$H$5)*($J$5-$I$5)))</f>
        <v/>
      </c>
      <c r="C921" s="17">
        <f>IF(O921&lt;$K$6,$H$6+SQRT(O921*($J$6-$H$6)*($I$6-$H$6)),$J$6-SQRT((1-O921)*($J$6-$H$6)*($J$6-$I$6)))</f>
        <v/>
      </c>
      <c r="D921" s="17">
        <f>IF(P921&lt;$K$7,$H$7+SQRT(P921*($J$7-$H$7)*($I$7-$H$7)),$J$7-SQRT((1-P921)*($J$7-$H$7)*($J$7-$I$7)))</f>
        <v/>
      </c>
      <c r="E921" s="17">
        <f>SUM(B921:D921)</f>
        <v/>
      </c>
      <c r="N921" s="16">
        <f>RAND()</f>
        <v/>
      </c>
      <c r="O921" s="16">
        <f>RAND()</f>
        <v/>
      </c>
      <c r="P921" s="16">
        <f>RAND()</f>
        <v/>
      </c>
    </row>
    <row r="922">
      <c r="A922" s="13" t="n">
        <v>918</v>
      </c>
      <c r="B922" s="17">
        <f>IF(N922&lt;$K$5,$H$5+SQRT(N922*($J$5-$H$5)*($I$5-$H$5)),$J$5-SQRT((1-N922)*($J$5-$H$5)*($J$5-$I$5)))</f>
        <v/>
      </c>
      <c r="C922" s="17">
        <f>IF(O922&lt;$K$6,$H$6+SQRT(O922*($J$6-$H$6)*($I$6-$H$6)),$J$6-SQRT((1-O922)*($J$6-$H$6)*($J$6-$I$6)))</f>
        <v/>
      </c>
      <c r="D922" s="17">
        <f>IF(P922&lt;$K$7,$H$7+SQRT(P922*($J$7-$H$7)*($I$7-$H$7)),$J$7-SQRT((1-P922)*($J$7-$H$7)*($J$7-$I$7)))</f>
        <v/>
      </c>
      <c r="E922" s="17">
        <f>SUM(B922:D922)</f>
        <v/>
      </c>
      <c r="N922" s="16">
        <f>RAND()</f>
        <v/>
      </c>
      <c r="O922" s="16">
        <f>RAND()</f>
        <v/>
      </c>
      <c r="P922" s="16">
        <f>RAND()</f>
        <v/>
      </c>
    </row>
    <row r="923">
      <c r="A923" s="13" t="n">
        <v>919</v>
      </c>
      <c r="B923" s="17">
        <f>IF(N923&lt;$K$5,$H$5+SQRT(N923*($J$5-$H$5)*($I$5-$H$5)),$J$5-SQRT((1-N923)*($J$5-$H$5)*($J$5-$I$5)))</f>
        <v/>
      </c>
      <c r="C923" s="17">
        <f>IF(O923&lt;$K$6,$H$6+SQRT(O923*($J$6-$H$6)*($I$6-$H$6)),$J$6-SQRT((1-O923)*($J$6-$H$6)*($J$6-$I$6)))</f>
        <v/>
      </c>
      <c r="D923" s="17">
        <f>IF(P923&lt;$K$7,$H$7+SQRT(P923*($J$7-$H$7)*($I$7-$H$7)),$J$7-SQRT((1-P923)*($J$7-$H$7)*($J$7-$I$7)))</f>
        <v/>
      </c>
      <c r="E923" s="17">
        <f>SUM(B923:D923)</f>
        <v/>
      </c>
      <c r="N923" s="16">
        <f>RAND()</f>
        <v/>
      </c>
      <c r="O923" s="16">
        <f>RAND()</f>
        <v/>
      </c>
      <c r="P923" s="16">
        <f>RAND()</f>
        <v/>
      </c>
    </row>
    <row r="924">
      <c r="A924" s="13" t="n">
        <v>920</v>
      </c>
      <c r="B924" s="17">
        <f>IF(N924&lt;$K$5,$H$5+SQRT(N924*($J$5-$H$5)*($I$5-$H$5)),$J$5-SQRT((1-N924)*($J$5-$H$5)*($J$5-$I$5)))</f>
        <v/>
      </c>
      <c r="C924" s="17">
        <f>IF(O924&lt;$K$6,$H$6+SQRT(O924*($J$6-$H$6)*($I$6-$H$6)),$J$6-SQRT((1-O924)*($J$6-$H$6)*($J$6-$I$6)))</f>
        <v/>
      </c>
      <c r="D924" s="17">
        <f>IF(P924&lt;$K$7,$H$7+SQRT(P924*($J$7-$H$7)*($I$7-$H$7)),$J$7-SQRT((1-P924)*($J$7-$H$7)*($J$7-$I$7)))</f>
        <v/>
      </c>
      <c r="E924" s="17">
        <f>SUM(B924:D924)</f>
        <v/>
      </c>
      <c r="N924" s="16">
        <f>RAND()</f>
        <v/>
      </c>
      <c r="O924" s="16">
        <f>RAND()</f>
        <v/>
      </c>
      <c r="P924" s="16">
        <f>RAND()</f>
        <v/>
      </c>
    </row>
    <row r="925">
      <c r="A925" s="13" t="n">
        <v>921</v>
      </c>
      <c r="B925" s="17">
        <f>IF(N925&lt;$K$5,$H$5+SQRT(N925*($J$5-$H$5)*($I$5-$H$5)),$J$5-SQRT((1-N925)*($J$5-$H$5)*($J$5-$I$5)))</f>
        <v/>
      </c>
      <c r="C925" s="17">
        <f>IF(O925&lt;$K$6,$H$6+SQRT(O925*($J$6-$H$6)*($I$6-$H$6)),$J$6-SQRT((1-O925)*($J$6-$H$6)*($J$6-$I$6)))</f>
        <v/>
      </c>
      <c r="D925" s="17">
        <f>IF(P925&lt;$K$7,$H$7+SQRT(P925*($J$7-$H$7)*($I$7-$H$7)),$J$7-SQRT((1-P925)*($J$7-$H$7)*($J$7-$I$7)))</f>
        <v/>
      </c>
      <c r="E925" s="17">
        <f>SUM(B925:D925)</f>
        <v/>
      </c>
      <c r="N925" s="16">
        <f>RAND()</f>
        <v/>
      </c>
      <c r="O925" s="16">
        <f>RAND()</f>
        <v/>
      </c>
      <c r="P925" s="16">
        <f>RAND()</f>
        <v/>
      </c>
    </row>
    <row r="926">
      <c r="A926" s="13" t="n">
        <v>922</v>
      </c>
      <c r="B926" s="17">
        <f>IF(N926&lt;$K$5,$H$5+SQRT(N926*($J$5-$H$5)*($I$5-$H$5)),$J$5-SQRT((1-N926)*($J$5-$H$5)*($J$5-$I$5)))</f>
        <v/>
      </c>
      <c r="C926" s="17">
        <f>IF(O926&lt;$K$6,$H$6+SQRT(O926*($J$6-$H$6)*($I$6-$H$6)),$J$6-SQRT((1-O926)*($J$6-$H$6)*($J$6-$I$6)))</f>
        <v/>
      </c>
      <c r="D926" s="17">
        <f>IF(P926&lt;$K$7,$H$7+SQRT(P926*($J$7-$H$7)*($I$7-$H$7)),$J$7-SQRT((1-P926)*($J$7-$H$7)*($J$7-$I$7)))</f>
        <v/>
      </c>
      <c r="E926" s="17">
        <f>SUM(B926:D926)</f>
        <v/>
      </c>
      <c r="N926" s="16">
        <f>RAND()</f>
        <v/>
      </c>
      <c r="O926" s="16">
        <f>RAND()</f>
        <v/>
      </c>
      <c r="P926" s="16">
        <f>RAND()</f>
        <v/>
      </c>
    </row>
    <row r="927">
      <c r="A927" s="13" t="n">
        <v>923</v>
      </c>
      <c r="B927" s="17">
        <f>IF(N927&lt;$K$5,$H$5+SQRT(N927*($J$5-$H$5)*($I$5-$H$5)),$J$5-SQRT((1-N927)*($J$5-$H$5)*($J$5-$I$5)))</f>
        <v/>
      </c>
      <c r="C927" s="17">
        <f>IF(O927&lt;$K$6,$H$6+SQRT(O927*($J$6-$H$6)*($I$6-$H$6)),$J$6-SQRT((1-O927)*($J$6-$H$6)*($J$6-$I$6)))</f>
        <v/>
      </c>
      <c r="D927" s="17">
        <f>IF(P927&lt;$K$7,$H$7+SQRT(P927*($J$7-$H$7)*($I$7-$H$7)),$J$7-SQRT((1-P927)*($J$7-$H$7)*($J$7-$I$7)))</f>
        <v/>
      </c>
      <c r="E927" s="17">
        <f>SUM(B927:D927)</f>
        <v/>
      </c>
      <c r="N927" s="16">
        <f>RAND()</f>
        <v/>
      </c>
      <c r="O927" s="16">
        <f>RAND()</f>
        <v/>
      </c>
      <c r="P927" s="16">
        <f>RAND()</f>
        <v/>
      </c>
    </row>
    <row r="928">
      <c r="A928" s="13" t="n">
        <v>924</v>
      </c>
      <c r="B928" s="17">
        <f>IF(N928&lt;$K$5,$H$5+SQRT(N928*($J$5-$H$5)*($I$5-$H$5)),$J$5-SQRT((1-N928)*($J$5-$H$5)*($J$5-$I$5)))</f>
        <v/>
      </c>
      <c r="C928" s="17">
        <f>IF(O928&lt;$K$6,$H$6+SQRT(O928*($J$6-$H$6)*($I$6-$H$6)),$J$6-SQRT((1-O928)*($J$6-$H$6)*($J$6-$I$6)))</f>
        <v/>
      </c>
      <c r="D928" s="17">
        <f>IF(P928&lt;$K$7,$H$7+SQRT(P928*($J$7-$H$7)*($I$7-$H$7)),$J$7-SQRT((1-P928)*($J$7-$H$7)*($J$7-$I$7)))</f>
        <v/>
      </c>
      <c r="E928" s="17">
        <f>SUM(B928:D928)</f>
        <v/>
      </c>
      <c r="N928" s="16">
        <f>RAND()</f>
        <v/>
      </c>
      <c r="O928" s="16">
        <f>RAND()</f>
        <v/>
      </c>
      <c r="P928" s="16">
        <f>RAND()</f>
        <v/>
      </c>
    </row>
    <row r="929">
      <c r="A929" s="13" t="n">
        <v>925</v>
      </c>
      <c r="B929" s="17">
        <f>IF(N929&lt;$K$5,$H$5+SQRT(N929*($J$5-$H$5)*($I$5-$H$5)),$J$5-SQRT((1-N929)*($J$5-$H$5)*($J$5-$I$5)))</f>
        <v/>
      </c>
      <c r="C929" s="17">
        <f>IF(O929&lt;$K$6,$H$6+SQRT(O929*($J$6-$H$6)*($I$6-$H$6)),$J$6-SQRT((1-O929)*($J$6-$H$6)*($J$6-$I$6)))</f>
        <v/>
      </c>
      <c r="D929" s="17">
        <f>IF(P929&lt;$K$7,$H$7+SQRT(P929*($J$7-$H$7)*($I$7-$H$7)),$J$7-SQRT((1-P929)*($J$7-$H$7)*($J$7-$I$7)))</f>
        <v/>
      </c>
      <c r="E929" s="17">
        <f>SUM(B929:D929)</f>
        <v/>
      </c>
      <c r="N929" s="16">
        <f>RAND()</f>
        <v/>
      </c>
      <c r="O929" s="16">
        <f>RAND()</f>
        <v/>
      </c>
      <c r="P929" s="16">
        <f>RAND()</f>
        <v/>
      </c>
    </row>
    <row r="930">
      <c r="A930" s="13" t="n">
        <v>926</v>
      </c>
      <c r="B930" s="17">
        <f>IF(N930&lt;$K$5,$H$5+SQRT(N930*($J$5-$H$5)*($I$5-$H$5)),$J$5-SQRT((1-N930)*($J$5-$H$5)*($J$5-$I$5)))</f>
        <v/>
      </c>
      <c r="C930" s="17">
        <f>IF(O930&lt;$K$6,$H$6+SQRT(O930*($J$6-$H$6)*($I$6-$H$6)),$J$6-SQRT((1-O930)*($J$6-$H$6)*($J$6-$I$6)))</f>
        <v/>
      </c>
      <c r="D930" s="17">
        <f>IF(P930&lt;$K$7,$H$7+SQRT(P930*($J$7-$H$7)*($I$7-$H$7)),$J$7-SQRT((1-P930)*($J$7-$H$7)*($J$7-$I$7)))</f>
        <v/>
      </c>
      <c r="E930" s="17">
        <f>SUM(B930:D930)</f>
        <v/>
      </c>
      <c r="N930" s="16">
        <f>RAND()</f>
        <v/>
      </c>
      <c r="O930" s="16">
        <f>RAND()</f>
        <v/>
      </c>
      <c r="P930" s="16">
        <f>RAND()</f>
        <v/>
      </c>
    </row>
    <row r="931">
      <c r="A931" s="13" t="n">
        <v>927</v>
      </c>
      <c r="B931" s="17">
        <f>IF(N931&lt;$K$5,$H$5+SQRT(N931*($J$5-$H$5)*($I$5-$H$5)),$J$5-SQRT((1-N931)*($J$5-$H$5)*($J$5-$I$5)))</f>
        <v/>
      </c>
      <c r="C931" s="17">
        <f>IF(O931&lt;$K$6,$H$6+SQRT(O931*($J$6-$H$6)*($I$6-$H$6)),$J$6-SQRT((1-O931)*($J$6-$H$6)*($J$6-$I$6)))</f>
        <v/>
      </c>
      <c r="D931" s="17">
        <f>IF(P931&lt;$K$7,$H$7+SQRT(P931*($J$7-$H$7)*($I$7-$H$7)),$J$7-SQRT((1-P931)*($J$7-$H$7)*($J$7-$I$7)))</f>
        <v/>
      </c>
      <c r="E931" s="17">
        <f>SUM(B931:D931)</f>
        <v/>
      </c>
      <c r="N931" s="16">
        <f>RAND()</f>
        <v/>
      </c>
      <c r="O931" s="16">
        <f>RAND()</f>
        <v/>
      </c>
      <c r="P931" s="16">
        <f>RAND()</f>
        <v/>
      </c>
    </row>
    <row r="932">
      <c r="A932" s="13" t="n">
        <v>928</v>
      </c>
      <c r="B932" s="17">
        <f>IF(N932&lt;$K$5,$H$5+SQRT(N932*($J$5-$H$5)*($I$5-$H$5)),$J$5-SQRT((1-N932)*($J$5-$H$5)*($J$5-$I$5)))</f>
        <v/>
      </c>
      <c r="C932" s="17">
        <f>IF(O932&lt;$K$6,$H$6+SQRT(O932*($J$6-$H$6)*($I$6-$H$6)),$J$6-SQRT((1-O932)*($J$6-$H$6)*($J$6-$I$6)))</f>
        <v/>
      </c>
      <c r="D932" s="17">
        <f>IF(P932&lt;$K$7,$H$7+SQRT(P932*($J$7-$H$7)*($I$7-$H$7)),$J$7-SQRT((1-P932)*($J$7-$H$7)*($J$7-$I$7)))</f>
        <v/>
      </c>
      <c r="E932" s="17">
        <f>SUM(B932:D932)</f>
        <v/>
      </c>
      <c r="N932" s="16">
        <f>RAND()</f>
        <v/>
      </c>
      <c r="O932" s="16">
        <f>RAND()</f>
        <v/>
      </c>
      <c r="P932" s="16">
        <f>RAND()</f>
        <v/>
      </c>
    </row>
    <row r="933">
      <c r="A933" s="13" t="n">
        <v>929</v>
      </c>
      <c r="B933" s="17">
        <f>IF(N933&lt;$K$5,$H$5+SQRT(N933*($J$5-$H$5)*($I$5-$H$5)),$J$5-SQRT((1-N933)*($J$5-$H$5)*($J$5-$I$5)))</f>
        <v/>
      </c>
      <c r="C933" s="17">
        <f>IF(O933&lt;$K$6,$H$6+SQRT(O933*($J$6-$H$6)*($I$6-$H$6)),$J$6-SQRT((1-O933)*($J$6-$H$6)*($J$6-$I$6)))</f>
        <v/>
      </c>
      <c r="D933" s="17">
        <f>IF(P933&lt;$K$7,$H$7+SQRT(P933*($J$7-$H$7)*($I$7-$H$7)),$J$7-SQRT((1-P933)*($J$7-$H$7)*($J$7-$I$7)))</f>
        <v/>
      </c>
      <c r="E933" s="17">
        <f>SUM(B933:D933)</f>
        <v/>
      </c>
      <c r="N933" s="16">
        <f>RAND()</f>
        <v/>
      </c>
      <c r="O933" s="16">
        <f>RAND()</f>
        <v/>
      </c>
      <c r="P933" s="16">
        <f>RAND()</f>
        <v/>
      </c>
    </row>
    <row r="934">
      <c r="A934" s="13" t="n">
        <v>930</v>
      </c>
      <c r="B934" s="17">
        <f>IF(N934&lt;$K$5,$H$5+SQRT(N934*($J$5-$H$5)*($I$5-$H$5)),$J$5-SQRT((1-N934)*($J$5-$H$5)*($J$5-$I$5)))</f>
        <v/>
      </c>
      <c r="C934" s="17">
        <f>IF(O934&lt;$K$6,$H$6+SQRT(O934*($J$6-$H$6)*($I$6-$H$6)),$J$6-SQRT((1-O934)*($J$6-$H$6)*($J$6-$I$6)))</f>
        <v/>
      </c>
      <c r="D934" s="17">
        <f>IF(P934&lt;$K$7,$H$7+SQRT(P934*($J$7-$H$7)*($I$7-$H$7)),$J$7-SQRT((1-P934)*($J$7-$H$7)*($J$7-$I$7)))</f>
        <v/>
      </c>
      <c r="E934" s="17">
        <f>SUM(B934:D934)</f>
        <v/>
      </c>
      <c r="N934" s="16">
        <f>RAND()</f>
        <v/>
      </c>
      <c r="O934" s="16">
        <f>RAND()</f>
        <v/>
      </c>
      <c r="P934" s="16">
        <f>RAND()</f>
        <v/>
      </c>
    </row>
    <row r="935">
      <c r="A935" s="13" t="n">
        <v>931</v>
      </c>
      <c r="B935" s="17">
        <f>IF(N935&lt;$K$5,$H$5+SQRT(N935*($J$5-$H$5)*($I$5-$H$5)),$J$5-SQRT((1-N935)*($J$5-$H$5)*($J$5-$I$5)))</f>
        <v/>
      </c>
      <c r="C935" s="17">
        <f>IF(O935&lt;$K$6,$H$6+SQRT(O935*($J$6-$H$6)*($I$6-$H$6)),$J$6-SQRT((1-O935)*($J$6-$H$6)*($J$6-$I$6)))</f>
        <v/>
      </c>
      <c r="D935" s="17">
        <f>IF(P935&lt;$K$7,$H$7+SQRT(P935*($J$7-$H$7)*($I$7-$H$7)),$J$7-SQRT((1-P935)*($J$7-$H$7)*($J$7-$I$7)))</f>
        <v/>
      </c>
      <c r="E935" s="17">
        <f>SUM(B935:D935)</f>
        <v/>
      </c>
      <c r="N935" s="16">
        <f>RAND()</f>
        <v/>
      </c>
      <c r="O935" s="16">
        <f>RAND()</f>
        <v/>
      </c>
      <c r="P935" s="16">
        <f>RAND()</f>
        <v/>
      </c>
    </row>
    <row r="936">
      <c r="A936" s="13" t="n">
        <v>932</v>
      </c>
      <c r="B936" s="17">
        <f>IF(N936&lt;$K$5,$H$5+SQRT(N936*($J$5-$H$5)*($I$5-$H$5)),$J$5-SQRT((1-N936)*($J$5-$H$5)*($J$5-$I$5)))</f>
        <v/>
      </c>
      <c r="C936" s="17">
        <f>IF(O936&lt;$K$6,$H$6+SQRT(O936*($J$6-$H$6)*($I$6-$H$6)),$J$6-SQRT((1-O936)*($J$6-$H$6)*($J$6-$I$6)))</f>
        <v/>
      </c>
      <c r="D936" s="17">
        <f>IF(P936&lt;$K$7,$H$7+SQRT(P936*($J$7-$H$7)*($I$7-$H$7)),$J$7-SQRT((1-P936)*($J$7-$H$7)*($J$7-$I$7)))</f>
        <v/>
      </c>
      <c r="E936" s="17">
        <f>SUM(B936:D936)</f>
        <v/>
      </c>
      <c r="N936" s="16">
        <f>RAND()</f>
        <v/>
      </c>
      <c r="O936" s="16">
        <f>RAND()</f>
        <v/>
      </c>
      <c r="P936" s="16">
        <f>RAND()</f>
        <v/>
      </c>
    </row>
    <row r="937">
      <c r="A937" s="13" t="n">
        <v>933</v>
      </c>
      <c r="B937" s="17">
        <f>IF(N937&lt;$K$5,$H$5+SQRT(N937*($J$5-$H$5)*($I$5-$H$5)),$J$5-SQRT((1-N937)*($J$5-$H$5)*($J$5-$I$5)))</f>
        <v/>
      </c>
      <c r="C937" s="17">
        <f>IF(O937&lt;$K$6,$H$6+SQRT(O937*($J$6-$H$6)*($I$6-$H$6)),$J$6-SQRT((1-O937)*($J$6-$H$6)*($J$6-$I$6)))</f>
        <v/>
      </c>
      <c r="D937" s="17">
        <f>IF(P937&lt;$K$7,$H$7+SQRT(P937*($J$7-$H$7)*($I$7-$H$7)),$J$7-SQRT((1-P937)*($J$7-$H$7)*($J$7-$I$7)))</f>
        <v/>
      </c>
      <c r="E937" s="17">
        <f>SUM(B937:D937)</f>
        <v/>
      </c>
      <c r="N937" s="16">
        <f>RAND()</f>
        <v/>
      </c>
      <c r="O937" s="16">
        <f>RAND()</f>
        <v/>
      </c>
      <c r="P937" s="16">
        <f>RAND()</f>
        <v/>
      </c>
    </row>
    <row r="938">
      <c r="A938" s="13" t="n">
        <v>934</v>
      </c>
      <c r="B938" s="17">
        <f>IF(N938&lt;$K$5,$H$5+SQRT(N938*($J$5-$H$5)*($I$5-$H$5)),$J$5-SQRT((1-N938)*($J$5-$H$5)*($J$5-$I$5)))</f>
        <v/>
      </c>
      <c r="C938" s="17">
        <f>IF(O938&lt;$K$6,$H$6+SQRT(O938*($J$6-$H$6)*($I$6-$H$6)),$J$6-SQRT((1-O938)*($J$6-$H$6)*($J$6-$I$6)))</f>
        <v/>
      </c>
      <c r="D938" s="17">
        <f>IF(P938&lt;$K$7,$H$7+SQRT(P938*($J$7-$H$7)*($I$7-$H$7)),$J$7-SQRT((1-P938)*($J$7-$H$7)*($J$7-$I$7)))</f>
        <v/>
      </c>
      <c r="E938" s="17">
        <f>SUM(B938:D938)</f>
        <v/>
      </c>
      <c r="N938" s="16">
        <f>RAND()</f>
        <v/>
      </c>
      <c r="O938" s="16">
        <f>RAND()</f>
        <v/>
      </c>
      <c r="P938" s="16">
        <f>RAND()</f>
        <v/>
      </c>
    </row>
    <row r="939">
      <c r="A939" s="13" t="n">
        <v>935</v>
      </c>
      <c r="B939" s="17">
        <f>IF(N939&lt;$K$5,$H$5+SQRT(N939*($J$5-$H$5)*($I$5-$H$5)),$J$5-SQRT((1-N939)*($J$5-$H$5)*($J$5-$I$5)))</f>
        <v/>
      </c>
      <c r="C939" s="17">
        <f>IF(O939&lt;$K$6,$H$6+SQRT(O939*($J$6-$H$6)*($I$6-$H$6)),$J$6-SQRT((1-O939)*($J$6-$H$6)*($J$6-$I$6)))</f>
        <v/>
      </c>
      <c r="D939" s="17">
        <f>IF(P939&lt;$K$7,$H$7+SQRT(P939*($J$7-$H$7)*($I$7-$H$7)),$J$7-SQRT((1-P939)*($J$7-$H$7)*($J$7-$I$7)))</f>
        <v/>
      </c>
      <c r="E939" s="17">
        <f>SUM(B939:D939)</f>
        <v/>
      </c>
      <c r="N939" s="16">
        <f>RAND()</f>
        <v/>
      </c>
      <c r="O939" s="16">
        <f>RAND()</f>
        <v/>
      </c>
      <c r="P939" s="16">
        <f>RAND()</f>
        <v/>
      </c>
    </row>
    <row r="940">
      <c r="A940" s="13" t="n">
        <v>936</v>
      </c>
      <c r="B940" s="17">
        <f>IF(N940&lt;$K$5,$H$5+SQRT(N940*($J$5-$H$5)*($I$5-$H$5)),$J$5-SQRT((1-N940)*($J$5-$H$5)*($J$5-$I$5)))</f>
        <v/>
      </c>
      <c r="C940" s="17">
        <f>IF(O940&lt;$K$6,$H$6+SQRT(O940*($J$6-$H$6)*($I$6-$H$6)),$J$6-SQRT((1-O940)*($J$6-$H$6)*($J$6-$I$6)))</f>
        <v/>
      </c>
      <c r="D940" s="17">
        <f>IF(P940&lt;$K$7,$H$7+SQRT(P940*($J$7-$H$7)*($I$7-$H$7)),$J$7-SQRT((1-P940)*($J$7-$H$7)*($J$7-$I$7)))</f>
        <v/>
      </c>
      <c r="E940" s="17">
        <f>SUM(B940:D940)</f>
        <v/>
      </c>
      <c r="N940" s="16">
        <f>RAND()</f>
        <v/>
      </c>
      <c r="O940" s="16">
        <f>RAND()</f>
        <v/>
      </c>
      <c r="P940" s="16">
        <f>RAND()</f>
        <v/>
      </c>
    </row>
    <row r="941">
      <c r="A941" s="13" t="n">
        <v>937</v>
      </c>
      <c r="B941" s="17">
        <f>IF(N941&lt;$K$5,$H$5+SQRT(N941*($J$5-$H$5)*($I$5-$H$5)),$J$5-SQRT((1-N941)*($J$5-$H$5)*($J$5-$I$5)))</f>
        <v/>
      </c>
      <c r="C941" s="17">
        <f>IF(O941&lt;$K$6,$H$6+SQRT(O941*($J$6-$H$6)*($I$6-$H$6)),$J$6-SQRT((1-O941)*($J$6-$H$6)*($J$6-$I$6)))</f>
        <v/>
      </c>
      <c r="D941" s="17">
        <f>IF(P941&lt;$K$7,$H$7+SQRT(P941*($J$7-$H$7)*($I$7-$H$7)),$J$7-SQRT((1-P941)*($J$7-$H$7)*($J$7-$I$7)))</f>
        <v/>
      </c>
      <c r="E941" s="17">
        <f>SUM(B941:D941)</f>
        <v/>
      </c>
      <c r="N941" s="16">
        <f>RAND()</f>
        <v/>
      </c>
      <c r="O941" s="16">
        <f>RAND()</f>
        <v/>
      </c>
      <c r="P941" s="16">
        <f>RAND()</f>
        <v/>
      </c>
    </row>
    <row r="942">
      <c r="A942" s="13" t="n">
        <v>938</v>
      </c>
      <c r="B942" s="17">
        <f>IF(N942&lt;$K$5,$H$5+SQRT(N942*($J$5-$H$5)*($I$5-$H$5)),$J$5-SQRT((1-N942)*($J$5-$H$5)*($J$5-$I$5)))</f>
        <v/>
      </c>
      <c r="C942" s="17">
        <f>IF(O942&lt;$K$6,$H$6+SQRT(O942*($J$6-$H$6)*($I$6-$H$6)),$J$6-SQRT((1-O942)*($J$6-$H$6)*($J$6-$I$6)))</f>
        <v/>
      </c>
      <c r="D942" s="17">
        <f>IF(P942&lt;$K$7,$H$7+SQRT(P942*($J$7-$H$7)*($I$7-$H$7)),$J$7-SQRT((1-P942)*($J$7-$H$7)*($J$7-$I$7)))</f>
        <v/>
      </c>
      <c r="E942" s="17">
        <f>SUM(B942:D942)</f>
        <v/>
      </c>
      <c r="N942" s="16">
        <f>RAND()</f>
        <v/>
      </c>
      <c r="O942" s="16">
        <f>RAND()</f>
        <v/>
      </c>
      <c r="P942" s="16">
        <f>RAND()</f>
        <v/>
      </c>
    </row>
    <row r="943">
      <c r="A943" s="13" t="n">
        <v>939</v>
      </c>
      <c r="B943" s="17">
        <f>IF(N943&lt;$K$5,$H$5+SQRT(N943*($J$5-$H$5)*($I$5-$H$5)),$J$5-SQRT((1-N943)*($J$5-$H$5)*($J$5-$I$5)))</f>
        <v/>
      </c>
      <c r="C943" s="17">
        <f>IF(O943&lt;$K$6,$H$6+SQRT(O943*($J$6-$H$6)*($I$6-$H$6)),$J$6-SQRT((1-O943)*($J$6-$H$6)*($J$6-$I$6)))</f>
        <v/>
      </c>
      <c r="D943" s="17">
        <f>IF(P943&lt;$K$7,$H$7+SQRT(P943*($J$7-$H$7)*($I$7-$H$7)),$J$7-SQRT((1-P943)*($J$7-$H$7)*($J$7-$I$7)))</f>
        <v/>
      </c>
      <c r="E943" s="17">
        <f>SUM(B943:D943)</f>
        <v/>
      </c>
      <c r="N943" s="16">
        <f>RAND()</f>
        <v/>
      </c>
      <c r="O943" s="16">
        <f>RAND()</f>
        <v/>
      </c>
      <c r="P943" s="16">
        <f>RAND()</f>
        <v/>
      </c>
    </row>
    <row r="944">
      <c r="A944" s="13" t="n">
        <v>940</v>
      </c>
      <c r="B944" s="17">
        <f>IF(N944&lt;$K$5,$H$5+SQRT(N944*($J$5-$H$5)*($I$5-$H$5)),$J$5-SQRT((1-N944)*($J$5-$H$5)*($J$5-$I$5)))</f>
        <v/>
      </c>
      <c r="C944" s="17">
        <f>IF(O944&lt;$K$6,$H$6+SQRT(O944*($J$6-$H$6)*($I$6-$H$6)),$J$6-SQRT((1-O944)*($J$6-$H$6)*($J$6-$I$6)))</f>
        <v/>
      </c>
      <c r="D944" s="17">
        <f>IF(P944&lt;$K$7,$H$7+SQRT(P944*($J$7-$H$7)*($I$7-$H$7)),$J$7-SQRT((1-P944)*($J$7-$H$7)*($J$7-$I$7)))</f>
        <v/>
      </c>
      <c r="E944" s="17">
        <f>SUM(B944:D944)</f>
        <v/>
      </c>
      <c r="N944" s="16">
        <f>RAND()</f>
        <v/>
      </c>
      <c r="O944" s="16">
        <f>RAND()</f>
        <v/>
      </c>
      <c r="P944" s="16">
        <f>RAND()</f>
        <v/>
      </c>
    </row>
    <row r="945">
      <c r="A945" s="13" t="n">
        <v>941</v>
      </c>
      <c r="B945" s="17">
        <f>IF(N945&lt;$K$5,$H$5+SQRT(N945*($J$5-$H$5)*($I$5-$H$5)),$J$5-SQRT((1-N945)*($J$5-$H$5)*($J$5-$I$5)))</f>
        <v/>
      </c>
      <c r="C945" s="17">
        <f>IF(O945&lt;$K$6,$H$6+SQRT(O945*($J$6-$H$6)*($I$6-$H$6)),$J$6-SQRT((1-O945)*($J$6-$H$6)*($J$6-$I$6)))</f>
        <v/>
      </c>
      <c r="D945" s="17">
        <f>IF(P945&lt;$K$7,$H$7+SQRT(P945*($J$7-$H$7)*($I$7-$H$7)),$J$7-SQRT((1-P945)*($J$7-$H$7)*($J$7-$I$7)))</f>
        <v/>
      </c>
      <c r="E945" s="17">
        <f>SUM(B945:D945)</f>
        <v/>
      </c>
      <c r="N945" s="16">
        <f>RAND()</f>
        <v/>
      </c>
      <c r="O945" s="16">
        <f>RAND()</f>
        <v/>
      </c>
      <c r="P945" s="16">
        <f>RAND()</f>
        <v/>
      </c>
    </row>
    <row r="946">
      <c r="A946" s="13" t="n">
        <v>942</v>
      </c>
      <c r="B946" s="17">
        <f>IF(N946&lt;$K$5,$H$5+SQRT(N946*($J$5-$H$5)*($I$5-$H$5)),$J$5-SQRT((1-N946)*($J$5-$H$5)*($J$5-$I$5)))</f>
        <v/>
      </c>
      <c r="C946" s="17">
        <f>IF(O946&lt;$K$6,$H$6+SQRT(O946*($J$6-$H$6)*($I$6-$H$6)),$J$6-SQRT((1-O946)*($J$6-$H$6)*($J$6-$I$6)))</f>
        <v/>
      </c>
      <c r="D946" s="17">
        <f>IF(P946&lt;$K$7,$H$7+SQRT(P946*($J$7-$H$7)*($I$7-$H$7)),$J$7-SQRT((1-P946)*($J$7-$H$7)*($J$7-$I$7)))</f>
        <v/>
      </c>
      <c r="E946" s="17">
        <f>SUM(B946:D946)</f>
        <v/>
      </c>
      <c r="N946" s="16">
        <f>RAND()</f>
        <v/>
      </c>
      <c r="O946" s="16">
        <f>RAND()</f>
        <v/>
      </c>
      <c r="P946" s="16">
        <f>RAND()</f>
        <v/>
      </c>
    </row>
    <row r="947">
      <c r="A947" s="13" t="n">
        <v>943</v>
      </c>
      <c r="B947" s="17">
        <f>IF(N947&lt;$K$5,$H$5+SQRT(N947*($J$5-$H$5)*($I$5-$H$5)),$J$5-SQRT((1-N947)*($J$5-$H$5)*($J$5-$I$5)))</f>
        <v/>
      </c>
      <c r="C947" s="17">
        <f>IF(O947&lt;$K$6,$H$6+SQRT(O947*($J$6-$H$6)*($I$6-$H$6)),$J$6-SQRT((1-O947)*($J$6-$H$6)*($J$6-$I$6)))</f>
        <v/>
      </c>
      <c r="D947" s="17">
        <f>IF(P947&lt;$K$7,$H$7+SQRT(P947*($J$7-$H$7)*($I$7-$H$7)),$J$7-SQRT((1-P947)*($J$7-$H$7)*($J$7-$I$7)))</f>
        <v/>
      </c>
      <c r="E947" s="17">
        <f>SUM(B947:D947)</f>
        <v/>
      </c>
      <c r="N947" s="16">
        <f>RAND()</f>
        <v/>
      </c>
      <c r="O947" s="16">
        <f>RAND()</f>
        <v/>
      </c>
      <c r="P947" s="16">
        <f>RAND()</f>
        <v/>
      </c>
    </row>
    <row r="948">
      <c r="A948" s="13" t="n">
        <v>944</v>
      </c>
      <c r="B948" s="17">
        <f>IF(N948&lt;$K$5,$H$5+SQRT(N948*($J$5-$H$5)*($I$5-$H$5)),$J$5-SQRT((1-N948)*($J$5-$H$5)*($J$5-$I$5)))</f>
        <v/>
      </c>
      <c r="C948" s="17">
        <f>IF(O948&lt;$K$6,$H$6+SQRT(O948*($J$6-$H$6)*($I$6-$H$6)),$J$6-SQRT((1-O948)*($J$6-$H$6)*($J$6-$I$6)))</f>
        <v/>
      </c>
      <c r="D948" s="17">
        <f>IF(P948&lt;$K$7,$H$7+SQRT(P948*($J$7-$H$7)*($I$7-$H$7)),$J$7-SQRT((1-P948)*($J$7-$H$7)*($J$7-$I$7)))</f>
        <v/>
      </c>
      <c r="E948" s="17">
        <f>SUM(B948:D948)</f>
        <v/>
      </c>
      <c r="N948" s="16">
        <f>RAND()</f>
        <v/>
      </c>
      <c r="O948" s="16">
        <f>RAND()</f>
        <v/>
      </c>
      <c r="P948" s="16">
        <f>RAND()</f>
        <v/>
      </c>
    </row>
    <row r="949">
      <c r="A949" s="13" t="n">
        <v>945</v>
      </c>
      <c r="B949" s="17">
        <f>IF(N949&lt;$K$5,$H$5+SQRT(N949*($J$5-$H$5)*($I$5-$H$5)),$J$5-SQRT((1-N949)*($J$5-$H$5)*($J$5-$I$5)))</f>
        <v/>
      </c>
      <c r="C949" s="17">
        <f>IF(O949&lt;$K$6,$H$6+SQRT(O949*($J$6-$H$6)*($I$6-$H$6)),$J$6-SQRT((1-O949)*($J$6-$H$6)*($J$6-$I$6)))</f>
        <v/>
      </c>
      <c r="D949" s="17">
        <f>IF(P949&lt;$K$7,$H$7+SQRT(P949*($J$7-$H$7)*($I$7-$H$7)),$J$7-SQRT((1-P949)*($J$7-$H$7)*($J$7-$I$7)))</f>
        <v/>
      </c>
      <c r="E949" s="17">
        <f>SUM(B949:D949)</f>
        <v/>
      </c>
      <c r="N949" s="16">
        <f>RAND()</f>
        <v/>
      </c>
      <c r="O949" s="16">
        <f>RAND()</f>
        <v/>
      </c>
      <c r="P949" s="16">
        <f>RAND()</f>
        <v/>
      </c>
    </row>
    <row r="950">
      <c r="A950" s="13" t="n">
        <v>946</v>
      </c>
      <c r="B950" s="17">
        <f>IF(N950&lt;$K$5,$H$5+SQRT(N950*($J$5-$H$5)*($I$5-$H$5)),$J$5-SQRT((1-N950)*($J$5-$H$5)*($J$5-$I$5)))</f>
        <v/>
      </c>
      <c r="C950" s="17">
        <f>IF(O950&lt;$K$6,$H$6+SQRT(O950*($J$6-$H$6)*($I$6-$H$6)),$J$6-SQRT((1-O950)*($J$6-$H$6)*($J$6-$I$6)))</f>
        <v/>
      </c>
      <c r="D950" s="17">
        <f>IF(P950&lt;$K$7,$H$7+SQRT(P950*($J$7-$H$7)*($I$7-$H$7)),$J$7-SQRT((1-P950)*($J$7-$H$7)*($J$7-$I$7)))</f>
        <v/>
      </c>
      <c r="E950" s="17">
        <f>SUM(B950:D950)</f>
        <v/>
      </c>
      <c r="N950" s="16">
        <f>RAND()</f>
        <v/>
      </c>
      <c r="O950" s="16">
        <f>RAND()</f>
        <v/>
      </c>
      <c r="P950" s="16">
        <f>RAND()</f>
        <v/>
      </c>
    </row>
    <row r="951">
      <c r="A951" s="13" t="n">
        <v>947</v>
      </c>
      <c r="B951" s="17">
        <f>IF(N951&lt;$K$5,$H$5+SQRT(N951*($J$5-$H$5)*($I$5-$H$5)),$J$5-SQRT((1-N951)*($J$5-$H$5)*($J$5-$I$5)))</f>
        <v/>
      </c>
      <c r="C951" s="17">
        <f>IF(O951&lt;$K$6,$H$6+SQRT(O951*($J$6-$H$6)*($I$6-$H$6)),$J$6-SQRT((1-O951)*($J$6-$H$6)*($J$6-$I$6)))</f>
        <v/>
      </c>
      <c r="D951" s="17">
        <f>IF(P951&lt;$K$7,$H$7+SQRT(P951*($J$7-$H$7)*($I$7-$H$7)),$J$7-SQRT((1-P951)*($J$7-$H$7)*($J$7-$I$7)))</f>
        <v/>
      </c>
      <c r="E951" s="17">
        <f>SUM(B951:D951)</f>
        <v/>
      </c>
      <c r="N951" s="16">
        <f>RAND()</f>
        <v/>
      </c>
      <c r="O951" s="16">
        <f>RAND()</f>
        <v/>
      </c>
      <c r="P951" s="16">
        <f>RAND()</f>
        <v/>
      </c>
    </row>
    <row r="952">
      <c r="A952" s="13" t="n">
        <v>948</v>
      </c>
      <c r="B952" s="17">
        <f>IF(N952&lt;$K$5,$H$5+SQRT(N952*($J$5-$H$5)*($I$5-$H$5)),$J$5-SQRT((1-N952)*($J$5-$H$5)*($J$5-$I$5)))</f>
        <v/>
      </c>
      <c r="C952" s="17">
        <f>IF(O952&lt;$K$6,$H$6+SQRT(O952*($J$6-$H$6)*($I$6-$H$6)),$J$6-SQRT((1-O952)*($J$6-$H$6)*($J$6-$I$6)))</f>
        <v/>
      </c>
      <c r="D952" s="17">
        <f>IF(P952&lt;$K$7,$H$7+SQRT(P952*($J$7-$H$7)*($I$7-$H$7)),$J$7-SQRT((1-P952)*($J$7-$H$7)*($J$7-$I$7)))</f>
        <v/>
      </c>
      <c r="E952" s="17">
        <f>SUM(B952:D952)</f>
        <v/>
      </c>
      <c r="N952" s="16">
        <f>RAND()</f>
        <v/>
      </c>
      <c r="O952" s="16">
        <f>RAND()</f>
        <v/>
      </c>
      <c r="P952" s="16">
        <f>RAND()</f>
        <v/>
      </c>
    </row>
    <row r="953">
      <c r="A953" s="13" t="n">
        <v>949</v>
      </c>
      <c r="B953" s="17">
        <f>IF(N953&lt;$K$5,$H$5+SQRT(N953*($J$5-$H$5)*($I$5-$H$5)),$J$5-SQRT((1-N953)*($J$5-$H$5)*($J$5-$I$5)))</f>
        <v/>
      </c>
      <c r="C953" s="17">
        <f>IF(O953&lt;$K$6,$H$6+SQRT(O953*($J$6-$H$6)*($I$6-$H$6)),$J$6-SQRT((1-O953)*($J$6-$H$6)*($J$6-$I$6)))</f>
        <v/>
      </c>
      <c r="D953" s="17">
        <f>IF(P953&lt;$K$7,$H$7+SQRT(P953*($J$7-$H$7)*($I$7-$H$7)),$J$7-SQRT((1-P953)*($J$7-$H$7)*($J$7-$I$7)))</f>
        <v/>
      </c>
      <c r="E953" s="17">
        <f>SUM(B953:D953)</f>
        <v/>
      </c>
      <c r="N953" s="16">
        <f>RAND()</f>
        <v/>
      </c>
      <c r="O953" s="16">
        <f>RAND()</f>
        <v/>
      </c>
      <c r="P953" s="16">
        <f>RAND()</f>
        <v/>
      </c>
    </row>
    <row r="954">
      <c r="A954" s="13" t="n">
        <v>950</v>
      </c>
      <c r="B954" s="17">
        <f>IF(N954&lt;$K$5,$H$5+SQRT(N954*($J$5-$H$5)*($I$5-$H$5)),$J$5-SQRT((1-N954)*($J$5-$H$5)*($J$5-$I$5)))</f>
        <v/>
      </c>
      <c r="C954" s="17">
        <f>IF(O954&lt;$K$6,$H$6+SQRT(O954*($J$6-$H$6)*($I$6-$H$6)),$J$6-SQRT((1-O954)*($J$6-$H$6)*($J$6-$I$6)))</f>
        <v/>
      </c>
      <c r="D954" s="17">
        <f>IF(P954&lt;$K$7,$H$7+SQRT(P954*($J$7-$H$7)*($I$7-$H$7)),$J$7-SQRT((1-P954)*($J$7-$H$7)*($J$7-$I$7)))</f>
        <v/>
      </c>
      <c r="E954" s="17">
        <f>SUM(B954:D954)</f>
        <v/>
      </c>
      <c r="N954" s="16">
        <f>RAND()</f>
        <v/>
      </c>
      <c r="O954" s="16">
        <f>RAND()</f>
        <v/>
      </c>
      <c r="P954" s="16">
        <f>RAND()</f>
        <v/>
      </c>
    </row>
    <row r="955">
      <c r="A955" s="13" t="n">
        <v>951</v>
      </c>
      <c r="B955" s="17">
        <f>IF(N955&lt;$K$5,$H$5+SQRT(N955*($J$5-$H$5)*($I$5-$H$5)),$J$5-SQRT((1-N955)*($J$5-$H$5)*($J$5-$I$5)))</f>
        <v/>
      </c>
      <c r="C955" s="17">
        <f>IF(O955&lt;$K$6,$H$6+SQRT(O955*($J$6-$H$6)*($I$6-$H$6)),$J$6-SQRT((1-O955)*($J$6-$H$6)*($J$6-$I$6)))</f>
        <v/>
      </c>
      <c r="D955" s="17">
        <f>IF(P955&lt;$K$7,$H$7+SQRT(P955*($J$7-$H$7)*($I$7-$H$7)),$J$7-SQRT((1-P955)*($J$7-$H$7)*($J$7-$I$7)))</f>
        <v/>
      </c>
      <c r="E955" s="17">
        <f>SUM(B955:D955)</f>
        <v/>
      </c>
      <c r="N955" s="16">
        <f>RAND()</f>
        <v/>
      </c>
      <c r="O955" s="16">
        <f>RAND()</f>
        <v/>
      </c>
      <c r="P955" s="16">
        <f>RAND()</f>
        <v/>
      </c>
    </row>
    <row r="956">
      <c r="A956" s="13" t="n">
        <v>952</v>
      </c>
      <c r="B956" s="17">
        <f>IF(N956&lt;$K$5,$H$5+SQRT(N956*($J$5-$H$5)*($I$5-$H$5)),$J$5-SQRT((1-N956)*($J$5-$H$5)*($J$5-$I$5)))</f>
        <v/>
      </c>
      <c r="C956" s="17">
        <f>IF(O956&lt;$K$6,$H$6+SQRT(O956*($J$6-$H$6)*($I$6-$H$6)),$J$6-SQRT((1-O956)*($J$6-$H$6)*($J$6-$I$6)))</f>
        <v/>
      </c>
      <c r="D956" s="17">
        <f>IF(P956&lt;$K$7,$H$7+SQRT(P956*($J$7-$H$7)*($I$7-$H$7)),$J$7-SQRT((1-P956)*($J$7-$H$7)*($J$7-$I$7)))</f>
        <v/>
      </c>
      <c r="E956" s="17">
        <f>SUM(B956:D956)</f>
        <v/>
      </c>
      <c r="N956" s="16">
        <f>RAND()</f>
        <v/>
      </c>
      <c r="O956" s="16">
        <f>RAND()</f>
        <v/>
      </c>
      <c r="P956" s="16">
        <f>RAND()</f>
        <v/>
      </c>
    </row>
    <row r="957">
      <c r="A957" s="13" t="n">
        <v>953</v>
      </c>
      <c r="B957" s="17">
        <f>IF(N957&lt;$K$5,$H$5+SQRT(N957*($J$5-$H$5)*($I$5-$H$5)),$J$5-SQRT((1-N957)*($J$5-$H$5)*($J$5-$I$5)))</f>
        <v/>
      </c>
      <c r="C957" s="17">
        <f>IF(O957&lt;$K$6,$H$6+SQRT(O957*($J$6-$H$6)*($I$6-$H$6)),$J$6-SQRT((1-O957)*($J$6-$H$6)*($J$6-$I$6)))</f>
        <v/>
      </c>
      <c r="D957" s="17">
        <f>IF(P957&lt;$K$7,$H$7+SQRT(P957*($J$7-$H$7)*($I$7-$H$7)),$J$7-SQRT((1-P957)*($J$7-$H$7)*($J$7-$I$7)))</f>
        <v/>
      </c>
      <c r="E957" s="17">
        <f>SUM(B957:D957)</f>
        <v/>
      </c>
      <c r="N957" s="16">
        <f>RAND()</f>
        <v/>
      </c>
      <c r="O957" s="16">
        <f>RAND()</f>
        <v/>
      </c>
      <c r="P957" s="16">
        <f>RAND()</f>
        <v/>
      </c>
    </row>
    <row r="958">
      <c r="A958" s="13" t="n">
        <v>954</v>
      </c>
      <c r="B958" s="17">
        <f>IF(N958&lt;$K$5,$H$5+SQRT(N958*($J$5-$H$5)*($I$5-$H$5)),$J$5-SQRT((1-N958)*($J$5-$H$5)*($J$5-$I$5)))</f>
        <v/>
      </c>
      <c r="C958" s="17">
        <f>IF(O958&lt;$K$6,$H$6+SQRT(O958*($J$6-$H$6)*($I$6-$H$6)),$J$6-SQRT((1-O958)*($J$6-$H$6)*($J$6-$I$6)))</f>
        <v/>
      </c>
      <c r="D958" s="17">
        <f>IF(P958&lt;$K$7,$H$7+SQRT(P958*($J$7-$H$7)*($I$7-$H$7)),$J$7-SQRT((1-P958)*($J$7-$H$7)*($J$7-$I$7)))</f>
        <v/>
      </c>
      <c r="E958" s="17">
        <f>SUM(B958:D958)</f>
        <v/>
      </c>
      <c r="N958" s="16">
        <f>RAND()</f>
        <v/>
      </c>
      <c r="O958" s="16">
        <f>RAND()</f>
        <v/>
      </c>
      <c r="P958" s="16">
        <f>RAND()</f>
        <v/>
      </c>
    </row>
    <row r="959">
      <c r="A959" s="13" t="n">
        <v>955</v>
      </c>
      <c r="B959" s="17">
        <f>IF(N959&lt;$K$5,$H$5+SQRT(N959*($J$5-$H$5)*($I$5-$H$5)),$J$5-SQRT((1-N959)*($J$5-$H$5)*($J$5-$I$5)))</f>
        <v/>
      </c>
      <c r="C959" s="17">
        <f>IF(O959&lt;$K$6,$H$6+SQRT(O959*($J$6-$H$6)*($I$6-$H$6)),$J$6-SQRT((1-O959)*($J$6-$H$6)*($J$6-$I$6)))</f>
        <v/>
      </c>
      <c r="D959" s="17">
        <f>IF(P959&lt;$K$7,$H$7+SQRT(P959*($J$7-$H$7)*($I$7-$H$7)),$J$7-SQRT((1-P959)*($J$7-$H$7)*($J$7-$I$7)))</f>
        <v/>
      </c>
      <c r="E959" s="17">
        <f>SUM(B959:D959)</f>
        <v/>
      </c>
      <c r="N959" s="16">
        <f>RAND()</f>
        <v/>
      </c>
      <c r="O959" s="16">
        <f>RAND()</f>
        <v/>
      </c>
      <c r="P959" s="16">
        <f>RAND()</f>
        <v/>
      </c>
    </row>
    <row r="960">
      <c r="A960" s="13" t="n">
        <v>956</v>
      </c>
      <c r="B960" s="17">
        <f>IF(N960&lt;$K$5,$H$5+SQRT(N960*($J$5-$H$5)*($I$5-$H$5)),$J$5-SQRT((1-N960)*($J$5-$H$5)*($J$5-$I$5)))</f>
        <v/>
      </c>
      <c r="C960" s="17">
        <f>IF(O960&lt;$K$6,$H$6+SQRT(O960*($J$6-$H$6)*($I$6-$H$6)),$J$6-SQRT((1-O960)*($J$6-$H$6)*($J$6-$I$6)))</f>
        <v/>
      </c>
      <c r="D960" s="17">
        <f>IF(P960&lt;$K$7,$H$7+SQRT(P960*($J$7-$H$7)*($I$7-$H$7)),$J$7-SQRT((1-P960)*($J$7-$H$7)*($J$7-$I$7)))</f>
        <v/>
      </c>
      <c r="E960" s="17">
        <f>SUM(B960:D960)</f>
        <v/>
      </c>
      <c r="N960" s="16">
        <f>RAND()</f>
        <v/>
      </c>
      <c r="O960" s="16">
        <f>RAND()</f>
        <v/>
      </c>
      <c r="P960" s="16">
        <f>RAND()</f>
        <v/>
      </c>
    </row>
    <row r="961">
      <c r="A961" s="13" t="n">
        <v>957</v>
      </c>
      <c r="B961" s="17">
        <f>IF(N961&lt;$K$5,$H$5+SQRT(N961*($J$5-$H$5)*($I$5-$H$5)),$J$5-SQRT((1-N961)*($J$5-$H$5)*($J$5-$I$5)))</f>
        <v/>
      </c>
      <c r="C961" s="17">
        <f>IF(O961&lt;$K$6,$H$6+SQRT(O961*($J$6-$H$6)*($I$6-$H$6)),$J$6-SQRT((1-O961)*($J$6-$H$6)*($J$6-$I$6)))</f>
        <v/>
      </c>
      <c r="D961" s="17">
        <f>IF(P961&lt;$K$7,$H$7+SQRT(P961*($J$7-$H$7)*($I$7-$H$7)),$J$7-SQRT((1-P961)*($J$7-$H$7)*($J$7-$I$7)))</f>
        <v/>
      </c>
      <c r="E961" s="17">
        <f>SUM(B961:D961)</f>
        <v/>
      </c>
      <c r="N961" s="16">
        <f>RAND()</f>
        <v/>
      </c>
      <c r="O961" s="16">
        <f>RAND()</f>
        <v/>
      </c>
      <c r="P961" s="16">
        <f>RAND()</f>
        <v/>
      </c>
    </row>
    <row r="962">
      <c r="A962" s="13" t="n">
        <v>958</v>
      </c>
      <c r="B962" s="17">
        <f>IF(N962&lt;$K$5,$H$5+SQRT(N962*($J$5-$H$5)*($I$5-$H$5)),$J$5-SQRT((1-N962)*($J$5-$H$5)*($J$5-$I$5)))</f>
        <v/>
      </c>
      <c r="C962" s="17">
        <f>IF(O962&lt;$K$6,$H$6+SQRT(O962*($J$6-$H$6)*($I$6-$H$6)),$J$6-SQRT((1-O962)*($J$6-$H$6)*($J$6-$I$6)))</f>
        <v/>
      </c>
      <c r="D962" s="17">
        <f>IF(P962&lt;$K$7,$H$7+SQRT(P962*($J$7-$H$7)*($I$7-$H$7)),$J$7-SQRT((1-P962)*($J$7-$H$7)*($J$7-$I$7)))</f>
        <v/>
      </c>
      <c r="E962" s="17">
        <f>SUM(B962:D962)</f>
        <v/>
      </c>
      <c r="N962" s="16">
        <f>RAND()</f>
        <v/>
      </c>
      <c r="O962" s="16">
        <f>RAND()</f>
        <v/>
      </c>
      <c r="P962" s="16">
        <f>RAND()</f>
        <v/>
      </c>
    </row>
    <row r="963">
      <c r="A963" s="13" t="n">
        <v>959</v>
      </c>
      <c r="B963" s="17">
        <f>IF(N963&lt;$K$5,$H$5+SQRT(N963*($J$5-$H$5)*($I$5-$H$5)),$J$5-SQRT((1-N963)*($J$5-$H$5)*($J$5-$I$5)))</f>
        <v/>
      </c>
      <c r="C963" s="17">
        <f>IF(O963&lt;$K$6,$H$6+SQRT(O963*($J$6-$H$6)*($I$6-$H$6)),$J$6-SQRT((1-O963)*($J$6-$H$6)*($J$6-$I$6)))</f>
        <v/>
      </c>
      <c r="D963" s="17">
        <f>IF(P963&lt;$K$7,$H$7+SQRT(P963*($J$7-$H$7)*($I$7-$H$7)),$J$7-SQRT((1-P963)*($J$7-$H$7)*($J$7-$I$7)))</f>
        <v/>
      </c>
      <c r="E963" s="17">
        <f>SUM(B963:D963)</f>
        <v/>
      </c>
      <c r="N963" s="16">
        <f>RAND()</f>
        <v/>
      </c>
      <c r="O963" s="16">
        <f>RAND()</f>
        <v/>
      </c>
      <c r="P963" s="16">
        <f>RAND()</f>
        <v/>
      </c>
    </row>
    <row r="964">
      <c r="A964" s="13" t="n">
        <v>960</v>
      </c>
      <c r="B964" s="17">
        <f>IF(N964&lt;$K$5,$H$5+SQRT(N964*($J$5-$H$5)*($I$5-$H$5)),$J$5-SQRT((1-N964)*($J$5-$H$5)*($J$5-$I$5)))</f>
        <v/>
      </c>
      <c r="C964" s="17">
        <f>IF(O964&lt;$K$6,$H$6+SQRT(O964*($J$6-$H$6)*($I$6-$H$6)),$J$6-SQRT((1-O964)*($J$6-$H$6)*($J$6-$I$6)))</f>
        <v/>
      </c>
      <c r="D964" s="17">
        <f>IF(P964&lt;$K$7,$H$7+SQRT(P964*($J$7-$H$7)*($I$7-$H$7)),$J$7-SQRT((1-P964)*($J$7-$H$7)*($J$7-$I$7)))</f>
        <v/>
      </c>
      <c r="E964" s="17">
        <f>SUM(B964:D964)</f>
        <v/>
      </c>
      <c r="N964" s="16">
        <f>RAND()</f>
        <v/>
      </c>
      <c r="O964" s="16">
        <f>RAND()</f>
        <v/>
      </c>
      <c r="P964" s="16">
        <f>RAND()</f>
        <v/>
      </c>
    </row>
    <row r="965">
      <c r="A965" s="13" t="n">
        <v>961</v>
      </c>
      <c r="B965" s="17">
        <f>IF(N965&lt;$K$5,$H$5+SQRT(N965*($J$5-$H$5)*($I$5-$H$5)),$J$5-SQRT((1-N965)*($J$5-$H$5)*($J$5-$I$5)))</f>
        <v/>
      </c>
      <c r="C965" s="17">
        <f>IF(O965&lt;$K$6,$H$6+SQRT(O965*($J$6-$H$6)*($I$6-$H$6)),$J$6-SQRT((1-O965)*($J$6-$H$6)*($J$6-$I$6)))</f>
        <v/>
      </c>
      <c r="D965" s="17">
        <f>IF(P965&lt;$K$7,$H$7+SQRT(P965*($J$7-$H$7)*($I$7-$H$7)),$J$7-SQRT((1-P965)*($J$7-$H$7)*($J$7-$I$7)))</f>
        <v/>
      </c>
      <c r="E965" s="17">
        <f>SUM(B965:D965)</f>
        <v/>
      </c>
      <c r="N965" s="16">
        <f>RAND()</f>
        <v/>
      </c>
      <c r="O965" s="16">
        <f>RAND()</f>
        <v/>
      </c>
      <c r="P965" s="16">
        <f>RAND()</f>
        <v/>
      </c>
    </row>
    <row r="966">
      <c r="A966" s="13" t="n">
        <v>962</v>
      </c>
      <c r="B966" s="17">
        <f>IF(N966&lt;$K$5,$H$5+SQRT(N966*($J$5-$H$5)*($I$5-$H$5)),$J$5-SQRT((1-N966)*($J$5-$H$5)*($J$5-$I$5)))</f>
        <v/>
      </c>
      <c r="C966" s="17">
        <f>IF(O966&lt;$K$6,$H$6+SQRT(O966*($J$6-$H$6)*($I$6-$H$6)),$J$6-SQRT((1-O966)*($J$6-$H$6)*($J$6-$I$6)))</f>
        <v/>
      </c>
      <c r="D966" s="17">
        <f>IF(P966&lt;$K$7,$H$7+SQRT(P966*($J$7-$H$7)*($I$7-$H$7)),$J$7-SQRT((1-P966)*($J$7-$H$7)*($J$7-$I$7)))</f>
        <v/>
      </c>
      <c r="E966" s="17">
        <f>SUM(B966:D966)</f>
        <v/>
      </c>
      <c r="N966" s="16">
        <f>RAND()</f>
        <v/>
      </c>
      <c r="O966" s="16">
        <f>RAND()</f>
        <v/>
      </c>
      <c r="P966" s="16">
        <f>RAND()</f>
        <v/>
      </c>
    </row>
    <row r="967">
      <c r="A967" s="13" t="n">
        <v>963</v>
      </c>
      <c r="B967" s="17">
        <f>IF(N967&lt;$K$5,$H$5+SQRT(N967*($J$5-$H$5)*($I$5-$H$5)),$J$5-SQRT((1-N967)*($J$5-$H$5)*($J$5-$I$5)))</f>
        <v/>
      </c>
      <c r="C967" s="17">
        <f>IF(O967&lt;$K$6,$H$6+SQRT(O967*($J$6-$H$6)*($I$6-$H$6)),$J$6-SQRT((1-O967)*($J$6-$H$6)*($J$6-$I$6)))</f>
        <v/>
      </c>
      <c r="D967" s="17">
        <f>IF(P967&lt;$K$7,$H$7+SQRT(P967*($J$7-$H$7)*($I$7-$H$7)),$J$7-SQRT((1-P967)*($J$7-$H$7)*($J$7-$I$7)))</f>
        <v/>
      </c>
      <c r="E967" s="17">
        <f>SUM(B967:D967)</f>
        <v/>
      </c>
      <c r="N967" s="16">
        <f>RAND()</f>
        <v/>
      </c>
      <c r="O967" s="16">
        <f>RAND()</f>
        <v/>
      </c>
      <c r="P967" s="16">
        <f>RAND()</f>
        <v/>
      </c>
    </row>
    <row r="968">
      <c r="A968" s="13" t="n">
        <v>964</v>
      </c>
      <c r="B968" s="17">
        <f>IF(N968&lt;$K$5,$H$5+SQRT(N968*($J$5-$H$5)*($I$5-$H$5)),$J$5-SQRT((1-N968)*($J$5-$H$5)*($J$5-$I$5)))</f>
        <v/>
      </c>
      <c r="C968" s="17">
        <f>IF(O968&lt;$K$6,$H$6+SQRT(O968*($J$6-$H$6)*($I$6-$H$6)),$J$6-SQRT((1-O968)*($J$6-$H$6)*($J$6-$I$6)))</f>
        <v/>
      </c>
      <c r="D968" s="17">
        <f>IF(P968&lt;$K$7,$H$7+SQRT(P968*($J$7-$H$7)*($I$7-$H$7)),$J$7-SQRT((1-P968)*($J$7-$H$7)*($J$7-$I$7)))</f>
        <v/>
      </c>
      <c r="E968" s="17">
        <f>SUM(B968:D968)</f>
        <v/>
      </c>
      <c r="N968" s="16">
        <f>RAND()</f>
        <v/>
      </c>
      <c r="O968" s="16">
        <f>RAND()</f>
        <v/>
      </c>
      <c r="P968" s="16">
        <f>RAND()</f>
        <v/>
      </c>
    </row>
    <row r="969">
      <c r="A969" s="13" t="n">
        <v>965</v>
      </c>
      <c r="B969" s="17">
        <f>IF(N969&lt;$K$5,$H$5+SQRT(N969*($J$5-$H$5)*($I$5-$H$5)),$J$5-SQRT((1-N969)*($J$5-$H$5)*($J$5-$I$5)))</f>
        <v/>
      </c>
      <c r="C969" s="17">
        <f>IF(O969&lt;$K$6,$H$6+SQRT(O969*($J$6-$H$6)*($I$6-$H$6)),$J$6-SQRT((1-O969)*($J$6-$H$6)*($J$6-$I$6)))</f>
        <v/>
      </c>
      <c r="D969" s="17">
        <f>IF(P969&lt;$K$7,$H$7+SQRT(P969*($J$7-$H$7)*($I$7-$H$7)),$J$7-SQRT((1-P969)*($J$7-$H$7)*($J$7-$I$7)))</f>
        <v/>
      </c>
      <c r="E969" s="17">
        <f>SUM(B969:D969)</f>
        <v/>
      </c>
      <c r="N969" s="16">
        <f>RAND()</f>
        <v/>
      </c>
      <c r="O969" s="16">
        <f>RAND()</f>
        <v/>
      </c>
      <c r="P969" s="16">
        <f>RAND()</f>
        <v/>
      </c>
    </row>
    <row r="970">
      <c r="A970" s="13" t="n">
        <v>966</v>
      </c>
      <c r="B970" s="17">
        <f>IF(N970&lt;$K$5,$H$5+SQRT(N970*($J$5-$H$5)*($I$5-$H$5)),$J$5-SQRT((1-N970)*($J$5-$H$5)*($J$5-$I$5)))</f>
        <v/>
      </c>
      <c r="C970" s="17">
        <f>IF(O970&lt;$K$6,$H$6+SQRT(O970*($J$6-$H$6)*($I$6-$H$6)),$J$6-SQRT((1-O970)*($J$6-$H$6)*($J$6-$I$6)))</f>
        <v/>
      </c>
      <c r="D970" s="17">
        <f>IF(P970&lt;$K$7,$H$7+SQRT(P970*($J$7-$H$7)*($I$7-$H$7)),$J$7-SQRT((1-P970)*($J$7-$H$7)*($J$7-$I$7)))</f>
        <v/>
      </c>
      <c r="E970" s="17">
        <f>SUM(B970:D970)</f>
        <v/>
      </c>
      <c r="N970" s="16">
        <f>RAND()</f>
        <v/>
      </c>
      <c r="O970" s="16">
        <f>RAND()</f>
        <v/>
      </c>
      <c r="P970" s="16">
        <f>RAND()</f>
        <v/>
      </c>
    </row>
    <row r="971">
      <c r="A971" s="13" t="n">
        <v>967</v>
      </c>
      <c r="B971" s="17">
        <f>IF(N971&lt;$K$5,$H$5+SQRT(N971*($J$5-$H$5)*($I$5-$H$5)),$J$5-SQRT((1-N971)*($J$5-$H$5)*($J$5-$I$5)))</f>
        <v/>
      </c>
      <c r="C971" s="17">
        <f>IF(O971&lt;$K$6,$H$6+SQRT(O971*($J$6-$H$6)*($I$6-$H$6)),$J$6-SQRT((1-O971)*($J$6-$H$6)*($J$6-$I$6)))</f>
        <v/>
      </c>
      <c r="D971" s="17">
        <f>IF(P971&lt;$K$7,$H$7+SQRT(P971*($J$7-$H$7)*($I$7-$H$7)),$J$7-SQRT((1-P971)*($J$7-$H$7)*($J$7-$I$7)))</f>
        <v/>
      </c>
      <c r="E971" s="17">
        <f>SUM(B971:D971)</f>
        <v/>
      </c>
      <c r="N971" s="16">
        <f>RAND()</f>
        <v/>
      </c>
      <c r="O971" s="16">
        <f>RAND()</f>
        <v/>
      </c>
      <c r="P971" s="16">
        <f>RAND()</f>
        <v/>
      </c>
    </row>
    <row r="972">
      <c r="A972" s="13" t="n">
        <v>968</v>
      </c>
      <c r="B972" s="17">
        <f>IF(N972&lt;$K$5,$H$5+SQRT(N972*($J$5-$H$5)*($I$5-$H$5)),$J$5-SQRT((1-N972)*($J$5-$H$5)*($J$5-$I$5)))</f>
        <v/>
      </c>
      <c r="C972" s="17">
        <f>IF(O972&lt;$K$6,$H$6+SQRT(O972*($J$6-$H$6)*($I$6-$H$6)),$J$6-SQRT((1-O972)*($J$6-$H$6)*($J$6-$I$6)))</f>
        <v/>
      </c>
      <c r="D972" s="17">
        <f>IF(P972&lt;$K$7,$H$7+SQRT(P972*($J$7-$H$7)*($I$7-$H$7)),$J$7-SQRT((1-P972)*($J$7-$H$7)*($J$7-$I$7)))</f>
        <v/>
      </c>
      <c r="E972" s="17">
        <f>SUM(B972:D972)</f>
        <v/>
      </c>
      <c r="N972" s="16">
        <f>RAND()</f>
        <v/>
      </c>
      <c r="O972" s="16">
        <f>RAND()</f>
        <v/>
      </c>
      <c r="P972" s="16">
        <f>RAND()</f>
        <v/>
      </c>
    </row>
    <row r="973">
      <c r="A973" s="13" t="n">
        <v>969</v>
      </c>
      <c r="B973" s="17">
        <f>IF(N973&lt;$K$5,$H$5+SQRT(N973*($J$5-$H$5)*($I$5-$H$5)),$J$5-SQRT((1-N973)*($J$5-$H$5)*($J$5-$I$5)))</f>
        <v/>
      </c>
      <c r="C973" s="17">
        <f>IF(O973&lt;$K$6,$H$6+SQRT(O973*($J$6-$H$6)*($I$6-$H$6)),$J$6-SQRT((1-O973)*($J$6-$H$6)*($J$6-$I$6)))</f>
        <v/>
      </c>
      <c r="D973" s="17">
        <f>IF(P973&lt;$K$7,$H$7+SQRT(P973*($J$7-$H$7)*($I$7-$H$7)),$J$7-SQRT((1-P973)*($J$7-$H$7)*($J$7-$I$7)))</f>
        <v/>
      </c>
      <c r="E973" s="17">
        <f>SUM(B973:D973)</f>
        <v/>
      </c>
      <c r="N973" s="16">
        <f>RAND()</f>
        <v/>
      </c>
      <c r="O973" s="16">
        <f>RAND()</f>
        <v/>
      </c>
      <c r="P973" s="16">
        <f>RAND()</f>
        <v/>
      </c>
    </row>
    <row r="974">
      <c r="A974" s="13" t="n">
        <v>970</v>
      </c>
      <c r="B974" s="17">
        <f>IF(N974&lt;$K$5,$H$5+SQRT(N974*($J$5-$H$5)*($I$5-$H$5)),$J$5-SQRT((1-N974)*($J$5-$H$5)*($J$5-$I$5)))</f>
        <v/>
      </c>
      <c r="C974" s="17">
        <f>IF(O974&lt;$K$6,$H$6+SQRT(O974*($J$6-$H$6)*($I$6-$H$6)),$J$6-SQRT((1-O974)*($J$6-$H$6)*($J$6-$I$6)))</f>
        <v/>
      </c>
      <c r="D974" s="17">
        <f>IF(P974&lt;$K$7,$H$7+SQRT(P974*($J$7-$H$7)*($I$7-$H$7)),$J$7-SQRT((1-P974)*($J$7-$H$7)*($J$7-$I$7)))</f>
        <v/>
      </c>
      <c r="E974" s="17">
        <f>SUM(B974:D974)</f>
        <v/>
      </c>
      <c r="N974" s="16">
        <f>RAND()</f>
        <v/>
      </c>
      <c r="O974" s="16">
        <f>RAND()</f>
        <v/>
      </c>
      <c r="P974" s="16">
        <f>RAND()</f>
        <v/>
      </c>
    </row>
    <row r="975">
      <c r="A975" s="13" t="n">
        <v>971</v>
      </c>
      <c r="B975" s="17">
        <f>IF(N975&lt;$K$5,$H$5+SQRT(N975*($J$5-$H$5)*($I$5-$H$5)),$J$5-SQRT((1-N975)*($J$5-$H$5)*($J$5-$I$5)))</f>
        <v/>
      </c>
      <c r="C975" s="17">
        <f>IF(O975&lt;$K$6,$H$6+SQRT(O975*($J$6-$H$6)*($I$6-$H$6)),$J$6-SQRT((1-O975)*($J$6-$H$6)*($J$6-$I$6)))</f>
        <v/>
      </c>
      <c r="D975" s="17">
        <f>IF(P975&lt;$K$7,$H$7+SQRT(P975*($J$7-$H$7)*($I$7-$H$7)),$J$7-SQRT((1-P975)*($J$7-$H$7)*($J$7-$I$7)))</f>
        <v/>
      </c>
      <c r="E975" s="17">
        <f>SUM(B975:D975)</f>
        <v/>
      </c>
      <c r="N975" s="16">
        <f>RAND()</f>
        <v/>
      </c>
      <c r="O975" s="16">
        <f>RAND()</f>
        <v/>
      </c>
      <c r="P975" s="16">
        <f>RAND()</f>
        <v/>
      </c>
    </row>
    <row r="976">
      <c r="A976" s="13" t="n">
        <v>972</v>
      </c>
      <c r="B976" s="17">
        <f>IF(N976&lt;$K$5,$H$5+SQRT(N976*($J$5-$H$5)*($I$5-$H$5)),$J$5-SQRT((1-N976)*($J$5-$H$5)*($J$5-$I$5)))</f>
        <v/>
      </c>
      <c r="C976" s="17">
        <f>IF(O976&lt;$K$6,$H$6+SQRT(O976*($J$6-$H$6)*($I$6-$H$6)),$J$6-SQRT((1-O976)*($J$6-$H$6)*($J$6-$I$6)))</f>
        <v/>
      </c>
      <c r="D976" s="17">
        <f>IF(P976&lt;$K$7,$H$7+SQRT(P976*($J$7-$H$7)*($I$7-$H$7)),$J$7-SQRT((1-P976)*($J$7-$H$7)*($J$7-$I$7)))</f>
        <v/>
      </c>
      <c r="E976" s="17">
        <f>SUM(B976:D976)</f>
        <v/>
      </c>
      <c r="N976" s="16">
        <f>RAND()</f>
        <v/>
      </c>
      <c r="O976" s="16">
        <f>RAND()</f>
        <v/>
      </c>
      <c r="P976" s="16">
        <f>RAND()</f>
        <v/>
      </c>
    </row>
    <row r="977">
      <c r="A977" s="13" t="n">
        <v>973</v>
      </c>
      <c r="B977" s="17">
        <f>IF(N977&lt;$K$5,$H$5+SQRT(N977*($J$5-$H$5)*($I$5-$H$5)),$J$5-SQRT((1-N977)*($J$5-$H$5)*($J$5-$I$5)))</f>
        <v/>
      </c>
      <c r="C977" s="17">
        <f>IF(O977&lt;$K$6,$H$6+SQRT(O977*($J$6-$H$6)*($I$6-$H$6)),$J$6-SQRT((1-O977)*($J$6-$H$6)*($J$6-$I$6)))</f>
        <v/>
      </c>
      <c r="D977" s="17">
        <f>IF(P977&lt;$K$7,$H$7+SQRT(P977*($J$7-$H$7)*($I$7-$H$7)),$J$7-SQRT((1-P977)*($J$7-$H$7)*($J$7-$I$7)))</f>
        <v/>
      </c>
      <c r="E977" s="17">
        <f>SUM(B977:D977)</f>
        <v/>
      </c>
      <c r="N977" s="16">
        <f>RAND()</f>
        <v/>
      </c>
      <c r="O977" s="16">
        <f>RAND()</f>
        <v/>
      </c>
      <c r="P977" s="16">
        <f>RAND()</f>
        <v/>
      </c>
    </row>
    <row r="978">
      <c r="A978" s="13" t="n">
        <v>974</v>
      </c>
      <c r="B978" s="17">
        <f>IF(N978&lt;$K$5,$H$5+SQRT(N978*($J$5-$H$5)*($I$5-$H$5)),$J$5-SQRT((1-N978)*($J$5-$H$5)*($J$5-$I$5)))</f>
        <v/>
      </c>
      <c r="C978" s="17">
        <f>IF(O978&lt;$K$6,$H$6+SQRT(O978*($J$6-$H$6)*($I$6-$H$6)),$J$6-SQRT((1-O978)*($J$6-$H$6)*($J$6-$I$6)))</f>
        <v/>
      </c>
      <c r="D978" s="17">
        <f>IF(P978&lt;$K$7,$H$7+SQRT(P978*($J$7-$H$7)*($I$7-$H$7)),$J$7-SQRT((1-P978)*($J$7-$H$7)*($J$7-$I$7)))</f>
        <v/>
      </c>
      <c r="E978" s="17">
        <f>SUM(B978:D978)</f>
        <v/>
      </c>
      <c r="N978" s="16">
        <f>RAND()</f>
        <v/>
      </c>
      <c r="O978" s="16">
        <f>RAND()</f>
        <v/>
      </c>
      <c r="P978" s="16">
        <f>RAND()</f>
        <v/>
      </c>
    </row>
    <row r="979">
      <c r="A979" s="13" t="n">
        <v>975</v>
      </c>
      <c r="B979" s="17">
        <f>IF(N979&lt;$K$5,$H$5+SQRT(N979*($J$5-$H$5)*($I$5-$H$5)),$J$5-SQRT((1-N979)*($J$5-$H$5)*($J$5-$I$5)))</f>
        <v/>
      </c>
      <c r="C979" s="17">
        <f>IF(O979&lt;$K$6,$H$6+SQRT(O979*($J$6-$H$6)*($I$6-$H$6)),$J$6-SQRT((1-O979)*($J$6-$H$6)*($J$6-$I$6)))</f>
        <v/>
      </c>
      <c r="D979" s="17">
        <f>IF(P979&lt;$K$7,$H$7+SQRT(P979*($J$7-$H$7)*($I$7-$H$7)),$J$7-SQRT((1-P979)*($J$7-$H$7)*($J$7-$I$7)))</f>
        <v/>
      </c>
      <c r="E979" s="17">
        <f>SUM(B979:D979)</f>
        <v/>
      </c>
      <c r="N979" s="16">
        <f>RAND()</f>
        <v/>
      </c>
      <c r="O979" s="16">
        <f>RAND()</f>
        <v/>
      </c>
      <c r="P979" s="16">
        <f>RAND()</f>
        <v/>
      </c>
    </row>
    <row r="980">
      <c r="A980" s="13" t="n">
        <v>976</v>
      </c>
      <c r="B980" s="17">
        <f>IF(N980&lt;$K$5,$H$5+SQRT(N980*($J$5-$H$5)*($I$5-$H$5)),$J$5-SQRT((1-N980)*($J$5-$H$5)*($J$5-$I$5)))</f>
        <v/>
      </c>
      <c r="C980" s="17">
        <f>IF(O980&lt;$K$6,$H$6+SQRT(O980*($J$6-$H$6)*($I$6-$H$6)),$J$6-SQRT((1-O980)*($J$6-$H$6)*($J$6-$I$6)))</f>
        <v/>
      </c>
      <c r="D980" s="17">
        <f>IF(P980&lt;$K$7,$H$7+SQRT(P980*($J$7-$H$7)*($I$7-$H$7)),$J$7-SQRT((1-P980)*($J$7-$H$7)*($J$7-$I$7)))</f>
        <v/>
      </c>
      <c r="E980" s="17">
        <f>SUM(B980:D980)</f>
        <v/>
      </c>
      <c r="N980" s="16">
        <f>RAND()</f>
        <v/>
      </c>
      <c r="O980" s="16">
        <f>RAND()</f>
        <v/>
      </c>
      <c r="P980" s="16">
        <f>RAND()</f>
        <v/>
      </c>
    </row>
    <row r="981">
      <c r="A981" s="13" t="n">
        <v>977</v>
      </c>
      <c r="B981" s="17">
        <f>IF(N981&lt;$K$5,$H$5+SQRT(N981*($J$5-$H$5)*($I$5-$H$5)),$J$5-SQRT((1-N981)*($J$5-$H$5)*($J$5-$I$5)))</f>
        <v/>
      </c>
      <c r="C981" s="17">
        <f>IF(O981&lt;$K$6,$H$6+SQRT(O981*($J$6-$H$6)*($I$6-$H$6)),$J$6-SQRT((1-O981)*($J$6-$H$6)*($J$6-$I$6)))</f>
        <v/>
      </c>
      <c r="D981" s="17">
        <f>IF(P981&lt;$K$7,$H$7+SQRT(P981*($J$7-$H$7)*($I$7-$H$7)),$J$7-SQRT((1-P981)*($J$7-$H$7)*($J$7-$I$7)))</f>
        <v/>
      </c>
      <c r="E981" s="17">
        <f>SUM(B981:D981)</f>
        <v/>
      </c>
      <c r="N981" s="16">
        <f>RAND()</f>
        <v/>
      </c>
      <c r="O981" s="16">
        <f>RAND()</f>
        <v/>
      </c>
      <c r="P981" s="16">
        <f>RAND()</f>
        <v/>
      </c>
    </row>
    <row r="982">
      <c r="A982" s="13" t="n">
        <v>978</v>
      </c>
      <c r="B982" s="17">
        <f>IF(N982&lt;$K$5,$H$5+SQRT(N982*($J$5-$H$5)*($I$5-$H$5)),$J$5-SQRT((1-N982)*($J$5-$H$5)*($J$5-$I$5)))</f>
        <v/>
      </c>
      <c r="C982" s="17">
        <f>IF(O982&lt;$K$6,$H$6+SQRT(O982*($J$6-$H$6)*($I$6-$H$6)),$J$6-SQRT((1-O982)*($J$6-$H$6)*($J$6-$I$6)))</f>
        <v/>
      </c>
      <c r="D982" s="17">
        <f>IF(P982&lt;$K$7,$H$7+SQRT(P982*($J$7-$H$7)*($I$7-$H$7)),$J$7-SQRT((1-P982)*($J$7-$H$7)*($J$7-$I$7)))</f>
        <v/>
      </c>
      <c r="E982" s="17">
        <f>SUM(B982:D982)</f>
        <v/>
      </c>
      <c r="N982" s="16">
        <f>RAND()</f>
        <v/>
      </c>
      <c r="O982" s="16">
        <f>RAND()</f>
        <v/>
      </c>
      <c r="P982" s="16">
        <f>RAND()</f>
        <v/>
      </c>
    </row>
    <row r="983">
      <c r="A983" s="13" t="n">
        <v>979</v>
      </c>
      <c r="B983" s="17">
        <f>IF(N983&lt;$K$5,$H$5+SQRT(N983*($J$5-$H$5)*($I$5-$H$5)),$J$5-SQRT((1-N983)*($J$5-$H$5)*($J$5-$I$5)))</f>
        <v/>
      </c>
      <c r="C983" s="17">
        <f>IF(O983&lt;$K$6,$H$6+SQRT(O983*($J$6-$H$6)*($I$6-$H$6)),$J$6-SQRT((1-O983)*($J$6-$H$6)*($J$6-$I$6)))</f>
        <v/>
      </c>
      <c r="D983" s="17">
        <f>IF(P983&lt;$K$7,$H$7+SQRT(P983*($J$7-$H$7)*($I$7-$H$7)),$J$7-SQRT((1-P983)*($J$7-$H$7)*($J$7-$I$7)))</f>
        <v/>
      </c>
      <c r="E983" s="17">
        <f>SUM(B983:D983)</f>
        <v/>
      </c>
      <c r="N983" s="16">
        <f>RAND()</f>
        <v/>
      </c>
      <c r="O983" s="16">
        <f>RAND()</f>
        <v/>
      </c>
      <c r="P983" s="16">
        <f>RAND()</f>
        <v/>
      </c>
    </row>
    <row r="984">
      <c r="A984" s="13" t="n">
        <v>980</v>
      </c>
      <c r="B984" s="17">
        <f>IF(N984&lt;$K$5,$H$5+SQRT(N984*($J$5-$H$5)*($I$5-$H$5)),$J$5-SQRT((1-N984)*($J$5-$H$5)*($J$5-$I$5)))</f>
        <v/>
      </c>
      <c r="C984" s="17">
        <f>IF(O984&lt;$K$6,$H$6+SQRT(O984*($J$6-$H$6)*($I$6-$H$6)),$J$6-SQRT((1-O984)*($J$6-$H$6)*($J$6-$I$6)))</f>
        <v/>
      </c>
      <c r="D984" s="17">
        <f>IF(P984&lt;$K$7,$H$7+SQRT(P984*($J$7-$H$7)*($I$7-$H$7)),$J$7-SQRT((1-P984)*($J$7-$H$7)*($J$7-$I$7)))</f>
        <v/>
      </c>
      <c r="E984" s="17">
        <f>SUM(B984:D984)</f>
        <v/>
      </c>
      <c r="N984" s="16">
        <f>RAND()</f>
        <v/>
      </c>
      <c r="O984" s="16">
        <f>RAND()</f>
        <v/>
      </c>
      <c r="P984" s="16">
        <f>RAND()</f>
        <v/>
      </c>
    </row>
    <row r="985">
      <c r="A985" s="13" t="n">
        <v>981</v>
      </c>
      <c r="B985" s="17">
        <f>IF(N985&lt;$K$5,$H$5+SQRT(N985*($J$5-$H$5)*($I$5-$H$5)),$J$5-SQRT((1-N985)*($J$5-$H$5)*($J$5-$I$5)))</f>
        <v/>
      </c>
      <c r="C985" s="17">
        <f>IF(O985&lt;$K$6,$H$6+SQRT(O985*($J$6-$H$6)*($I$6-$H$6)),$J$6-SQRT((1-O985)*($J$6-$H$6)*($J$6-$I$6)))</f>
        <v/>
      </c>
      <c r="D985" s="17">
        <f>IF(P985&lt;$K$7,$H$7+SQRT(P985*($J$7-$H$7)*($I$7-$H$7)),$J$7-SQRT((1-P985)*($J$7-$H$7)*($J$7-$I$7)))</f>
        <v/>
      </c>
      <c r="E985" s="17">
        <f>SUM(B985:D985)</f>
        <v/>
      </c>
      <c r="N985" s="16">
        <f>RAND()</f>
        <v/>
      </c>
      <c r="O985" s="16">
        <f>RAND()</f>
        <v/>
      </c>
      <c r="P985" s="16">
        <f>RAND()</f>
        <v/>
      </c>
    </row>
    <row r="986">
      <c r="A986" s="13" t="n">
        <v>982</v>
      </c>
      <c r="B986" s="17">
        <f>IF(N986&lt;$K$5,$H$5+SQRT(N986*($J$5-$H$5)*($I$5-$H$5)),$J$5-SQRT((1-N986)*($J$5-$H$5)*($J$5-$I$5)))</f>
        <v/>
      </c>
      <c r="C986" s="17">
        <f>IF(O986&lt;$K$6,$H$6+SQRT(O986*($J$6-$H$6)*($I$6-$H$6)),$J$6-SQRT((1-O986)*($J$6-$H$6)*($J$6-$I$6)))</f>
        <v/>
      </c>
      <c r="D986" s="17">
        <f>IF(P986&lt;$K$7,$H$7+SQRT(P986*($J$7-$H$7)*($I$7-$H$7)),$J$7-SQRT((1-P986)*($J$7-$H$7)*($J$7-$I$7)))</f>
        <v/>
      </c>
      <c r="E986" s="17">
        <f>SUM(B986:D986)</f>
        <v/>
      </c>
      <c r="N986" s="16">
        <f>RAND()</f>
        <v/>
      </c>
      <c r="O986" s="16">
        <f>RAND()</f>
        <v/>
      </c>
      <c r="P986" s="16">
        <f>RAND()</f>
        <v/>
      </c>
    </row>
    <row r="987">
      <c r="A987" s="13" t="n">
        <v>983</v>
      </c>
      <c r="B987" s="17">
        <f>IF(N987&lt;$K$5,$H$5+SQRT(N987*($J$5-$H$5)*($I$5-$H$5)),$J$5-SQRT((1-N987)*($J$5-$H$5)*($J$5-$I$5)))</f>
        <v/>
      </c>
      <c r="C987" s="17">
        <f>IF(O987&lt;$K$6,$H$6+SQRT(O987*($J$6-$H$6)*($I$6-$H$6)),$J$6-SQRT((1-O987)*($J$6-$H$6)*($J$6-$I$6)))</f>
        <v/>
      </c>
      <c r="D987" s="17">
        <f>IF(P987&lt;$K$7,$H$7+SQRT(P987*($J$7-$H$7)*($I$7-$H$7)),$J$7-SQRT((1-P987)*($J$7-$H$7)*($J$7-$I$7)))</f>
        <v/>
      </c>
      <c r="E987" s="17">
        <f>SUM(B987:D987)</f>
        <v/>
      </c>
      <c r="N987" s="16">
        <f>RAND()</f>
        <v/>
      </c>
      <c r="O987" s="16">
        <f>RAND()</f>
        <v/>
      </c>
      <c r="P987" s="16">
        <f>RAND()</f>
        <v/>
      </c>
    </row>
    <row r="988">
      <c r="A988" s="13" t="n">
        <v>984</v>
      </c>
      <c r="B988" s="17">
        <f>IF(N988&lt;$K$5,$H$5+SQRT(N988*($J$5-$H$5)*($I$5-$H$5)),$J$5-SQRT((1-N988)*($J$5-$H$5)*($J$5-$I$5)))</f>
        <v/>
      </c>
      <c r="C988" s="17">
        <f>IF(O988&lt;$K$6,$H$6+SQRT(O988*($J$6-$H$6)*($I$6-$H$6)),$J$6-SQRT((1-O988)*($J$6-$H$6)*($J$6-$I$6)))</f>
        <v/>
      </c>
      <c r="D988" s="17">
        <f>IF(P988&lt;$K$7,$H$7+SQRT(P988*($J$7-$H$7)*($I$7-$H$7)),$J$7-SQRT((1-P988)*($J$7-$H$7)*($J$7-$I$7)))</f>
        <v/>
      </c>
      <c r="E988" s="17">
        <f>SUM(B988:D988)</f>
        <v/>
      </c>
      <c r="N988" s="16">
        <f>RAND()</f>
        <v/>
      </c>
      <c r="O988" s="16">
        <f>RAND()</f>
        <v/>
      </c>
      <c r="P988" s="16">
        <f>RAND()</f>
        <v/>
      </c>
    </row>
    <row r="989">
      <c r="A989" s="13" t="n">
        <v>985</v>
      </c>
      <c r="B989" s="17">
        <f>IF(N989&lt;$K$5,$H$5+SQRT(N989*($J$5-$H$5)*($I$5-$H$5)),$J$5-SQRT((1-N989)*($J$5-$H$5)*($J$5-$I$5)))</f>
        <v/>
      </c>
      <c r="C989" s="17">
        <f>IF(O989&lt;$K$6,$H$6+SQRT(O989*($J$6-$H$6)*($I$6-$H$6)),$J$6-SQRT((1-O989)*($J$6-$H$6)*($J$6-$I$6)))</f>
        <v/>
      </c>
      <c r="D989" s="17">
        <f>IF(P989&lt;$K$7,$H$7+SQRT(P989*($J$7-$H$7)*($I$7-$H$7)),$J$7-SQRT((1-P989)*($J$7-$H$7)*($J$7-$I$7)))</f>
        <v/>
      </c>
      <c r="E989" s="17">
        <f>SUM(B989:D989)</f>
        <v/>
      </c>
      <c r="N989" s="16">
        <f>RAND()</f>
        <v/>
      </c>
      <c r="O989" s="16">
        <f>RAND()</f>
        <v/>
      </c>
      <c r="P989" s="16">
        <f>RAND()</f>
        <v/>
      </c>
    </row>
    <row r="990">
      <c r="A990" s="13" t="n">
        <v>986</v>
      </c>
      <c r="B990" s="17">
        <f>IF(N990&lt;$K$5,$H$5+SQRT(N990*($J$5-$H$5)*($I$5-$H$5)),$J$5-SQRT((1-N990)*($J$5-$H$5)*($J$5-$I$5)))</f>
        <v/>
      </c>
      <c r="C990" s="17">
        <f>IF(O990&lt;$K$6,$H$6+SQRT(O990*($J$6-$H$6)*($I$6-$H$6)),$J$6-SQRT((1-O990)*($J$6-$H$6)*($J$6-$I$6)))</f>
        <v/>
      </c>
      <c r="D990" s="17">
        <f>IF(P990&lt;$K$7,$H$7+SQRT(P990*($J$7-$H$7)*($I$7-$H$7)),$J$7-SQRT((1-P990)*($J$7-$H$7)*($J$7-$I$7)))</f>
        <v/>
      </c>
      <c r="E990" s="17">
        <f>SUM(B990:D990)</f>
        <v/>
      </c>
      <c r="N990" s="16">
        <f>RAND()</f>
        <v/>
      </c>
      <c r="O990" s="16">
        <f>RAND()</f>
        <v/>
      </c>
      <c r="P990" s="16">
        <f>RAND()</f>
        <v/>
      </c>
    </row>
    <row r="991">
      <c r="A991" s="13" t="n">
        <v>987</v>
      </c>
      <c r="B991" s="17">
        <f>IF(N991&lt;$K$5,$H$5+SQRT(N991*($J$5-$H$5)*($I$5-$H$5)),$J$5-SQRT((1-N991)*($J$5-$H$5)*($J$5-$I$5)))</f>
        <v/>
      </c>
      <c r="C991" s="17">
        <f>IF(O991&lt;$K$6,$H$6+SQRT(O991*($J$6-$H$6)*($I$6-$H$6)),$J$6-SQRT((1-O991)*($J$6-$H$6)*($J$6-$I$6)))</f>
        <v/>
      </c>
      <c r="D991" s="17">
        <f>IF(P991&lt;$K$7,$H$7+SQRT(P991*($J$7-$H$7)*($I$7-$H$7)),$J$7-SQRT((1-P991)*($J$7-$H$7)*($J$7-$I$7)))</f>
        <v/>
      </c>
      <c r="E991" s="17">
        <f>SUM(B991:D991)</f>
        <v/>
      </c>
      <c r="N991" s="16">
        <f>RAND()</f>
        <v/>
      </c>
      <c r="O991" s="16">
        <f>RAND()</f>
        <v/>
      </c>
      <c r="P991" s="16">
        <f>RAND()</f>
        <v/>
      </c>
    </row>
    <row r="992">
      <c r="A992" s="13" t="n">
        <v>988</v>
      </c>
      <c r="B992" s="17">
        <f>IF(N992&lt;$K$5,$H$5+SQRT(N992*($J$5-$H$5)*($I$5-$H$5)),$J$5-SQRT((1-N992)*($J$5-$H$5)*($J$5-$I$5)))</f>
        <v/>
      </c>
      <c r="C992" s="17">
        <f>IF(O992&lt;$K$6,$H$6+SQRT(O992*($J$6-$H$6)*($I$6-$H$6)),$J$6-SQRT((1-O992)*($J$6-$H$6)*($J$6-$I$6)))</f>
        <v/>
      </c>
      <c r="D992" s="17">
        <f>IF(P992&lt;$K$7,$H$7+SQRT(P992*($J$7-$H$7)*($I$7-$H$7)),$J$7-SQRT((1-P992)*($J$7-$H$7)*($J$7-$I$7)))</f>
        <v/>
      </c>
      <c r="E992" s="17">
        <f>SUM(B992:D992)</f>
        <v/>
      </c>
      <c r="N992" s="16">
        <f>RAND()</f>
        <v/>
      </c>
      <c r="O992" s="16">
        <f>RAND()</f>
        <v/>
      </c>
      <c r="P992" s="16">
        <f>RAND()</f>
        <v/>
      </c>
    </row>
    <row r="993">
      <c r="A993" s="13" t="n">
        <v>989</v>
      </c>
      <c r="B993" s="17">
        <f>IF(N993&lt;$K$5,$H$5+SQRT(N993*($J$5-$H$5)*($I$5-$H$5)),$J$5-SQRT((1-N993)*($J$5-$H$5)*($J$5-$I$5)))</f>
        <v/>
      </c>
      <c r="C993" s="17">
        <f>IF(O993&lt;$K$6,$H$6+SQRT(O993*($J$6-$H$6)*($I$6-$H$6)),$J$6-SQRT((1-O993)*($J$6-$H$6)*($J$6-$I$6)))</f>
        <v/>
      </c>
      <c r="D993" s="17">
        <f>IF(P993&lt;$K$7,$H$7+SQRT(P993*($J$7-$H$7)*($I$7-$H$7)),$J$7-SQRT((1-P993)*($J$7-$H$7)*($J$7-$I$7)))</f>
        <v/>
      </c>
      <c r="E993" s="17">
        <f>SUM(B993:D993)</f>
        <v/>
      </c>
      <c r="N993" s="16">
        <f>RAND()</f>
        <v/>
      </c>
      <c r="O993" s="16">
        <f>RAND()</f>
        <v/>
      </c>
      <c r="P993" s="16">
        <f>RAND()</f>
        <v/>
      </c>
    </row>
    <row r="994">
      <c r="A994" s="13" t="n">
        <v>990</v>
      </c>
      <c r="B994" s="17">
        <f>IF(N994&lt;$K$5,$H$5+SQRT(N994*($J$5-$H$5)*($I$5-$H$5)),$J$5-SQRT((1-N994)*($J$5-$H$5)*($J$5-$I$5)))</f>
        <v/>
      </c>
      <c r="C994" s="17">
        <f>IF(O994&lt;$K$6,$H$6+SQRT(O994*($J$6-$H$6)*($I$6-$H$6)),$J$6-SQRT((1-O994)*($J$6-$H$6)*($J$6-$I$6)))</f>
        <v/>
      </c>
      <c r="D994" s="17">
        <f>IF(P994&lt;$K$7,$H$7+SQRT(P994*($J$7-$H$7)*($I$7-$H$7)),$J$7-SQRT((1-P994)*($J$7-$H$7)*($J$7-$I$7)))</f>
        <v/>
      </c>
      <c r="E994" s="17">
        <f>SUM(B994:D994)</f>
        <v/>
      </c>
      <c r="N994" s="16">
        <f>RAND()</f>
        <v/>
      </c>
      <c r="O994" s="16">
        <f>RAND()</f>
        <v/>
      </c>
      <c r="P994" s="16">
        <f>RAND()</f>
        <v/>
      </c>
    </row>
    <row r="995">
      <c r="A995" s="13" t="n">
        <v>991</v>
      </c>
      <c r="B995" s="17">
        <f>IF(N995&lt;$K$5,$H$5+SQRT(N995*($J$5-$H$5)*($I$5-$H$5)),$J$5-SQRT((1-N995)*($J$5-$H$5)*($J$5-$I$5)))</f>
        <v/>
      </c>
      <c r="C995" s="17">
        <f>IF(O995&lt;$K$6,$H$6+SQRT(O995*($J$6-$H$6)*($I$6-$H$6)),$J$6-SQRT((1-O995)*($J$6-$H$6)*($J$6-$I$6)))</f>
        <v/>
      </c>
      <c r="D995" s="17">
        <f>IF(P995&lt;$K$7,$H$7+SQRT(P995*($J$7-$H$7)*($I$7-$H$7)),$J$7-SQRT((1-P995)*($J$7-$H$7)*($J$7-$I$7)))</f>
        <v/>
      </c>
      <c r="E995" s="17">
        <f>SUM(B995:D995)</f>
        <v/>
      </c>
      <c r="N995" s="16">
        <f>RAND()</f>
        <v/>
      </c>
      <c r="O995" s="16">
        <f>RAND()</f>
        <v/>
      </c>
      <c r="P995" s="16">
        <f>RAND()</f>
        <v/>
      </c>
    </row>
    <row r="996">
      <c r="A996" s="13" t="n">
        <v>992</v>
      </c>
      <c r="B996" s="17">
        <f>IF(N996&lt;$K$5,$H$5+SQRT(N996*($J$5-$H$5)*($I$5-$H$5)),$J$5-SQRT((1-N996)*($J$5-$H$5)*($J$5-$I$5)))</f>
        <v/>
      </c>
      <c r="C996" s="17">
        <f>IF(O996&lt;$K$6,$H$6+SQRT(O996*($J$6-$H$6)*($I$6-$H$6)),$J$6-SQRT((1-O996)*($J$6-$H$6)*($J$6-$I$6)))</f>
        <v/>
      </c>
      <c r="D996" s="17">
        <f>IF(P996&lt;$K$7,$H$7+SQRT(P996*($J$7-$H$7)*($I$7-$H$7)),$J$7-SQRT((1-P996)*($J$7-$H$7)*($J$7-$I$7)))</f>
        <v/>
      </c>
      <c r="E996" s="17">
        <f>SUM(B996:D996)</f>
        <v/>
      </c>
      <c r="N996" s="16">
        <f>RAND()</f>
        <v/>
      </c>
      <c r="O996" s="16">
        <f>RAND()</f>
        <v/>
      </c>
      <c r="P996" s="16">
        <f>RAND()</f>
        <v/>
      </c>
    </row>
    <row r="997">
      <c r="A997" s="13" t="n">
        <v>993</v>
      </c>
      <c r="B997" s="17">
        <f>IF(N997&lt;$K$5,$H$5+SQRT(N997*($J$5-$H$5)*($I$5-$H$5)),$J$5-SQRT((1-N997)*($J$5-$H$5)*($J$5-$I$5)))</f>
        <v/>
      </c>
      <c r="C997" s="17">
        <f>IF(O997&lt;$K$6,$H$6+SQRT(O997*($J$6-$H$6)*($I$6-$H$6)),$J$6-SQRT((1-O997)*($J$6-$H$6)*($J$6-$I$6)))</f>
        <v/>
      </c>
      <c r="D997" s="17">
        <f>IF(P997&lt;$K$7,$H$7+SQRT(P997*($J$7-$H$7)*($I$7-$H$7)),$J$7-SQRT((1-P997)*($J$7-$H$7)*($J$7-$I$7)))</f>
        <v/>
      </c>
      <c r="E997" s="17">
        <f>SUM(B997:D997)</f>
        <v/>
      </c>
      <c r="N997" s="16">
        <f>RAND()</f>
        <v/>
      </c>
      <c r="O997" s="16">
        <f>RAND()</f>
        <v/>
      </c>
      <c r="P997" s="16">
        <f>RAND()</f>
        <v/>
      </c>
    </row>
    <row r="998">
      <c r="A998" s="13" t="n">
        <v>994</v>
      </c>
      <c r="B998" s="17">
        <f>IF(N998&lt;$K$5,$H$5+SQRT(N998*($J$5-$H$5)*($I$5-$H$5)),$J$5-SQRT((1-N998)*($J$5-$H$5)*($J$5-$I$5)))</f>
        <v/>
      </c>
      <c r="C998" s="17">
        <f>IF(O998&lt;$K$6,$H$6+SQRT(O998*($J$6-$H$6)*($I$6-$H$6)),$J$6-SQRT((1-O998)*($J$6-$H$6)*($J$6-$I$6)))</f>
        <v/>
      </c>
      <c r="D998" s="17">
        <f>IF(P998&lt;$K$7,$H$7+SQRT(P998*($J$7-$H$7)*($I$7-$H$7)),$J$7-SQRT((1-P998)*($J$7-$H$7)*($J$7-$I$7)))</f>
        <v/>
      </c>
      <c r="E998" s="17">
        <f>SUM(B998:D998)</f>
        <v/>
      </c>
      <c r="N998" s="16">
        <f>RAND()</f>
        <v/>
      </c>
      <c r="O998" s="16">
        <f>RAND()</f>
        <v/>
      </c>
      <c r="P998" s="16">
        <f>RAND()</f>
        <v/>
      </c>
    </row>
    <row r="999">
      <c r="A999" s="13" t="n">
        <v>995</v>
      </c>
      <c r="B999" s="17">
        <f>IF(N999&lt;$K$5,$H$5+SQRT(N999*($J$5-$H$5)*($I$5-$H$5)),$J$5-SQRT((1-N999)*($J$5-$H$5)*($J$5-$I$5)))</f>
        <v/>
      </c>
      <c r="C999" s="17">
        <f>IF(O999&lt;$K$6,$H$6+SQRT(O999*($J$6-$H$6)*($I$6-$H$6)),$J$6-SQRT((1-O999)*($J$6-$H$6)*($J$6-$I$6)))</f>
        <v/>
      </c>
      <c r="D999" s="17">
        <f>IF(P999&lt;$K$7,$H$7+SQRT(P999*($J$7-$H$7)*($I$7-$H$7)),$J$7-SQRT((1-P999)*($J$7-$H$7)*($J$7-$I$7)))</f>
        <v/>
      </c>
      <c r="E999" s="17">
        <f>SUM(B999:D999)</f>
        <v/>
      </c>
      <c r="N999" s="16">
        <f>RAND()</f>
        <v/>
      </c>
      <c r="O999" s="16">
        <f>RAND()</f>
        <v/>
      </c>
      <c r="P999" s="16">
        <f>RAND()</f>
        <v/>
      </c>
    </row>
    <row r="1000">
      <c r="A1000" s="13" t="n">
        <v>996</v>
      </c>
      <c r="B1000" s="17">
        <f>IF(N1000&lt;$K$5,$H$5+SQRT(N1000*($J$5-$H$5)*($I$5-$H$5)),$J$5-SQRT((1-N1000)*($J$5-$H$5)*($J$5-$I$5)))</f>
        <v/>
      </c>
      <c r="C1000" s="17">
        <f>IF(O1000&lt;$K$6,$H$6+SQRT(O1000*($J$6-$H$6)*($I$6-$H$6)),$J$6-SQRT((1-O1000)*($J$6-$H$6)*($J$6-$I$6)))</f>
        <v/>
      </c>
      <c r="D1000" s="17">
        <f>IF(P1000&lt;$K$7,$H$7+SQRT(P1000*($J$7-$H$7)*($I$7-$H$7)),$J$7-SQRT((1-P1000)*($J$7-$H$7)*($J$7-$I$7)))</f>
        <v/>
      </c>
      <c r="E1000" s="17">
        <f>SUM(B1000:D1000)</f>
        <v/>
      </c>
      <c r="N1000" s="16">
        <f>RAND()</f>
        <v/>
      </c>
      <c r="O1000" s="16">
        <f>RAND()</f>
        <v/>
      </c>
      <c r="P1000" s="16">
        <f>RAND()</f>
        <v/>
      </c>
    </row>
    <row r="1001">
      <c r="A1001" s="13" t="n">
        <v>997</v>
      </c>
      <c r="B1001" s="17">
        <f>IF(N1001&lt;$K$5,$H$5+SQRT(N1001*($J$5-$H$5)*($I$5-$H$5)),$J$5-SQRT((1-N1001)*($J$5-$H$5)*($J$5-$I$5)))</f>
        <v/>
      </c>
      <c r="C1001" s="17">
        <f>IF(O1001&lt;$K$6,$H$6+SQRT(O1001*($J$6-$H$6)*($I$6-$H$6)),$J$6-SQRT((1-O1001)*($J$6-$H$6)*($J$6-$I$6)))</f>
        <v/>
      </c>
      <c r="D1001" s="17">
        <f>IF(P1001&lt;$K$7,$H$7+SQRT(P1001*($J$7-$H$7)*($I$7-$H$7)),$J$7-SQRT((1-P1001)*($J$7-$H$7)*($J$7-$I$7)))</f>
        <v/>
      </c>
      <c r="E1001" s="17">
        <f>SUM(B1001:D1001)</f>
        <v/>
      </c>
      <c r="N1001" s="16">
        <f>RAND()</f>
        <v/>
      </c>
      <c r="O1001" s="16">
        <f>RAND()</f>
        <v/>
      </c>
      <c r="P1001" s="16">
        <f>RAND()</f>
        <v/>
      </c>
    </row>
    <row r="1002">
      <c r="A1002" s="13" t="n">
        <v>998</v>
      </c>
      <c r="B1002" s="17">
        <f>IF(N1002&lt;$K$5,$H$5+SQRT(N1002*($J$5-$H$5)*($I$5-$H$5)),$J$5-SQRT((1-N1002)*($J$5-$H$5)*($J$5-$I$5)))</f>
        <v/>
      </c>
      <c r="C1002" s="17">
        <f>IF(O1002&lt;$K$6,$H$6+SQRT(O1002*($J$6-$H$6)*($I$6-$H$6)),$J$6-SQRT((1-O1002)*($J$6-$H$6)*($J$6-$I$6)))</f>
        <v/>
      </c>
      <c r="D1002" s="17">
        <f>IF(P1002&lt;$K$7,$H$7+SQRT(P1002*($J$7-$H$7)*($I$7-$H$7)),$J$7-SQRT((1-P1002)*($J$7-$H$7)*($J$7-$I$7)))</f>
        <v/>
      </c>
      <c r="E1002" s="17">
        <f>SUM(B1002:D1002)</f>
        <v/>
      </c>
      <c r="N1002" s="16">
        <f>RAND()</f>
        <v/>
      </c>
      <c r="O1002" s="16">
        <f>RAND()</f>
        <v/>
      </c>
      <c r="P1002" s="16">
        <f>RAND()</f>
        <v/>
      </c>
    </row>
    <row r="1003">
      <c r="A1003" s="13" t="n">
        <v>999</v>
      </c>
      <c r="B1003" s="17">
        <f>IF(N1003&lt;$K$5,$H$5+SQRT(N1003*($J$5-$H$5)*($I$5-$H$5)),$J$5-SQRT((1-N1003)*($J$5-$H$5)*($J$5-$I$5)))</f>
        <v/>
      </c>
      <c r="C1003" s="17">
        <f>IF(O1003&lt;$K$6,$H$6+SQRT(O1003*($J$6-$H$6)*($I$6-$H$6)),$J$6-SQRT((1-O1003)*($J$6-$H$6)*($J$6-$I$6)))</f>
        <v/>
      </c>
      <c r="D1003" s="17">
        <f>IF(P1003&lt;$K$7,$H$7+SQRT(P1003*($J$7-$H$7)*($I$7-$H$7)),$J$7-SQRT((1-P1003)*($J$7-$H$7)*($J$7-$I$7)))</f>
        <v/>
      </c>
      <c r="E1003" s="17">
        <f>SUM(B1003:D1003)</f>
        <v/>
      </c>
      <c r="N1003" s="16">
        <f>RAND()</f>
        <v/>
      </c>
      <c r="O1003" s="16">
        <f>RAND()</f>
        <v/>
      </c>
      <c r="P1003" s="16">
        <f>RAND()</f>
        <v/>
      </c>
    </row>
    <row r="1004">
      <c r="A1004" s="13" t="n">
        <v>1000</v>
      </c>
      <c r="B1004" s="17">
        <f>IF(N1004&lt;$K$5,$H$5+SQRT(N1004*($J$5-$H$5)*($I$5-$H$5)),$J$5-SQRT((1-N1004)*($J$5-$H$5)*($J$5-$I$5)))</f>
        <v/>
      </c>
      <c r="C1004" s="17">
        <f>IF(O1004&lt;$K$6,$H$6+SQRT(O1004*($J$6-$H$6)*($I$6-$H$6)),$J$6-SQRT((1-O1004)*($J$6-$H$6)*($J$6-$I$6)))</f>
        <v/>
      </c>
      <c r="D1004" s="17">
        <f>IF(P1004&lt;$K$7,$H$7+SQRT(P1004*($J$7-$H$7)*($I$7-$H$7)),$J$7-SQRT((1-P1004)*($J$7-$H$7)*($J$7-$I$7)))</f>
        <v/>
      </c>
      <c r="E1004" s="17">
        <f>SUM(B1004:D1004)</f>
        <v/>
      </c>
      <c r="N1004" s="16">
        <f>RAND()</f>
        <v/>
      </c>
      <c r="O1004" s="16">
        <f>RAND()</f>
        <v/>
      </c>
      <c r="P1004" s="16">
        <f>RAND()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2026-10-20T23:26:54Z</dcterms:created>
  <dcterms:modified xmlns:dcterms="http://purl.org/dc/terms/" xmlns:xsi="http://www.w3.org/2001/XMLSchema-instance" xsi:type="dcterms:W3CDTF">2026-10-20T23:26:55Z</dcterms:modified>
</cp:coreProperties>
</file>