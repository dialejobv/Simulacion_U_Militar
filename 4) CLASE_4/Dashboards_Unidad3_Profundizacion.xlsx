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Escritorio\U_MILITAR\2) Cursos\Cursos_Distancia\3) Simulación_DIS_A\4) CLASE\"/>
    </mc:Choice>
  </mc:AlternateContent>
  <bookViews>
    <workbookView xWindow="0" yWindow="0" windowWidth="24000" windowHeight="11190" activeTab="7"/>
  </bookViews>
  <sheets>
    <sheet name="Inicio" sheetId="1" r:id="rId1"/>
    <sheet name="1 Portería M-M-c" sheetId="2" r:id="rId2"/>
    <sheet name="2 Inventario (Q,R)" sheetId="3" r:id="rId3"/>
    <sheet name="3 Producción" sheetId="4" r:id="rId4"/>
    <sheet name="4 Bondad de ajuste" sheetId="5" r:id="rId5"/>
    <sheet name="5 Generación" sheetId="6" r:id="rId6"/>
    <sheet name="6 YOLO placas" sheetId="7" r:id="rId7"/>
    <sheet name="7 Encuesta" sheetId="8" r:id="rId8"/>
  </sheets>
  <calcPr calcId="162913"/>
</workbook>
</file>

<file path=xl/calcChain.xml><?xml version="1.0" encoding="utf-8"?>
<calcChain xmlns="http://schemas.openxmlformats.org/spreadsheetml/2006/main">
  <c r="M49" i="8" l="1"/>
  <c r="M47" i="8"/>
  <c r="B45" i="8"/>
  <c r="B44" i="8"/>
  <c r="B43" i="8"/>
  <c r="P42" i="8"/>
  <c r="Q42" i="8" s="1"/>
  <c r="P38" i="8"/>
  <c r="Q38" i="8" s="1"/>
  <c r="D23" i="8"/>
  <c r="D24" i="8" s="1"/>
  <c r="D20" i="8"/>
  <c r="D21" i="8" s="1"/>
  <c r="D22" i="8" s="1"/>
  <c r="M19" i="8"/>
  <c r="N19" i="8" s="1"/>
  <c r="O19" i="8" s="1"/>
  <c r="E17" i="8"/>
  <c r="F17" i="8" s="1"/>
  <c r="G17" i="8" s="1"/>
  <c r="H17" i="8" s="1"/>
  <c r="D17" i="8"/>
  <c r="C17" i="8"/>
  <c r="B17" i="8"/>
  <c r="F16" i="8"/>
  <c r="G16" i="8" s="1"/>
  <c r="H16" i="8" s="1"/>
  <c r="E16" i="8"/>
  <c r="D16" i="8"/>
  <c r="C16" i="8"/>
  <c r="M53" i="8" s="1"/>
  <c r="N53" i="8" s="1"/>
  <c r="O53" i="8" s="1"/>
  <c r="B16" i="8"/>
  <c r="D15" i="8"/>
  <c r="E15" i="8" s="1"/>
  <c r="F15" i="8" s="1"/>
  <c r="G15" i="8" s="1"/>
  <c r="H15" i="8" s="1"/>
  <c r="C15" i="8"/>
  <c r="B15" i="8"/>
  <c r="P13" i="8"/>
  <c r="Q13" i="8" s="1"/>
  <c r="P8" i="8"/>
  <c r="Q8" i="8" s="1"/>
  <c r="C8" i="8"/>
  <c r="F32" i="8" s="1"/>
  <c r="P5" i="8"/>
  <c r="R304" i="7"/>
  <c r="Q304" i="7"/>
  <c r="P304" i="7"/>
  <c r="O304" i="7"/>
  <c r="N304" i="7"/>
  <c r="M304" i="7"/>
  <c r="R303" i="7"/>
  <c r="Q303" i="7"/>
  <c r="P303" i="7"/>
  <c r="O303" i="7"/>
  <c r="T303" i="7" s="1"/>
  <c r="N303" i="7"/>
  <c r="M303" i="7"/>
  <c r="R302" i="7"/>
  <c r="Q302" i="7"/>
  <c r="P302" i="7"/>
  <c r="O302" i="7"/>
  <c r="T302" i="7" s="1"/>
  <c r="N302" i="7"/>
  <c r="M302" i="7"/>
  <c r="R301" i="7"/>
  <c r="Q301" i="7"/>
  <c r="P301" i="7"/>
  <c r="O301" i="7"/>
  <c r="N301" i="7"/>
  <c r="M301" i="7"/>
  <c r="R300" i="7"/>
  <c r="Q300" i="7"/>
  <c r="P300" i="7"/>
  <c r="O300" i="7"/>
  <c r="T300" i="7" s="1"/>
  <c r="N300" i="7"/>
  <c r="M300" i="7"/>
  <c r="R299" i="7"/>
  <c r="Q299" i="7"/>
  <c r="P299" i="7"/>
  <c r="O299" i="7"/>
  <c r="T299" i="7" s="1"/>
  <c r="N299" i="7"/>
  <c r="M299" i="7"/>
  <c r="R298" i="7"/>
  <c r="Q298" i="7"/>
  <c r="P298" i="7"/>
  <c r="O298" i="7"/>
  <c r="T298" i="7" s="1"/>
  <c r="N298" i="7"/>
  <c r="M298" i="7"/>
  <c r="R297" i="7"/>
  <c r="Q297" i="7"/>
  <c r="P297" i="7"/>
  <c r="O297" i="7"/>
  <c r="T297" i="7" s="1"/>
  <c r="N297" i="7"/>
  <c r="M297" i="7"/>
  <c r="R296" i="7"/>
  <c r="Q296" i="7"/>
  <c r="P296" i="7"/>
  <c r="O296" i="7"/>
  <c r="T296" i="7" s="1"/>
  <c r="N296" i="7"/>
  <c r="M296" i="7"/>
  <c r="R295" i="7"/>
  <c r="Q295" i="7"/>
  <c r="P295" i="7"/>
  <c r="O295" i="7"/>
  <c r="T295" i="7" s="1"/>
  <c r="N295" i="7"/>
  <c r="M295" i="7"/>
  <c r="R294" i="7"/>
  <c r="Q294" i="7"/>
  <c r="P294" i="7"/>
  <c r="O294" i="7"/>
  <c r="N294" i="7"/>
  <c r="M294" i="7"/>
  <c r="R293" i="7"/>
  <c r="Q293" i="7"/>
  <c r="P293" i="7"/>
  <c r="O293" i="7"/>
  <c r="N293" i="7"/>
  <c r="M293" i="7"/>
  <c r="R292" i="7"/>
  <c r="Q292" i="7"/>
  <c r="P292" i="7"/>
  <c r="O292" i="7"/>
  <c r="T292" i="7" s="1"/>
  <c r="N292" i="7"/>
  <c r="M292" i="7"/>
  <c r="R291" i="7"/>
  <c r="Q291" i="7"/>
  <c r="P291" i="7"/>
  <c r="O291" i="7"/>
  <c r="T291" i="7" s="1"/>
  <c r="N291" i="7"/>
  <c r="M291" i="7"/>
  <c r="R290" i="7"/>
  <c r="Q290" i="7"/>
  <c r="P290" i="7"/>
  <c r="O290" i="7"/>
  <c r="T290" i="7" s="1"/>
  <c r="N290" i="7"/>
  <c r="M290" i="7"/>
  <c r="R289" i="7"/>
  <c r="Q289" i="7"/>
  <c r="P289" i="7"/>
  <c r="O289" i="7"/>
  <c r="N289" i="7"/>
  <c r="M289" i="7"/>
  <c r="R288" i="7"/>
  <c r="Q288" i="7"/>
  <c r="P288" i="7"/>
  <c r="O288" i="7"/>
  <c r="T288" i="7" s="1"/>
  <c r="N288" i="7"/>
  <c r="M288" i="7"/>
  <c r="R287" i="7"/>
  <c r="Q287" i="7"/>
  <c r="P287" i="7"/>
  <c r="O287" i="7"/>
  <c r="T287" i="7" s="1"/>
  <c r="N287" i="7"/>
  <c r="M287" i="7"/>
  <c r="R286" i="7"/>
  <c r="Q286" i="7"/>
  <c r="P286" i="7"/>
  <c r="O286" i="7"/>
  <c r="T286" i="7" s="1"/>
  <c r="N286" i="7"/>
  <c r="M286" i="7"/>
  <c r="R285" i="7"/>
  <c r="Q285" i="7"/>
  <c r="P285" i="7"/>
  <c r="O285" i="7"/>
  <c r="T285" i="7" s="1"/>
  <c r="N285" i="7"/>
  <c r="M285" i="7"/>
  <c r="R284" i="7"/>
  <c r="Q284" i="7"/>
  <c r="P284" i="7"/>
  <c r="O284" i="7"/>
  <c r="T284" i="7" s="1"/>
  <c r="N284" i="7"/>
  <c r="M284" i="7"/>
  <c r="R283" i="7"/>
  <c r="Q283" i="7"/>
  <c r="P283" i="7"/>
  <c r="O283" i="7"/>
  <c r="T283" i="7" s="1"/>
  <c r="N283" i="7"/>
  <c r="M283" i="7"/>
  <c r="R282" i="7"/>
  <c r="Q282" i="7"/>
  <c r="P282" i="7"/>
  <c r="O282" i="7"/>
  <c r="T282" i="7" s="1"/>
  <c r="N282" i="7"/>
  <c r="M282" i="7"/>
  <c r="R281" i="7"/>
  <c r="Q281" i="7"/>
  <c r="P281" i="7"/>
  <c r="O281" i="7"/>
  <c r="T281" i="7" s="1"/>
  <c r="N281" i="7"/>
  <c r="M281" i="7"/>
  <c r="R280" i="7"/>
  <c r="Q280" i="7"/>
  <c r="P280" i="7"/>
  <c r="O280" i="7"/>
  <c r="T280" i="7" s="1"/>
  <c r="N280" i="7"/>
  <c r="M280" i="7"/>
  <c r="R279" i="7"/>
  <c r="Q279" i="7"/>
  <c r="P279" i="7"/>
  <c r="O279" i="7"/>
  <c r="T279" i="7" s="1"/>
  <c r="N279" i="7"/>
  <c r="M279" i="7"/>
  <c r="R278" i="7"/>
  <c r="Q278" i="7"/>
  <c r="P278" i="7"/>
  <c r="O278" i="7"/>
  <c r="T278" i="7" s="1"/>
  <c r="N278" i="7"/>
  <c r="M278" i="7"/>
  <c r="R277" i="7"/>
  <c r="Q277" i="7"/>
  <c r="P277" i="7"/>
  <c r="O277" i="7"/>
  <c r="T277" i="7" s="1"/>
  <c r="N277" i="7"/>
  <c r="M277" i="7"/>
  <c r="R276" i="7"/>
  <c r="Q276" i="7"/>
  <c r="P276" i="7"/>
  <c r="O276" i="7"/>
  <c r="T276" i="7" s="1"/>
  <c r="N276" i="7"/>
  <c r="M276" i="7"/>
  <c r="R275" i="7"/>
  <c r="Q275" i="7"/>
  <c r="P275" i="7"/>
  <c r="O275" i="7"/>
  <c r="T275" i="7" s="1"/>
  <c r="N275" i="7"/>
  <c r="M275" i="7"/>
  <c r="R274" i="7"/>
  <c r="Q274" i="7"/>
  <c r="P274" i="7"/>
  <c r="O274" i="7"/>
  <c r="T274" i="7" s="1"/>
  <c r="N274" i="7"/>
  <c r="M274" i="7"/>
  <c r="R273" i="7"/>
  <c r="Q273" i="7"/>
  <c r="P273" i="7"/>
  <c r="O273" i="7"/>
  <c r="T273" i="7" s="1"/>
  <c r="N273" i="7"/>
  <c r="M273" i="7"/>
  <c r="R272" i="7"/>
  <c r="Q272" i="7"/>
  <c r="P272" i="7"/>
  <c r="O272" i="7"/>
  <c r="T272" i="7" s="1"/>
  <c r="N272" i="7"/>
  <c r="M272" i="7"/>
  <c r="R271" i="7"/>
  <c r="Q271" i="7"/>
  <c r="P271" i="7"/>
  <c r="O271" i="7"/>
  <c r="T271" i="7" s="1"/>
  <c r="N271" i="7"/>
  <c r="M271" i="7"/>
  <c r="R270" i="7"/>
  <c r="Q270" i="7"/>
  <c r="P270" i="7"/>
  <c r="O270" i="7"/>
  <c r="T270" i="7" s="1"/>
  <c r="N270" i="7"/>
  <c r="M270" i="7"/>
  <c r="R269" i="7"/>
  <c r="Q269" i="7"/>
  <c r="P269" i="7"/>
  <c r="O269" i="7"/>
  <c r="T269" i="7" s="1"/>
  <c r="N269" i="7"/>
  <c r="M269" i="7"/>
  <c r="R268" i="7"/>
  <c r="Q268" i="7"/>
  <c r="P268" i="7"/>
  <c r="O268" i="7"/>
  <c r="T268" i="7" s="1"/>
  <c r="N268" i="7"/>
  <c r="M268" i="7"/>
  <c r="R267" i="7"/>
  <c r="Q267" i="7"/>
  <c r="P267" i="7"/>
  <c r="O267" i="7"/>
  <c r="T267" i="7" s="1"/>
  <c r="N267" i="7"/>
  <c r="M267" i="7"/>
  <c r="R266" i="7"/>
  <c r="Q266" i="7"/>
  <c r="P266" i="7"/>
  <c r="O266" i="7"/>
  <c r="T266" i="7" s="1"/>
  <c r="N266" i="7"/>
  <c r="M266" i="7"/>
  <c r="R265" i="7"/>
  <c r="Q265" i="7"/>
  <c r="P265" i="7"/>
  <c r="O265" i="7"/>
  <c r="T265" i="7" s="1"/>
  <c r="N265" i="7"/>
  <c r="M265" i="7"/>
  <c r="R264" i="7"/>
  <c r="Q264" i="7"/>
  <c r="P264" i="7"/>
  <c r="O264" i="7"/>
  <c r="T264" i="7" s="1"/>
  <c r="N264" i="7"/>
  <c r="M264" i="7"/>
  <c r="R263" i="7"/>
  <c r="Q263" i="7"/>
  <c r="P263" i="7"/>
  <c r="O263" i="7"/>
  <c r="T263" i="7" s="1"/>
  <c r="N263" i="7"/>
  <c r="M263" i="7"/>
  <c r="R262" i="7"/>
  <c r="Q262" i="7"/>
  <c r="P262" i="7"/>
  <c r="O262" i="7"/>
  <c r="T262" i="7" s="1"/>
  <c r="N262" i="7"/>
  <c r="M262" i="7"/>
  <c r="R261" i="7"/>
  <c r="Q261" i="7"/>
  <c r="P261" i="7"/>
  <c r="O261" i="7"/>
  <c r="T261" i="7" s="1"/>
  <c r="N261" i="7"/>
  <c r="M261" i="7"/>
  <c r="R260" i="7"/>
  <c r="Q260" i="7"/>
  <c r="P260" i="7"/>
  <c r="O260" i="7"/>
  <c r="T260" i="7" s="1"/>
  <c r="N260" i="7"/>
  <c r="M260" i="7"/>
  <c r="R259" i="7"/>
  <c r="Q259" i="7"/>
  <c r="P259" i="7"/>
  <c r="O259" i="7"/>
  <c r="T259" i="7" s="1"/>
  <c r="N259" i="7"/>
  <c r="M259" i="7"/>
  <c r="R258" i="7"/>
  <c r="Q258" i="7"/>
  <c r="P258" i="7"/>
  <c r="O258" i="7"/>
  <c r="T258" i="7" s="1"/>
  <c r="N258" i="7"/>
  <c r="M258" i="7"/>
  <c r="R257" i="7"/>
  <c r="Q257" i="7"/>
  <c r="P257" i="7"/>
  <c r="O257" i="7"/>
  <c r="T257" i="7" s="1"/>
  <c r="N257" i="7"/>
  <c r="M257" i="7"/>
  <c r="R256" i="7"/>
  <c r="Q256" i="7"/>
  <c r="P256" i="7"/>
  <c r="O256" i="7"/>
  <c r="T256" i="7" s="1"/>
  <c r="N256" i="7"/>
  <c r="M256" i="7"/>
  <c r="R255" i="7"/>
  <c r="Q255" i="7"/>
  <c r="P255" i="7"/>
  <c r="O255" i="7"/>
  <c r="T255" i="7" s="1"/>
  <c r="N255" i="7"/>
  <c r="M255" i="7"/>
  <c r="R254" i="7"/>
  <c r="Q254" i="7"/>
  <c r="P254" i="7"/>
  <c r="O254" i="7"/>
  <c r="T254" i="7" s="1"/>
  <c r="N254" i="7"/>
  <c r="M254" i="7"/>
  <c r="R253" i="7"/>
  <c r="Q253" i="7"/>
  <c r="P253" i="7"/>
  <c r="O253" i="7"/>
  <c r="T253" i="7" s="1"/>
  <c r="N253" i="7"/>
  <c r="M253" i="7"/>
  <c r="R252" i="7"/>
  <c r="Q252" i="7"/>
  <c r="P252" i="7"/>
  <c r="O252" i="7"/>
  <c r="T252" i="7" s="1"/>
  <c r="N252" i="7"/>
  <c r="M252" i="7"/>
  <c r="R251" i="7"/>
  <c r="Q251" i="7"/>
  <c r="P251" i="7"/>
  <c r="O251" i="7"/>
  <c r="T251" i="7" s="1"/>
  <c r="N251" i="7"/>
  <c r="M251" i="7"/>
  <c r="R250" i="7"/>
  <c r="Q250" i="7"/>
  <c r="P250" i="7"/>
  <c r="O250" i="7"/>
  <c r="T250" i="7" s="1"/>
  <c r="N250" i="7"/>
  <c r="M250" i="7"/>
  <c r="R249" i="7"/>
  <c r="Q249" i="7"/>
  <c r="P249" i="7"/>
  <c r="O249" i="7"/>
  <c r="T249" i="7" s="1"/>
  <c r="N249" i="7"/>
  <c r="M249" i="7"/>
  <c r="R248" i="7"/>
  <c r="Q248" i="7"/>
  <c r="P248" i="7"/>
  <c r="O248" i="7"/>
  <c r="T248" i="7" s="1"/>
  <c r="N248" i="7"/>
  <c r="M248" i="7"/>
  <c r="R247" i="7"/>
  <c r="Q247" i="7"/>
  <c r="P247" i="7"/>
  <c r="O247" i="7"/>
  <c r="T247" i="7" s="1"/>
  <c r="N247" i="7"/>
  <c r="M247" i="7"/>
  <c r="R246" i="7"/>
  <c r="Q246" i="7"/>
  <c r="P246" i="7"/>
  <c r="O246" i="7"/>
  <c r="T246" i="7" s="1"/>
  <c r="N246" i="7"/>
  <c r="M246" i="7"/>
  <c r="R245" i="7"/>
  <c r="Q245" i="7"/>
  <c r="P245" i="7"/>
  <c r="O245" i="7"/>
  <c r="T245" i="7" s="1"/>
  <c r="N245" i="7"/>
  <c r="M245" i="7"/>
  <c r="R244" i="7"/>
  <c r="Q244" i="7"/>
  <c r="P244" i="7"/>
  <c r="O244" i="7"/>
  <c r="T244" i="7" s="1"/>
  <c r="N244" i="7"/>
  <c r="R243" i="7"/>
  <c r="Q243" i="7"/>
  <c r="P243" i="7"/>
  <c r="O243" i="7"/>
  <c r="N243" i="7"/>
  <c r="R242" i="7"/>
  <c r="Q242" i="7"/>
  <c r="P242" i="7"/>
  <c r="O242" i="7"/>
  <c r="T242" i="7" s="1"/>
  <c r="N242" i="7"/>
  <c r="R241" i="7"/>
  <c r="Q241" i="7"/>
  <c r="P241" i="7"/>
  <c r="O241" i="7"/>
  <c r="N241" i="7"/>
  <c r="R240" i="7"/>
  <c r="Q240" i="7"/>
  <c r="P240" i="7"/>
  <c r="O240" i="7"/>
  <c r="T240" i="7" s="1"/>
  <c r="N240" i="7"/>
  <c r="R239" i="7"/>
  <c r="Q239" i="7"/>
  <c r="P239" i="7"/>
  <c r="O239" i="7"/>
  <c r="N239" i="7"/>
  <c r="R238" i="7"/>
  <c r="Q238" i="7"/>
  <c r="P238" i="7"/>
  <c r="O238" i="7"/>
  <c r="T238" i="7" s="1"/>
  <c r="N238" i="7"/>
  <c r="R237" i="7"/>
  <c r="Q237" i="7"/>
  <c r="P237" i="7"/>
  <c r="O237" i="7"/>
  <c r="T237" i="7" s="1"/>
  <c r="N237" i="7"/>
  <c r="R236" i="7"/>
  <c r="Q236" i="7"/>
  <c r="P236" i="7"/>
  <c r="O236" i="7"/>
  <c r="T236" i="7" s="1"/>
  <c r="N236" i="7"/>
  <c r="R235" i="7"/>
  <c r="Q235" i="7"/>
  <c r="P235" i="7"/>
  <c r="O235" i="7"/>
  <c r="N235" i="7"/>
  <c r="R234" i="7"/>
  <c r="Q234" i="7"/>
  <c r="P234" i="7"/>
  <c r="O234" i="7"/>
  <c r="T234" i="7" s="1"/>
  <c r="N234" i="7"/>
  <c r="R233" i="7"/>
  <c r="Q233" i="7"/>
  <c r="P233" i="7"/>
  <c r="O233" i="7"/>
  <c r="N233" i="7"/>
  <c r="R232" i="7"/>
  <c r="Q232" i="7"/>
  <c r="P232" i="7"/>
  <c r="O232" i="7"/>
  <c r="T232" i="7" s="1"/>
  <c r="N232" i="7"/>
  <c r="R231" i="7"/>
  <c r="Q231" i="7"/>
  <c r="P231" i="7"/>
  <c r="O231" i="7"/>
  <c r="N231" i="7"/>
  <c r="R230" i="7"/>
  <c r="Q230" i="7"/>
  <c r="P230" i="7"/>
  <c r="O230" i="7"/>
  <c r="T230" i="7" s="1"/>
  <c r="N230" i="7"/>
  <c r="R229" i="7"/>
  <c r="Q229" i="7"/>
  <c r="P229" i="7"/>
  <c r="O229" i="7"/>
  <c r="N229" i="7"/>
  <c r="R228" i="7"/>
  <c r="Q228" i="7"/>
  <c r="P228" i="7"/>
  <c r="O228" i="7"/>
  <c r="T228" i="7" s="1"/>
  <c r="N228" i="7"/>
  <c r="R227" i="7"/>
  <c r="Q227" i="7"/>
  <c r="P227" i="7"/>
  <c r="O227" i="7"/>
  <c r="N227" i="7"/>
  <c r="R226" i="7"/>
  <c r="Q226" i="7"/>
  <c r="P226" i="7"/>
  <c r="O226" i="7"/>
  <c r="T226" i="7" s="1"/>
  <c r="N226" i="7"/>
  <c r="R225" i="7"/>
  <c r="Q225" i="7"/>
  <c r="P225" i="7"/>
  <c r="O225" i="7"/>
  <c r="N225" i="7"/>
  <c r="R224" i="7"/>
  <c r="Q224" i="7"/>
  <c r="P224" i="7"/>
  <c r="O224" i="7"/>
  <c r="T224" i="7" s="1"/>
  <c r="N224" i="7"/>
  <c r="R223" i="7"/>
  <c r="Q223" i="7"/>
  <c r="P223" i="7"/>
  <c r="O223" i="7"/>
  <c r="N223" i="7"/>
  <c r="R222" i="7"/>
  <c r="Q222" i="7"/>
  <c r="P222" i="7"/>
  <c r="O222" i="7"/>
  <c r="T222" i="7" s="1"/>
  <c r="N222" i="7"/>
  <c r="R221" i="7"/>
  <c r="Q221" i="7"/>
  <c r="P221" i="7"/>
  <c r="O221" i="7"/>
  <c r="T221" i="7" s="1"/>
  <c r="N221" i="7"/>
  <c r="R220" i="7"/>
  <c r="Q220" i="7"/>
  <c r="P220" i="7"/>
  <c r="O220" i="7"/>
  <c r="T220" i="7" s="1"/>
  <c r="N220" i="7"/>
  <c r="R219" i="7"/>
  <c r="Q219" i="7"/>
  <c r="P219" i="7"/>
  <c r="O219" i="7"/>
  <c r="N219" i="7"/>
  <c r="R218" i="7"/>
  <c r="Q218" i="7"/>
  <c r="P218" i="7"/>
  <c r="O218" i="7"/>
  <c r="T218" i="7" s="1"/>
  <c r="N218" i="7"/>
  <c r="R217" i="7"/>
  <c r="Q217" i="7"/>
  <c r="P217" i="7"/>
  <c r="O217" i="7"/>
  <c r="N217" i="7"/>
  <c r="R216" i="7"/>
  <c r="Q216" i="7"/>
  <c r="P216" i="7"/>
  <c r="O216" i="7"/>
  <c r="T216" i="7" s="1"/>
  <c r="N216" i="7"/>
  <c r="R215" i="7"/>
  <c r="Q215" i="7"/>
  <c r="P215" i="7"/>
  <c r="O215" i="7"/>
  <c r="N215" i="7"/>
  <c r="R214" i="7"/>
  <c r="Q214" i="7"/>
  <c r="P214" i="7"/>
  <c r="O214" i="7"/>
  <c r="T214" i="7" s="1"/>
  <c r="N214" i="7"/>
  <c r="R213" i="7"/>
  <c r="Q213" i="7"/>
  <c r="P213" i="7"/>
  <c r="O213" i="7"/>
  <c r="N213" i="7"/>
  <c r="R212" i="7"/>
  <c r="Q212" i="7"/>
  <c r="P212" i="7"/>
  <c r="O212" i="7"/>
  <c r="T212" i="7" s="1"/>
  <c r="N212" i="7"/>
  <c r="R211" i="7"/>
  <c r="Q211" i="7"/>
  <c r="P211" i="7"/>
  <c r="O211" i="7"/>
  <c r="N211" i="7"/>
  <c r="R210" i="7"/>
  <c r="Q210" i="7"/>
  <c r="P210" i="7"/>
  <c r="O210" i="7"/>
  <c r="T210" i="7" s="1"/>
  <c r="N210" i="7"/>
  <c r="R209" i="7"/>
  <c r="Q209" i="7"/>
  <c r="P209" i="7"/>
  <c r="O209" i="7"/>
  <c r="N209" i="7"/>
  <c r="R208" i="7"/>
  <c r="Q208" i="7"/>
  <c r="P208" i="7"/>
  <c r="O208" i="7"/>
  <c r="T208" i="7" s="1"/>
  <c r="N208" i="7"/>
  <c r="R207" i="7"/>
  <c r="Q207" i="7"/>
  <c r="P207" i="7"/>
  <c r="O207" i="7"/>
  <c r="N207" i="7"/>
  <c r="R206" i="7"/>
  <c r="Q206" i="7"/>
  <c r="P206" i="7"/>
  <c r="O206" i="7"/>
  <c r="T206" i="7" s="1"/>
  <c r="N206" i="7"/>
  <c r="R205" i="7"/>
  <c r="Q205" i="7"/>
  <c r="P205" i="7"/>
  <c r="O205" i="7"/>
  <c r="N205" i="7"/>
  <c r="R204" i="7"/>
  <c r="Q204" i="7"/>
  <c r="P204" i="7"/>
  <c r="O204" i="7"/>
  <c r="T204" i="7" s="1"/>
  <c r="N204" i="7"/>
  <c r="R203" i="7"/>
  <c r="Q203" i="7"/>
  <c r="P203" i="7"/>
  <c r="O203" i="7"/>
  <c r="T203" i="7" s="1"/>
  <c r="N203" i="7"/>
  <c r="R202" i="7"/>
  <c r="Q202" i="7"/>
  <c r="P202" i="7"/>
  <c r="O202" i="7"/>
  <c r="T202" i="7" s="1"/>
  <c r="N202" i="7"/>
  <c r="R201" i="7"/>
  <c r="Q201" i="7"/>
  <c r="P201" i="7"/>
  <c r="O201" i="7"/>
  <c r="N201" i="7"/>
  <c r="R200" i="7"/>
  <c r="Q200" i="7"/>
  <c r="P200" i="7"/>
  <c r="T200" i="7" s="1"/>
  <c r="O200" i="7"/>
  <c r="N200" i="7"/>
  <c r="R199" i="7"/>
  <c r="Q199" i="7"/>
  <c r="P199" i="7"/>
  <c r="O199" i="7"/>
  <c r="T199" i="7" s="1"/>
  <c r="N199" i="7"/>
  <c r="R198" i="7"/>
  <c r="Q198" i="7"/>
  <c r="P198" i="7"/>
  <c r="O198" i="7"/>
  <c r="N198" i="7"/>
  <c r="R197" i="7"/>
  <c r="Q197" i="7"/>
  <c r="P197" i="7"/>
  <c r="O197" i="7"/>
  <c r="N197" i="7"/>
  <c r="T196" i="7"/>
  <c r="R196" i="7"/>
  <c r="Q196" i="7"/>
  <c r="P196" i="7"/>
  <c r="O196" i="7"/>
  <c r="N196" i="7"/>
  <c r="R195" i="7"/>
  <c r="Q195" i="7"/>
  <c r="P195" i="7"/>
  <c r="O195" i="7"/>
  <c r="N195" i="7"/>
  <c r="R194" i="7"/>
  <c r="Q194" i="7"/>
  <c r="P194" i="7"/>
  <c r="O194" i="7"/>
  <c r="T194" i="7" s="1"/>
  <c r="N194" i="7"/>
  <c r="R193" i="7"/>
  <c r="Q193" i="7"/>
  <c r="P193" i="7"/>
  <c r="O193" i="7"/>
  <c r="N193" i="7"/>
  <c r="R192" i="7"/>
  <c r="Q192" i="7"/>
  <c r="P192" i="7"/>
  <c r="O192" i="7"/>
  <c r="N192" i="7"/>
  <c r="R191" i="7"/>
  <c r="Q191" i="7"/>
  <c r="P191" i="7"/>
  <c r="O191" i="7"/>
  <c r="N191" i="7"/>
  <c r="R190" i="7"/>
  <c r="Q190" i="7"/>
  <c r="P190" i="7"/>
  <c r="O190" i="7"/>
  <c r="T190" i="7" s="1"/>
  <c r="N190" i="7"/>
  <c r="R189" i="7"/>
  <c r="Q189" i="7"/>
  <c r="P189" i="7"/>
  <c r="O189" i="7"/>
  <c r="N189" i="7"/>
  <c r="R188" i="7"/>
  <c r="Q188" i="7"/>
  <c r="P188" i="7"/>
  <c r="O188" i="7"/>
  <c r="T188" i="7" s="1"/>
  <c r="N188" i="7"/>
  <c r="R187" i="7"/>
  <c r="Q187" i="7"/>
  <c r="P187" i="7"/>
  <c r="O187" i="7"/>
  <c r="T187" i="7" s="1"/>
  <c r="N187" i="7"/>
  <c r="R186" i="7"/>
  <c r="Q186" i="7"/>
  <c r="P186" i="7"/>
  <c r="O186" i="7"/>
  <c r="N186" i="7"/>
  <c r="R185" i="7"/>
  <c r="Q185" i="7"/>
  <c r="P185" i="7"/>
  <c r="O185" i="7"/>
  <c r="N185" i="7"/>
  <c r="T184" i="7"/>
  <c r="R184" i="7"/>
  <c r="Q184" i="7"/>
  <c r="P184" i="7"/>
  <c r="O184" i="7"/>
  <c r="N184" i="7"/>
  <c r="R183" i="7"/>
  <c r="Q183" i="7"/>
  <c r="P183" i="7"/>
  <c r="O183" i="7"/>
  <c r="N183" i="7"/>
  <c r="R182" i="7"/>
  <c r="Q182" i="7"/>
  <c r="P182" i="7"/>
  <c r="O182" i="7"/>
  <c r="T182" i="7" s="1"/>
  <c r="N182" i="7"/>
  <c r="R181" i="7"/>
  <c r="Q181" i="7"/>
  <c r="P181" i="7"/>
  <c r="O181" i="7"/>
  <c r="N181" i="7"/>
  <c r="R180" i="7"/>
  <c r="Q180" i="7"/>
  <c r="P180" i="7"/>
  <c r="O180" i="7"/>
  <c r="T180" i="7" s="1"/>
  <c r="N180" i="7"/>
  <c r="R179" i="7"/>
  <c r="Q179" i="7"/>
  <c r="P179" i="7"/>
  <c r="O179" i="7"/>
  <c r="T179" i="7" s="1"/>
  <c r="N179" i="7"/>
  <c r="R178" i="7"/>
  <c r="Q178" i="7"/>
  <c r="P178" i="7"/>
  <c r="O178" i="7"/>
  <c r="N178" i="7"/>
  <c r="R177" i="7"/>
  <c r="Q177" i="7"/>
  <c r="P177" i="7"/>
  <c r="O177" i="7"/>
  <c r="N177" i="7"/>
  <c r="R176" i="7"/>
  <c r="Q176" i="7"/>
  <c r="P176" i="7"/>
  <c r="T176" i="7" s="1"/>
  <c r="O176" i="7"/>
  <c r="N176" i="7"/>
  <c r="R175" i="7"/>
  <c r="Q175" i="7"/>
  <c r="P175" i="7"/>
  <c r="O175" i="7"/>
  <c r="T175" i="7" s="1"/>
  <c r="N175" i="7"/>
  <c r="R174" i="7"/>
  <c r="Q174" i="7"/>
  <c r="P174" i="7"/>
  <c r="O174" i="7"/>
  <c r="T174" i="7" s="1"/>
  <c r="N174" i="7"/>
  <c r="R173" i="7"/>
  <c r="Q173" i="7"/>
  <c r="P173" i="7"/>
  <c r="O173" i="7"/>
  <c r="T173" i="7" s="1"/>
  <c r="N173" i="7"/>
  <c r="R172" i="7"/>
  <c r="Q172" i="7"/>
  <c r="P172" i="7"/>
  <c r="O172" i="7"/>
  <c r="N172" i="7"/>
  <c r="R171" i="7"/>
  <c r="Q171" i="7"/>
  <c r="P171" i="7"/>
  <c r="O171" i="7"/>
  <c r="T171" i="7" s="1"/>
  <c r="N171" i="7"/>
  <c r="R170" i="7"/>
  <c r="Q170" i="7"/>
  <c r="P170" i="7"/>
  <c r="O170" i="7"/>
  <c r="N170" i="7"/>
  <c r="R169" i="7"/>
  <c r="Q169" i="7"/>
  <c r="P169" i="7"/>
  <c r="O169" i="7"/>
  <c r="T169" i="7" s="1"/>
  <c r="N169" i="7"/>
  <c r="R168" i="7"/>
  <c r="Q168" i="7"/>
  <c r="P168" i="7"/>
  <c r="O168" i="7"/>
  <c r="N168" i="7"/>
  <c r="R167" i="7"/>
  <c r="Q167" i="7"/>
  <c r="P167" i="7"/>
  <c r="O167" i="7"/>
  <c r="N167" i="7"/>
  <c r="R166" i="7"/>
  <c r="Q166" i="7"/>
  <c r="P166" i="7"/>
  <c r="O166" i="7"/>
  <c r="N166" i="7"/>
  <c r="R165" i="7"/>
  <c r="Q165" i="7"/>
  <c r="P165" i="7"/>
  <c r="O165" i="7"/>
  <c r="T165" i="7" s="1"/>
  <c r="N165" i="7"/>
  <c r="R164" i="7"/>
  <c r="Q164" i="7"/>
  <c r="P164" i="7"/>
  <c r="O164" i="7"/>
  <c r="N164" i="7"/>
  <c r="R163" i="7"/>
  <c r="Q163" i="7"/>
  <c r="P163" i="7"/>
  <c r="O163" i="7"/>
  <c r="T163" i="7" s="1"/>
  <c r="N163" i="7"/>
  <c r="R162" i="7"/>
  <c r="Q162" i="7"/>
  <c r="P162" i="7"/>
  <c r="O162" i="7"/>
  <c r="N162" i="7"/>
  <c r="R161" i="7"/>
  <c r="Q161" i="7"/>
  <c r="P161" i="7"/>
  <c r="O161" i="7"/>
  <c r="T161" i="7" s="1"/>
  <c r="N161" i="7"/>
  <c r="R160" i="7"/>
  <c r="Q160" i="7"/>
  <c r="P160" i="7"/>
  <c r="O160" i="7"/>
  <c r="N160" i="7"/>
  <c r="R159" i="7"/>
  <c r="Q159" i="7"/>
  <c r="P159" i="7"/>
  <c r="O159" i="7"/>
  <c r="T159" i="7" s="1"/>
  <c r="N159" i="7"/>
  <c r="R158" i="7"/>
  <c r="Q158" i="7"/>
  <c r="P158" i="7"/>
  <c r="O158" i="7"/>
  <c r="T158" i="7" s="1"/>
  <c r="N158" i="7"/>
  <c r="R157" i="7"/>
  <c r="Q157" i="7"/>
  <c r="P157" i="7"/>
  <c r="O157" i="7"/>
  <c r="T157" i="7" s="1"/>
  <c r="N157" i="7"/>
  <c r="R156" i="7"/>
  <c r="Q156" i="7"/>
  <c r="P156" i="7"/>
  <c r="O156" i="7"/>
  <c r="N156" i="7"/>
  <c r="R155" i="7"/>
  <c r="Q155" i="7"/>
  <c r="P155" i="7"/>
  <c r="O155" i="7"/>
  <c r="T155" i="7" s="1"/>
  <c r="N155" i="7"/>
  <c r="R154" i="7"/>
  <c r="Q154" i="7"/>
  <c r="P154" i="7"/>
  <c r="O154" i="7"/>
  <c r="N154" i="7"/>
  <c r="R153" i="7"/>
  <c r="Q153" i="7"/>
  <c r="P153" i="7"/>
  <c r="O153" i="7"/>
  <c r="T153" i="7" s="1"/>
  <c r="N153" i="7"/>
  <c r="R152" i="7"/>
  <c r="Q152" i="7"/>
  <c r="P152" i="7"/>
  <c r="O152" i="7"/>
  <c r="N152" i="7"/>
  <c r="R151" i="7"/>
  <c r="Q151" i="7"/>
  <c r="P151" i="7"/>
  <c r="O151" i="7"/>
  <c r="N151" i="7"/>
  <c r="R150" i="7"/>
  <c r="Q150" i="7"/>
  <c r="P150" i="7"/>
  <c r="O150" i="7"/>
  <c r="T150" i="7" s="1"/>
  <c r="N150" i="7"/>
  <c r="R149" i="7"/>
  <c r="Q149" i="7"/>
  <c r="P149" i="7"/>
  <c r="O149" i="7"/>
  <c r="T149" i="7" s="1"/>
  <c r="N149" i="7"/>
  <c r="R148" i="7"/>
  <c r="Q148" i="7"/>
  <c r="P148" i="7"/>
  <c r="O148" i="7"/>
  <c r="N148" i="7"/>
  <c r="R147" i="7"/>
  <c r="Q147" i="7"/>
  <c r="P147" i="7"/>
  <c r="O147" i="7"/>
  <c r="T147" i="7" s="1"/>
  <c r="N147" i="7"/>
  <c r="R146" i="7"/>
  <c r="Q146" i="7"/>
  <c r="P146" i="7"/>
  <c r="O146" i="7"/>
  <c r="N146" i="7"/>
  <c r="R145" i="7"/>
  <c r="Q145" i="7"/>
  <c r="P145" i="7"/>
  <c r="O145" i="7"/>
  <c r="T145" i="7" s="1"/>
  <c r="N145" i="7"/>
  <c r="R144" i="7"/>
  <c r="Q144" i="7"/>
  <c r="P144" i="7"/>
  <c r="O144" i="7"/>
  <c r="N144" i="7"/>
  <c r="R143" i="7"/>
  <c r="Q143" i="7"/>
  <c r="P143" i="7"/>
  <c r="O143" i="7"/>
  <c r="T143" i="7" s="1"/>
  <c r="N143" i="7"/>
  <c r="R142" i="7"/>
  <c r="Q142" i="7"/>
  <c r="P142" i="7"/>
  <c r="O142" i="7"/>
  <c r="T142" i="7" s="1"/>
  <c r="N142" i="7"/>
  <c r="R141" i="7"/>
  <c r="Q141" i="7"/>
  <c r="P141" i="7"/>
  <c r="O141" i="7"/>
  <c r="T141" i="7" s="1"/>
  <c r="N141" i="7"/>
  <c r="R140" i="7"/>
  <c r="Q140" i="7"/>
  <c r="P140" i="7"/>
  <c r="O140" i="7"/>
  <c r="N140" i="7"/>
  <c r="R139" i="7"/>
  <c r="Q139" i="7"/>
  <c r="P139" i="7"/>
  <c r="O139" i="7"/>
  <c r="T139" i="7" s="1"/>
  <c r="N139" i="7"/>
  <c r="R138" i="7"/>
  <c r="Q138" i="7"/>
  <c r="P138" i="7"/>
  <c r="O138" i="7"/>
  <c r="N138" i="7"/>
  <c r="R137" i="7"/>
  <c r="Q137" i="7"/>
  <c r="P137" i="7"/>
  <c r="O137" i="7"/>
  <c r="T137" i="7" s="1"/>
  <c r="N137" i="7"/>
  <c r="R136" i="7"/>
  <c r="Q136" i="7"/>
  <c r="P136" i="7"/>
  <c r="O136" i="7"/>
  <c r="N136" i="7"/>
  <c r="R135" i="7"/>
  <c r="Q135" i="7"/>
  <c r="P135" i="7"/>
  <c r="O135" i="7"/>
  <c r="N135" i="7"/>
  <c r="R134" i="7"/>
  <c r="Q134" i="7"/>
  <c r="P134" i="7"/>
  <c r="O134" i="7"/>
  <c r="T134" i="7" s="1"/>
  <c r="N134" i="7"/>
  <c r="R133" i="7"/>
  <c r="Q133" i="7"/>
  <c r="P133" i="7"/>
  <c r="O133" i="7"/>
  <c r="T133" i="7" s="1"/>
  <c r="N133" i="7"/>
  <c r="R132" i="7"/>
  <c r="Q132" i="7"/>
  <c r="P132" i="7"/>
  <c r="O132" i="7"/>
  <c r="N132" i="7"/>
  <c r="R131" i="7"/>
  <c r="Q131" i="7"/>
  <c r="P131" i="7"/>
  <c r="O131" i="7"/>
  <c r="T131" i="7" s="1"/>
  <c r="N131" i="7"/>
  <c r="R130" i="7"/>
  <c r="Q130" i="7"/>
  <c r="P130" i="7"/>
  <c r="O130" i="7"/>
  <c r="N130" i="7"/>
  <c r="R129" i="7"/>
  <c r="Q129" i="7"/>
  <c r="P129" i="7"/>
  <c r="O129" i="7"/>
  <c r="T129" i="7" s="1"/>
  <c r="N129" i="7"/>
  <c r="R128" i="7"/>
  <c r="Q128" i="7"/>
  <c r="P128" i="7"/>
  <c r="O128" i="7"/>
  <c r="N128" i="7"/>
  <c r="R127" i="7"/>
  <c r="Q127" i="7"/>
  <c r="P127" i="7"/>
  <c r="O127" i="7"/>
  <c r="T127" i="7" s="1"/>
  <c r="N127" i="7"/>
  <c r="R126" i="7"/>
  <c r="Q126" i="7"/>
  <c r="P126" i="7"/>
  <c r="O126" i="7"/>
  <c r="T126" i="7" s="1"/>
  <c r="N126" i="7"/>
  <c r="R125" i="7"/>
  <c r="Q125" i="7"/>
  <c r="P125" i="7"/>
  <c r="O125" i="7"/>
  <c r="T125" i="7" s="1"/>
  <c r="N125" i="7"/>
  <c r="R124" i="7"/>
  <c r="Q124" i="7"/>
  <c r="P124" i="7"/>
  <c r="O124" i="7"/>
  <c r="N124" i="7"/>
  <c r="R123" i="7"/>
  <c r="Q123" i="7"/>
  <c r="P123" i="7"/>
  <c r="O123" i="7"/>
  <c r="T123" i="7" s="1"/>
  <c r="N123" i="7"/>
  <c r="R122" i="7"/>
  <c r="Q122" i="7"/>
  <c r="P122" i="7"/>
  <c r="O122" i="7"/>
  <c r="N122" i="7"/>
  <c r="R121" i="7"/>
  <c r="Q121" i="7"/>
  <c r="P121" i="7"/>
  <c r="O121" i="7"/>
  <c r="T121" i="7" s="1"/>
  <c r="N121" i="7"/>
  <c r="R120" i="7"/>
  <c r="Q120" i="7"/>
  <c r="P120" i="7"/>
  <c r="O120" i="7"/>
  <c r="N120" i="7"/>
  <c r="R119" i="7"/>
  <c r="Q119" i="7"/>
  <c r="P119" i="7"/>
  <c r="O119" i="7"/>
  <c r="N119" i="7"/>
  <c r="R118" i="7"/>
  <c r="Q118" i="7"/>
  <c r="P118" i="7"/>
  <c r="O118" i="7"/>
  <c r="N118" i="7"/>
  <c r="R117" i="7"/>
  <c r="Q117" i="7"/>
  <c r="P117" i="7"/>
  <c r="O117" i="7"/>
  <c r="T117" i="7" s="1"/>
  <c r="N117" i="7"/>
  <c r="R116" i="7"/>
  <c r="Q116" i="7"/>
  <c r="P116" i="7"/>
  <c r="O116" i="7"/>
  <c r="N116" i="7"/>
  <c r="R115" i="7"/>
  <c r="Q115" i="7"/>
  <c r="P115" i="7"/>
  <c r="O115" i="7"/>
  <c r="T115" i="7" s="1"/>
  <c r="N115" i="7"/>
  <c r="R114" i="7"/>
  <c r="Q114" i="7"/>
  <c r="P114" i="7"/>
  <c r="O114" i="7"/>
  <c r="N114" i="7"/>
  <c r="R113" i="7"/>
  <c r="Q113" i="7"/>
  <c r="P113" i="7"/>
  <c r="O113" i="7"/>
  <c r="T113" i="7" s="1"/>
  <c r="N113" i="7"/>
  <c r="R112" i="7"/>
  <c r="Q112" i="7"/>
  <c r="P112" i="7"/>
  <c r="O112" i="7"/>
  <c r="N112" i="7"/>
  <c r="R111" i="7"/>
  <c r="Q111" i="7"/>
  <c r="P111" i="7"/>
  <c r="O111" i="7"/>
  <c r="T111" i="7" s="1"/>
  <c r="N111" i="7"/>
  <c r="R110" i="7"/>
  <c r="Q110" i="7"/>
  <c r="P110" i="7"/>
  <c r="O110" i="7"/>
  <c r="T110" i="7" s="1"/>
  <c r="N110" i="7"/>
  <c r="R109" i="7"/>
  <c r="Q109" i="7"/>
  <c r="P109" i="7"/>
  <c r="O109" i="7"/>
  <c r="T109" i="7" s="1"/>
  <c r="N109" i="7"/>
  <c r="R108" i="7"/>
  <c r="Q108" i="7"/>
  <c r="P108" i="7"/>
  <c r="O108" i="7"/>
  <c r="N108" i="7"/>
  <c r="R107" i="7"/>
  <c r="Q107" i="7"/>
  <c r="P107" i="7"/>
  <c r="O107" i="7"/>
  <c r="T107" i="7" s="1"/>
  <c r="N107" i="7"/>
  <c r="R106" i="7"/>
  <c r="Q106" i="7"/>
  <c r="P106" i="7"/>
  <c r="O106" i="7"/>
  <c r="T106" i="7" s="1"/>
  <c r="N106" i="7"/>
  <c r="R105" i="7"/>
  <c r="Q105" i="7"/>
  <c r="P105" i="7"/>
  <c r="O105" i="7"/>
  <c r="T105" i="7" s="1"/>
  <c r="N105" i="7"/>
  <c r="R104" i="7"/>
  <c r="Q104" i="7"/>
  <c r="P104" i="7"/>
  <c r="O104" i="7"/>
  <c r="N104" i="7"/>
  <c r="R103" i="7"/>
  <c r="Q103" i="7"/>
  <c r="P103" i="7"/>
  <c r="O103" i="7"/>
  <c r="N103" i="7"/>
  <c r="R102" i="7"/>
  <c r="Q102" i="7"/>
  <c r="P102" i="7"/>
  <c r="O102" i="7"/>
  <c r="N102" i="7"/>
  <c r="R101" i="7"/>
  <c r="Q101" i="7"/>
  <c r="P101" i="7"/>
  <c r="O101" i="7"/>
  <c r="T101" i="7" s="1"/>
  <c r="N101" i="7"/>
  <c r="R100" i="7"/>
  <c r="Q100" i="7"/>
  <c r="P100" i="7"/>
  <c r="O100" i="7"/>
  <c r="N100" i="7"/>
  <c r="R99" i="7"/>
  <c r="Q99" i="7"/>
  <c r="P99" i="7"/>
  <c r="O99" i="7"/>
  <c r="T99" i="7" s="1"/>
  <c r="N99" i="7"/>
  <c r="R98" i="7"/>
  <c r="Q98" i="7"/>
  <c r="P98" i="7"/>
  <c r="O98" i="7"/>
  <c r="N98" i="7"/>
  <c r="R97" i="7"/>
  <c r="Q97" i="7"/>
  <c r="P97" i="7"/>
  <c r="O97" i="7"/>
  <c r="T97" i="7" s="1"/>
  <c r="N97" i="7"/>
  <c r="R96" i="7"/>
  <c r="Q96" i="7"/>
  <c r="P96" i="7"/>
  <c r="O96" i="7"/>
  <c r="N96" i="7"/>
  <c r="R95" i="7"/>
  <c r="Q95" i="7"/>
  <c r="P95" i="7"/>
  <c r="O95" i="7"/>
  <c r="T95" i="7" s="1"/>
  <c r="N95" i="7"/>
  <c r="R94" i="7"/>
  <c r="Q94" i="7"/>
  <c r="P94" i="7"/>
  <c r="O94" i="7"/>
  <c r="T94" i="7" s="1"/>
  <c r="N94" i="7"/>
  <c r="R93" i="7"/>
  <c r="Q93" i="7"/>
  <c r="P93" i="7"/>
  <c r="O93" i="7"/>
  <c r="T93" i="7" s="1"/>
  <c r="N93" i="7"/>
  <c r="R92" i="7"/>
  <c r="Q92" i="7"/>
  <c r="P92" i="7"/>
  <c r="O92" i="7"/>
  <c r="N92" i="7"/>
  <c r="R91" i="7"/>
  <c r="Q91" i="7"/>
  <c r="P91" i="7"/>
  <c r="O91" i="7"/>
  <c r="T91" i="7" s="1"/>
  <c r="N91" i="7"/>
  <c r="R90" i="7"/>
  <c r="Q90" i="7"/>
  <c r="P90" i="7"/>
  <c r="O90" i="7"/>
  <c r="T90" i="7" s="1"/>
  <c r="N90" i="7"/>
  <c r="R89" i="7"/>
  <c r="Q89" i="7"/>
  <c r="P89" i="7"/>
  <c r="O89" i="7"/>
  <c r="T89" i="7" s="1"/>
  <c r="N89" i="7"/>
  <c r="R88" i="7"/>
  <c r="Q88" i="7"/>
  <c r="P88" i="7"/>
  <c r="O88" i="7"/>
  <c r="N88" i="7"/>
  <c r="R87" i="7"/>
  <c r="Q87" i="7"/>
  <c r="P87" i="7"/>
  <c r="O87" i="7"/>
  <c r="N87" i="7"/>
  <c r="R86" i="7"/>
  <c r="Q86" i="7"/>
  <c r="P86" i="7"/>
  <c r="O86" i="7"/>
  <c r="N86" i="7"/>
  <c r="R85" i="7"/>
  <c r="Q85" i="7"/>
  <c r="P85" i="7"/>
  <c r="O85" i="7"/>
  <c r="T85" i="7" s="1"/>
  <c r="N85" i="7"/>
  <c r="R84" i="7"/>
  <c r="Q84" i="7"/>
  <c r="P84" i="7"/>
  <c r="O84" i="7"/>
  <c r="N84" i="7"/>
  <c r="R83" i="7"/>
  <c r="Q83" i="7"/>
  <c r="P83" i="7"/>
  <c r="O83" i="7"/>
  <c r="T83" i="7" s="1"/>
  <c r="N83" i="7"/>
  <c r="R82" i="7"/>
  <c r="Q82" i="7"/>
  <c r="P82" i="7"/>
  <c r="O82" i="7"/>
  <c r="T82" i="7" s="1"/>
  <c r="N82" i="7"/>
  <c r="R81" i="7"/>
  <c r="Q81" i="7"/>
  <c r="P81" i="7"/>
  <c r="O81" i="7"/>
  <c r="T81" i="7" s="1"/>
  <c r="N81" i="7"/>
  <c r="R80" i="7"/>
  <c r="Q80" i="7"/>
  <c r="P80" i="7"/>
  <c r="O80" i="7"/>
  <c r="N80" i="7"/>
  <c r="R79" i="7"/>
  <c r="Q79" i="7"/>
  <c r="P79" i="7"/>
  <c r="O79" i="7"/>
  <c r="T79" i="7" s="1"/>
  <c r="N79" i="7"/>
  <c r="R78" i="7"/>
  <c r="Q78" i="7"/>
  <c r="P78" i="7"/>
  <c r="O78" i="7"/>
  <c r="T78" i="7" s="1"/>
  <c r="N78" i="7"/>
  <c r="R77" i="7"/>
  <c r="Q77" i="7"/>
  <c r="P77" i="7"/>
  <c r="O77" i="7"/>
  <c r="T77" i="7" s="1"/>
  <c r="N77" i="7"/>
  <c r="R76" i="7"/>
  <c r="Q76" i="7"/>
  <c r="P76" i="7"/>
  <c r="O76" i="7"/>
  <c r="N76" i="7"/>
  <c r="R75" i="7"/>
  <c r="Q75" i="7"/>
  <c r="P75" i="7"/>
  <c r="O75" i="7"/>
  <c r="T75" i="7" s="1"/>
  <c r="N75" i="7"/>
  <c r="R74" i="7"/>
  <c r="Q74" i="7"/>
  <c r="P74" i="7"/>
  <c r="O74" i="7"/>
  <c r="T74" i="7" s="1"/>
  <c r="N74" i="7"/>
  <c r="R73" i="7"/>
  <c r="Q73" i="7"/>
  <c r="P73" i="7"/>
  <c r="O73" i="7"/>
  <c r="T73" i="7" s="1"/>
  <c r="N73" i="7"/>
  <c r="R72" i="7"/>
  <c r="Q72" i="7"/>
  <c r="P72" i="7"/>
  <c r="O72" i="7"/>
  <c r="T72" i="7" s="1"/>
  <c r="N72" i="7"/>
  <c r="R71" i="7"/>
  <c r="Q71" i="7"/>
  <c r="P71" i="7"/>
  <c r="O71" i="7"/>
  <c r="N71" i="7"/>
  <c r="R70" i="7"/>
  <c r="Q70" i="7"/>
  <c r="P70" i="7"/>
  <c r="O70" i="7"/>
  <c r="N70" i="7"/>
  <c r="R69" i="7"/>
  <c r="Q69" i="7"/>
  <c r="P69" i="7"/>
  <c r="O69" i="7"/>
  <c r="T69" i="7" s="1"/>
  <c r="N69" i="7"/>
  <c r="R68" i="7"/>
  <c r="Q68" i="7"/>
  <c r="P68" i="7"/>
  <c r="O68" i="7"/>
  <c r="N68" i="7"/>
  <c r="R67" i="7"/>
  <c r="Q67" i="7"/>
  <c r="P67" i="7"/>
  <c r="O67" i="7"/>
  <c r="T67" i="7" s="1"/>
  <c r="N67" i="7"/>
  <c r="R66" i="7"/>
  <c r="Q66" i="7"/>
  <c r="P66" i="7"/>
  <c r="O66" i="7"/>
  <c r="T66" i="7" s="1"/>
  <c r="N66" i="7"/>
  <c r="R65" i="7"/>
  <c r="Q65" i="7"/>
  <c r="P65" i="7"/>
  <c r="O65" i="7"/>
  <c r="T65" i="7" s="1"/>
  <c r="N65" i="7"/>
  <c r="R64" i="7"/>
  <c r="Q64" i="7"/>
  <c r="P64" i="7"/>
  <c r="O64" i="7"/>
  <c r="N64" i="7"/>
  <c r="R63" i="7"/>
  <c r="Q63" i="7"/>
  <c r="P63" i="7"/>
  <c r="O63" i="7"/>
  <c r="T63" i="7" s="1"/>
  <c r="N63" i="7"/>
  <c r="R62" i="7"/>
  <c r="Q62" i="7"/>
  <c r="P62" i="7"/>
  <c r="O62" i="7"/>
  <c r="T62" i="7" s="1"/>
  <c r="N62" i="7"/>
  <c r="R61" i="7"/>
  <c r="Q61" i="7"/>
  <c r="P61" i="7"/>
  <c r="O61" i="7"/>
  <c r="T61" i="7" s="1"/>
  <c r="N61" i="7"/>
  <c r="R60" i="7"/>
  <c r="Q60" i="7"/>
  <c r="P60" i="7"/>
  <c r="O60" i="7"/>
  <c r="N60" i="7"/>
  <c r="R59" i="7"/>
  <c r="Q59" i="7"/>
  <c r="P59" i="7"/>
  <c r="O59" i="7"/>
  <c r="N59" i="7"/>
  <c r="R58" i="7"/>
  <c r="Q58" i="7"/>
  <c r="P58" i="7"/>
  <c r="O58" i="7"/>
  <c r="N58" i="7"/>
  <c r="R57" i="7"/>
  <c r="Q57" i="7"/>
  <c r="P57" i="7"/>
  <c r="O57" i="7"/>
  <c r="T57" i="7" s="1"/>
  <c r="N57" i="7"/>
  <c r="R56" i="7"/>
  <c r="Q56" i="7"/>
  <c r="P56" i="7"/>
  <c r="O56" i="7"/>
  <c r="T56" i="7" s="1"/>
  <c r="N56" i="7"/>
  <c r="R55" i="7"/>
  <c r="Q55" i="7"/>
  <c r="P55" i="7"/>
  <c r="O55" i="7"/>
  <c r="N55" i="7"/>
  <c r="R54" i="7"/>
  <c r="Q54" i="7"/>
  <c r="P54" i="7"/>
  <c r="O54" i="7"/>
  <c r="T54" i="7" s="1"/>
  <c r="N54" i="7"/>
  <c r="R53" i="7"/>
  <c r="Q53" i="7"/>
  <c r="P53" i="7"/>
  <c r="O53" i="7"/>
  <c r="N53" i="7"/>
  <c r="R52" i="7"/>
  <c r="Q52" i="7"/>
  <c r="P52" i="7"/>
  <c r="O52" i="7"/>
  <c r="N52" i="7"/>
  <c r="R51" i="7"/>
  <c r="Q51" i="7"/>
  <c r="P51" i="7"/>
  <c r="O51" i="7"/>
  <c r="N51" i="7"/>
  <c r="R50" i="7"/>
  <c r="Q50" i="7"/>
  <c r="P50" i="7"/>
  <c r="O50" i="7"/>
  <c r="T50" i="7" s="1"/>
  <c r="N50" i="7"/>
  <c r="R49" i="7"/>
  <c r="Q49" i="7"/>
  <c r="P49" i="7"/>
  <c r="O49" i="7"/>
  <c r="T49" i="7" s="1"/>
  <c r="N49" i="7"/>
  <c r="R48" i="7"/>
  <c r="Q48" i="7"/>
  <c r="P48" i="7"/>
  <c r="O48" i="7"/>
  <c r="N48" i="7"/>
  <c r="R47" i="7"/>
  <c r="Q47" i="7"/>
  <c r="P47" i="7"/>
  <c r="O47" i="7"/>
  <c r="N47" i="7"/>
  <c r="R46" i="7"/>
  <c r="Q46" i="7"/>
  <c r="P46" i="7"/>
  <c r="O46" i="7"/>
  <c r="T46" i="7" s="1"/>
  <c r="N46" i="7"/>
  <c r="Y45" i="7"/>
  <c r="W45" i="7"/>
  <c r="R45" i="7"/>
  <c r="Q45" i="7"/>
  <c r="P45" i="7"/>
  <c r="O45" i="7"/>
  <c r="T45" i="7" s="1"/>
  <c r="N45" i="7"/>
  <c r="Y44" i="7"/>
  <c r="W44" i="7"/>
  <c r="R44" i="7"/>
  <c r="Q44" i="7"/>
  <c r="P44" i="7"/>
  <c r="O44" i="7"/>
  <c r="T44" i="7" s="1"/>
  <c r="N44" i="7"/>
  <c r="Y43" i="7"/>
  <c r="W43" i="7"/>
  <c r="R43" i="7"/>
  <c r="Q43" i="7"/>
  <c r="P43" i="7"/>
  <c r="O43" i="7"/>
  <c r="T43" i="7" s="1"/>
  <c r="N43" i="7"/>
  <c r="Y42" i="7"/>
  <c r="W42" i="7"/>
  <c r="R42" i="7"/>
  <c r="Q42" i="7"/>
  <c r="P42" i="7"/>
  <c r="O42" i="7"/>
  <c r="N42" i="7"/>
  <c r="Y41" i="7"/>
  <c r="W41" i="7"/>
  <c r="R41" i="7"/>
  <c r="Q41" i="7"/>
  <c r="P41" i="7"/>
  <c r="O41" i="7"/>
  <c r="T41" i="7" s="1"/>
  <c r="N41" i="7"/>
  <c r="Y40" i="7"/>
  <c r="W40" i="7"/>
  <c r="R40" i="7"/>
  <c r="Q40" i="7"/>
  <c r="P40" i="7"/>
  <c r="O40" i="7"/>
  <c r="T40" i="7" s="1"/>
  <c r="N40" i="7"/>
  <c r="Y39" i="7"/>
  <c r="W39" i="7"/>
  <c r="R39" i="7"/>
  <c r="Q39" i="7"/>
  <c r="P39" i="7"/>
  <c r="O39" i="7"/>
  <c r="T39" i="7" s="1"/>
  <c r="N39" i="7"/>
  <c r="Y38" i="7"/>
  <c r="W38" i="7"/>
  <c r="R38" i="7"/>
  <c r="Q38" i="7"/>
  <c r="P38" i="7"/>
  <c r="O38" i="7"/>
  <c r="N38" i="7"/>
  <c r="Y37" i="7"/>
  <c r="W37" i="7"/>
  <c r="T37" i="7"/>
  <c r="R37" i="7"/>
  <c r="Q37" i="7"/>
  <c r="P37" i="7"/>
  <c r="O37" i="7"/>
  <c r="N37" i="7"/>
  <c r="Y36" i="7"/>
  <c r="W36" i="7"/>
  <c r="T36" i="7"/>
  <c r="R36" i="7"/>
  <c r="Q36" i="7"/>
  <c r="P36" i="7"/>
  <c r="O36" i="7"/>
  <c r="N36" i="7"/>
  <c r="Y35" i="7"/>
  <c r="W35" i="7"/>
  <c r="R35" i="7"/>
  <c r="Q35" i="7"/>
  <c r="P35" i="7"/>
  <c r="T35" i="7" s="1"/>
  <c r="O35" i="7"/>
  <c r="N35" i="7"/>
  <c r="Y34" i="7"/>
  <c r="W34" i="7"/>
  <c r="R34" i="7"/>
  <c r="Q34" i="7"/>
  <c r="P34" i="7"/>
  <c r="O34" i="7"/>
  <c r="N34" i="7"/>
  <c r="Y33" i="7"/>
  <c r="W33" i="7"/>
  <c r="R33" i="7"/>
  <c r="Q33" i="7"/>
  <c r="P33" i="7"/>
  <c r="T33" i="7" s="1"/>
  <c r="O33" i="7"/>
  <c r="N33" i="7"/>
  <c r="Y32" i="7"/>
  <c r="W32" i="7"/>
  <c r="R32" i="7"/>
  <c r="Q32" i="7"/>
  <c r="P32" i="7"/>
  <c r="O32" i="7"/>
  <c r="T32" i="7" s="1"/>
  <c r="N32" i="7"/>
  <c r="Y31" i="7"/>
  <c r="W31" i="7"/>
  <c r="R31" i="7"/>
  <c r="Q31" i="7"/>
  <c r="P31" i="7"/>
  <c r="O31" i="7"/>
  <c r="T31" i="7" s="1"/>
  <c r="N31" i="7"/>
  <c r="Y30" i="7"/>
  <c r="W30" i="7"/>
  <c r="R30" i="7"/>
  <c r="Q30" i="7"/>
  <c r="P30" i="7"/>
  <c r="O30" i="7"/>
  <c r="N30" i="7"/>
  <c r="Y29" i="7"/>
  <c r="W29" i="7"/>
  <c r="R29" i="7"/>
  <c r="Q29" i="7"/>
  <c r="P29" i="7"/>
  <c r="O29" i="7"/>
  <c r="T29" i="7" s="1"/>
  <c r="N29" i="7"/>
  <c r="Y28" i="7"/>
  <c r="W28" i="7"/>
  <c r="R28" i="7"/>
  <c r="Q28" i="7"/>
  <c r="P28" i="7"/>
  <c r="O28" i="7"/>
  <c r="T28" i="7" s="1"/>
  <c r="N28" i="7"/>
  <c r="Y27" i="7"/>
  <c r="W27" i="7"/>
  <c r="R27" i="7"/>
  <c r="Q27" i="7"/>
  <c r="P27" i="7"/>
  <c r="O27" i="7"/>
  <c r="N27" i="7"/>
  <c r="Y26" i="7"/>
  <c r="W26" i="7"/>
  <c r="R26" i="7"/>
  <c r="Q26" i="7"/>
  <c r="P26" i="7"/>
  <c r="T26" i="7" s="1"/>
  <c r="O26" i="7"/>
  <c r="N26" i="7"/>
  <c r="Y25" i="7"/>
  <c r="W25" i="7"/>
  <c r="M104" i="7" s="1"/>
  <c r="R25" i="7"/>
  <c r="Q25" i="7"/>
  <c r="P25" i="7"/>
  <c r="O25" i="7"/>
  <c r="T25" i="7" s="1"/>
  <c r="N25" i="7"/>
  <c r="D25" i="7"/>
  <c r="C25" i="7"/>
  <c r="Y24" i="7"/>
  <c r="W24" i="7"/>
  <c r="R24" i="7"/>
  <c r="Q24" i="7"/>
  <c r="P24" i="7"/>
  <c r="O24" i="7"/>
  <c r="T24" i="7" s="1"/>
  <c r="N24" i="7"/>
  <c r="F24" i="7"/>
  <c r="E24" i="7"/>
  <c r="D24" i="7"/>
  <c r="C24" i="7"/>
  <c r="Y23" i="7"/>
  <c r="W23" i="7"/>
  <c r="R23" i="7"/>
  <c r="Q23" i="7"/>
  <c r="P23" i="7"/>
  <c r="O23" i="7"/>
  <c r="N23" i="7"/>
  <c r="F23" i="7"/>
  <c r="E23" i="7"/>
  <c r="D23" i="7"/>
  <c r="C23" i="7"/>
  <c r="Y22" i="7"/>
  <c r="W22" i="7"/>
  <c r="R22" i="7"/>
  <c r="Q22" i="7"/>
  <c r="P22" i="7"/>
  <c r="O22" i="7"/>
  <c r="N22" i="7"/>
  <c r="F22" i="7"/>
  <c r="E22" i="7"/>
  <c r="D22" i="7"/>
  <c r="C22" i="7"/>
  <c r="Y21" i="7"/>
  <c r="W21" i="7"/>
  <c r="R21" i="7"/>
  <c r="Q21" i="7"/>
  <c r="P21" i="7"/>
  <c r="O21" i="7"/>
  <c r="T21" i="7" s="1"/>
  <c r="N21" i="7"/>
  <c r="F21" i="7"/>
  <c r="E21" i="7"/>
  <c r="D21" i="7"/>
  <c r="C21" i="7"/>
  <c r="Y20" i="7"/>
  <c r="W20" i="7"/>
  <c r="R20" i="7"/>
  <c r="Q20" i="7"/>
  <c r="P20" i="7"/>
  <c r="T20" i="7" s="1"/>
  <c r="O20" i="7"/>
  <c r="N20" i="7"/>
  <c r="F20" i="7"/>
  <c r="E20" i="7"/>
  <c r="D20" i="7"/>
  <c r="C20" i="7"/>
  <c r="Y19" i="7"/>
  <c r="W19" i="7"/>
  <c r="R19" i="7"/>
  <c r="Q19" i="7"/>
  <c r="P19" i="7"/>
  <c r="O19" i="7"/>
  <c r="N19" i="7"/>
  <c r="Y18" i="7"/>
  <c r="W18" i="7"/>
  <c r="R18" i="7"/>
  <c r="Q18" i="7"/>
  <c r="P18" i="7"/>
  <c r="O18" i="7"/>
  <c r="T18" i="7" s="1"/>
  <c r="N18" i="7"/>
  <c r="Y17" i="7"/>
  <c r="W17" i="7"/>
  <c r="R17" i="7"/>
  <c r="Q17" i="7"/>
  <c r="P17" i="7"/>
  <c r="O17" i="7"/>
  <c r="T17" i="7" s="1"/>
  <c r="N17" i="7"/>
  <c r="Y16" i="7"/>
  <c r="W16" i="7"/>
  <c r="R16" i="7"/>
  <c r="Q16" i="7"/>
  <c r="P16" i="7"/>
  <c r="O16" i="7"/>
  <c r="T16" i="7" s="1"/>
  <c r="N16" i="7"/>
  <c r="Y15" i="7"/>
  <c r="W15" i="7"/>
  <c r="T15" i="7"/>
  <c r="R15" i="7"/>
  <c r="Q15" i="7"/>
  <c r="P15" i="7"/>
  <c r="O15" i="7"/>
  <c r="N15" i="7"/>
  <c r="Y14" i="7"/>
  <c r="W14" i="7"/>
  <c r="R14" i="7"/>
  <c r="Q14" i="7"/>
  <c r="P14" i="7"/>
  <c r="O14" i="7"/>
  <c r="N14" i="7"/>
  <c r="Y13" i="7"/>
  <c r="W13" i="7"/>
  <c r="R13" i="7"/>
  <c r="Q13" i="7"/>
  <c r="P13" i="7"/>
  <c r="O13" i="7"/>
  <c r="N13" i="7"/>
  <c r="Y12" i="7"/>
  <c r="W12" i="7"/>
  <c r="T12" i="7"/>
  <c r="R12" i="7"/>
  <c r="Q12" i="7"/>
  <c r="P12" i="7"/>
  <c r="O12" i="7"/>
  <c r="N12" i="7"/>
  <c r="Y11" i="7"/>
  <c r="W11" i="7"/>
  <c r="R11" i="7"/>
  <c r="Q11" i="7"/>
  <c r="P11" i="7"/>
  <c r="O11" i="7"/>
  <c r="N11" i="7"/>
  <c r="Y10" i="7"/>
  <c r="W10" i="7"/>
  <c r="R10" i="7"/>
  <c r="Q10" i="7"/>
  <c r="P10" i="7"/>
  <c r="O10" i="7"/>
  <c r="N10" i="7"/>
  <c r="Y9" i="7"/>
  <c r="X9" i="7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W9" i="7"/>
  <c r="R9" i="7"/>
  <c r="Q9" i="7"/>
  <c r="P9" i="7"/>
  <c r="O9" i="7"/>
  <c r="T9" i="7" s="1"/>
  <c r="N9" i="7"/>
  <c r="M9" i="7"/>
  <c r="Y8" i="7"/>
  <c r="X8" i="7"/>
  <c r="W8" i="7"/>
  <c r="R8" i="7"/>
  <c r="Q8" i="7"/>
  <c r="P8" i="7"/>
  <c r="O8" i="7"/>
  <c r="N8" i="7"/>
  <c r="Y7" i="7"/>
  <c r="W7" i="7"/>
  <c r="R7" i="7"/>
  <c r="Q7" i="7"/>
  <c r="P7" i="7"/>
  <c r="O7" i="7"/>
  <c r="N7" i="7"/>
  <c r="Y6" i="7"/>
  <c r="F25" i="7" s="1"/>
  <c r="X6" i="7"/>
  <c r="X7" i="7" s="1"/>
  <c r="W6" i="7"/>
  <c r="M19" i="7" s="1"/>
  <c r="R6" i="7"/>
  <c r="Q6" i="7"/>
  <c r="P6" i="7"/>
  <c r="O6" i="7"/>
  <c r="T6" i="7" s="1"/>
  <c r="N6" i="7"/>
  <c r="C6" i="7"/>
  <c r="X5" i="7"/>
  <c r="W5" i="7"/>
  <c r="T5" i="7"/>
  <c r="R5" i="7"/>
  <c r="Q5" i="7"/>
  <c r="P5" i="7"/>
  <c r="O5" i="7"/>
  <c r="N5" i="7"/>
  <c r="M5" i="7"/>
  <c r="X504" i="6"/>
  <c r="T504" i="6" s="1"/>
  <c r="W504" i="6"/>
  <c r="S504" i="6" s="1"/>
  <c r="V504" i="6"/>
  <c r="R504" i="6"/>
  <c r="Q504" i="6"/>
  <c r="O504" i="6"/>
  <c r="N504" i="6"/>
  <c r="M504" i="6"/>
  <c r="X503" i="6"/>
  <c r="T503" i="6" s="1"/>
  <c r="W503" i="6"/>
  <c r="S503" i="6" s="1"/>
  <c r="V503" i="6"/>
  <c r="R503" i="6"/>
  <c r="Q503" i="6"/>
  <c r="O503" i="6"/>
  <c r="N503" i="6"/>
  <c r="M503" i="6"/>
  <c r="X502" i="6"/>
  <c r="W502" i="6"/>
  <c r="V502" i="6"/>
  <c r="T502" i="6"/>
  <c r="R502" i="6"/>
  <c r="Q502" i="6"/>
  <c r="O502" i="6"/>
  <c r="N502" i="6"/>
  <c r="M502" i="6"/>
  <c r="X501" i="6"/>
  <c r="W501" i="6"/>
  <c r="V501" i="6"/>
  <c r="S501" i="6" s="1"/>
  <c r="T501" i="6"/>
  <c r="R501" i="6"/>
  <c r="Q501" i="6"/>
  <c r="O501" i="6"/>
  <c r="N501" i="6"/>
  <c r="M501" i="6"/>
  <c r="X500" i="6"/>
  <c r="T500" i="6" s="1"/>
  <c r="W500" i="6"/>
  <c r="S500" i="6" s="1"/>
  <c r="V500" i="6"/>
  <c r="R500" i="6"/>
  <c r="Q500" i="6"/>
  <c r="O500" i="6"/>
  <c r="N500" i="6"/>
  <c r="M500" i="6"/>
  <c r="X499" i="6"/>
  <c r="W499" i="6"/>
  <c r="V499" i="6"/>
  <c r="T499" i="6"/>
  <c r="R499" i="6"/>
  <c r="Q499" i="6"/>
  <c r="O499" i="6"/>
  <c r="N499" i="6"/>
  <c r="M499" i="6"/>
  <c r="X498" i="6"/>
  <c r="T498" i="6" s="1"/>
  <c r="W498" i="6"/>
  <c r="V498" i="6"/>
  <c r="R498" i="6"/>
  <c r="Q498" i="6"/>
  <c r="O498" i="6"/>
  <c r="N498" i="6"/>
  <c r="M498" i="6"/>
  <c r="X497" i="6"/>
  <c r="T497" i="6" s="1"/>
  <c r="W497" i="6"/>
  <c r="V497" i="6"/>
  <c r="S497" i="6" s="1"/>
  <c r="R497" i="6"/>
  <c r="Q497" i="6"/>
  <c r="O497" i="6"/>
  <c r="N497" i="6"/>
  <c r="M497" i="6"/>
  <c r="X496" i="6"/>
  <c r="T496" i="6" s="1"/>
  <c r="W496" i="6"/>
  <c r="V496" i="6"/>
  <c r="R496" i="6"/>
  <c r="Q496" i="6"/>
  <c r="O496" i="6"/>
  <c r="N496" i="6"/>
  <c r="M496" i="6"/>
  <c r="X495" i="6"/>
  <c r="T495" i="6" s="1"/>
  <c r="W495" i="6"/>
  <c r="V495" i="6"/>
  <c r="R495" i="6"/>
  <c r="Q495" i="6"/>
  <c r="O495" i="6"/>
  <c r="N495" i="6"/>
  <c r="M495" i="6"/>
  <c r="X494" i="6"/>
  <c r="W494" i="6"/>
  <c r="V494" i="6"/>
  <c r="T494" i="6"/>
  <c r="R494" i="6"/>
  <c r="Q494" i="6"/>
  <c r="O494" i="6"/>
  <c r="N494" i="6"/>
  <c r="M494" i="6"/>
  <c r="X493" i="6"/>
  <c r="T493" i="6" s="1"/>
  <c r="W493" i="6"/>
  <c r="V493" i="6"/>
  <c r="R493" i="6"/>
  <c r="Q493" i="6"/>
  <c r="O493" i="6"/>
  <c r="N493" i="6"/>
  <c r="M493" i="6"/>
  <c r="X492" i="6"/>
  <c r="T492" i="6" s="1"/>
  <c r="W492" i="6"/>
  <c r="S492" i="6" s="1"/>
  <c r="V492" i="6"/>
  <c r="R492" i="6"/>
  <c r="Q492" i="6"/>
  <c r="O492" i="6"/>
  <c r="N492" i="6"/>
  <c r="M492" i="6"/>
  <c r="X491" i="6"/>
  <c r="T491" i="6" s="1"/>
  <c r="W491" i="6"/>
  <c r="S491" i="6" s="1"/>
  <c r="V491" i="6"/>
  <c r="R491" i="6"/>
  <c r="Q491" i="6"/>
  <c r="O491" i="6"/>
  <c r="N491" i="6"/>
  <c r="M491" i="6"/>
  <c r="X490" i="6"/>
  <c r="T490" i="6" s="1"/>
  <c r="W490" i="6"/>
  <c r="S490" i="6" s="1"/>
  <c r="V490" i="6"/>
  <c r="R490" i="6"/>
  <c r="Q490" i="6"/>
  <c r="O490" i="6"/>
  <c r="N490" i="6"/>
  <c r="M490" i="6"/>
  <c r="X489" i="6"/>
  <c r="T489" i="6" s="1"/>
  <c r="W489" i="6"/>
  <c r="S489" i="6" s="1"/>
  <c r="V489" i="6"/>
  <c r="R489" i="6"/>
  <c r="Q489" i="6"/>
  <c r="O489" i="6"/>
  <c r="N489" i="6"/>
  <c r="M489" i="6"/>
  <c r="X488" i="6"/>
  <c r="T488" i="6" s="1"/>
  <c r="W488" i="6"/>
  <c r="V488" i="6"/>
  <c r="S488" i="6"/>
  <c r="R488" i="6"/>
  <c r="Q488" i="6"/>
  <c r="O488" i="6"/>
  <c r="N488" i="6"/>
  <c r="M488" i="6"/>
  <c r="X487" i="6"/>
  <c r="T487" i="6" s="1"/>
  <c r="W487" i="6"/>
  <c r="S487" i="6" s="1"/>
  <c r="V487" i="6"/>
  <c r="R487" i="6"/>
  <c r="Q487" i="6"/>
  <c r="O487" i="6"/>
  <c r="N487" i="6"/>
  <c r="M487" i="6"/>
  <c r="X486" i="6"/>
  <c r="W486" i="6"/>
  <c r="V486" i="6"/>
  <c r="S486" i="6" s="1"/>
  <c r="T486" i="6"/>
  <c r="R486" i="6"/>
  <c r="Q486" i="6"/>
  <c r="O486" i="6"/>
  <c r="N486" i="6"/>
  <c r="M486" i="6"/>
  <c r="X485" i="6"/>
  <c r="W485" i="6"/>
  <c r="V485" i="6"/>
  <c r="S485" i="6" s="1"/>
  <c r="T485" i="6"/>
  <c r="R485" i="6"/>
  <c r="Q485" i="6"/>
  <c r="O485" i="6"/>
  <c r="N485" i="6"/>
  <c r="M485" i="6"/>
  <c r="X484" i="6"/>
  <c r="T484" i="6" s="1"/>
  <c r="W484" i="6"/>
  <c r="V484" i="6"/>
  <c r="R484" i="6"/>
  <c r="Q484" i="6"/>
  <c r="O484" i="6"/>
  <c r="N484" i="6"/>
  <c r="M484" i="6"/>
  <c r="X483" i="6"/>
  <c r="T483" i="6" s="1"/>
  <c r="W483" i="6"/>
  <c r="S483" i="6" s="1"/>
  <c r="V483" i="6"/>
  <c r="R483" i="6"/>
  <c r="Q483" i="6"/>
  <c r="O483" i="6"/>
  <c r="N483" i="6"/>
  <c r="M483" i="6"/>
  <c r="X482" i="6"/>
  <c r="W482" i="6"/>
  <c r="S482" i="6" s="1"/>
  <c r="V482" i="6"/>
  <c r="T482" i="6"/>
  <c r="R482" i="6"/>
  <c r="Q482" i="6"/>
  <c r="O482" i="6"/>
  <c r="N482" i="6"/>
  <c r="M482" i="6"/>
  <c r="X481" i="6"/>
  <c r="T481" i="6" s="1"/>
  <c r="W481" i="6"/>
  <c r="V481" i="6"/>
  <c r="S481" i="6" s="1"/>
  <c r="R481" i="6"/>
  <c r="Q481" i="6"/>
  <c r="O481" i="6"/>
  <c r="N481" i="6"/>
  <c r="M481" i="6"/>
  <c r="X480" i="6"/>
  <c r="T480" i="6" s="1"/>
  <c r="W480" i="6"/>
  <c r="V480" i="6"/>
  <c r="R480" i="6"/>
  <c r="Q480" i="6"/>
  <c r="O480" i="6"/>
  <c r="N480" i="6"/>
  <c r="M480" i="6"/>
  <c r="X479" i="6"/>
  <c r="T479" i="6" s="1"/>
  <c r="W479" i="6"/>
  <c r="V479" i="6"/>
  <c r="R479" i="6"/>
  <c r="Q479" i="6"/>
  <c r="O479" i="6"/>
  <c r="N479" i="6"/>
  <c r="M479" i="6"/>
  <c r="X478" i="6"/>
  <c r="T478" i="6" s="1"/>
  <c r="W478" i="6"/>
  <c r="S478" i="6" s="1"/>
  <c r="V478" i="6"/>
  <c r="R478" i="6"/>
  <c r="Q478" i="6"/>
  <c r="O478" i="6"/>
  <c r="N478" i="6"/>
  <c r="M478" i="6"/>
  <c r="X477" i="6"/>
  <c r="T477" i="6" s="1"/>
  <c r="W477" i="6"/>
  <c r="V477" i="6"/>
  <c r="S477" i="6" s="1"/>
  <c r="R477" i="6"/>
  <c r="Q477" i="6"/>
  <c r="O477" i="6"/>
  <c r="N477" i="6"/>
  <c r="M477" i="6"/>
  <c r="X476" i="6"/>
  <c r="T476" i="6" s="1"/>
  <c r="W476" i="6"/>
  <c r="V476" i="6"/>
  <c r="R476" i="6"/>
  <c r="Q476" i="6"/>
  <c r="O476" i="6"/>
  <c r="N476" i="6"/>
  <c r="M476" i="6"/>
  <c r="X475" i="6"/>
  <c r="T475" i="6" s="1"/>
  <c r="W475" i="6"/>
  <c r="S475" i="6" s="1"/>
  <c r="V475" i="6"/>
  <c r="R475" i="6"/>
  <c r="Q475" i="6"/>
  <c r="O475" i="6"/>
  <c r="N475" i="6"/>
  <c r="M475" i="6"/>
  <c r="X474" i="6"/>
  <c r="W474" i="6"/>
  <c r="V474" i="6"/>
  <c r="T474" i="6"/>
  <c r="R474" i="6"/>
  <c r="Q474" i="6"/>
  <c r="O474" i="6"/>
  <c r="N474" i="6"/>
  <c r="M474" i="6"/>
  <c r="X473" i="6"/>
  <c r="T473" i="6" s="1"/>
  <c r="W473" i="6"/>
  <c r="S473" i="6" s="1"/>
  <c r="V473" i="6"/>
  <c r="R473" i="6"/>
  <c r="Q473" i="6"/>
  <c r="O473" i="6"/>
  <c r="N473" i="6"/>
  <c r="M473" i="6"/>
  <c r="X472" i="6"/>
  <c r="T472" i="6" s="1"/>
  <c r="W472" i="6"/>
  <c r="S472" i="6" s="1"/>
  <c r="V472" i="6"/>
  <c r="R472" i="6"/>
  <c r="Q472" i="6"/>
  <c r="O472" i="6"/>
  <c r="N472" i="6"/>
  <c r="M472" i="6"/>
  <c r="X471" i="6"/>
  <c r="T471" i="6" s="1"/>
  <c r="W471" i="6"/>
  <c r="V471" i="6"/>
  <c r="S471" i="6"/>
  <c r="R471" i="6"/>
  <c r="Q471" i="6"/>
  <c r="O471" i="6"/>
  <c r="N471" i="6"/>
  <c r="M471" i="6"/>
  <c r="X470" i="6"/>
  <c r="W470" i="6"/>
  <c r="V470" i="6"/>
  <c r="S470" i="6" s="1"/>
  <c r="T470" i="6"/>
  <c r="R470" i="6"/>
  <c r="Q470" i="6"/>
  <c r="O470" i="6"/>
  <c r="N470" i="6"/>
  <c r="M470" i="6"/>
  <c r="X469" i="6"/>
  <c r="W469" i="6"/>
  <c r="S469" i="6" s="1"/>
  <c r="V469" i="6"/>
  <c r="T469" i="6"/>
  <c r="R469" i="6"/>
  <c r="Q469" i="6"/>
  <c r="O469" i="6"/>
  <c r="N469" i="6"/>
  <c r="M469" i="6"/>
  <c r="X468" i="6"/>
  <c r="T468" i="6" s="1"/>
  <c r="W468" i="6"/>
  <c r="V468" i="6"/>
  <c r="R468" i="6"/>
  <c r="Q468" i="6"/>
  <c r="O468" i="6"/>
  <c r="N468" i="6"/>
  <c r="M468" i="6"/>
  <c r="X467" i="6"/>
  <c r="W467" i="6"/>
  <c r="V467" i="6"/>
  <c r="T467" i="6"/>
  <c r="R467" i="6"/>
  <c r="Q467" i="6"/>
  <c r="O467" i="6"/>
  <c r="N467" i="6"/>
  <c r="M467" i="6"/>
  <c r="X466" i="6"/>
  <c r="T466" i="6" s="1"/>
  <c r="W466" i="6"/>
  <c r="V466" i="6"/>
  <c r="R466" i="6"/>
  <c r="Q466" i="6"/>
  <c r="O466" i="6"/>
  <c r="N466" i="6"/>
  <c r="M466" i="6"/>
  <c r="X465" i="6"/>
  <c r="T465" i="6" s="1"/>
  <c r="W465" i="6"/>
  <c r="V465" i="6"/>
  <c r="R465" i="6"/>
  <c r="Q465" i="6"/>
  <c r="O465" i="6"/>
  <c r="N465" i="6"/>
  <c r="M465" i="6"/>
  <c r="X464" i="6"/>
  <c r="T464" i="6" s="1"/>
  <c r="W464" i="6"/>
  <c r="S464" i="6" s="1"/>
  <c r="V464" i="6"/>
  <c r="R464" i="6"/>
  <c r="Q464" i="6"/>
  <c r="O464" i="6"/>
  <c r="N464" i="6"/>
  <c r="M464" i="6"/>
  <c r="X463" i="6"/>
  <c r="T463" i="6" s="1"/>
  <c r="W463" i="6"/>
  <c r="V463" i="6"/>
  <c r="R463" i="6"/>
  <c r="Q463" i="6"/>
  <c r="O463" i="6"/>
  <c r="N463" i="6"/>
  <c r="M463" i="6"/>
  <c r="X462" i="6"/>
  <c r="T462" i="6" s="1"/>
  <c r="W462" i="6"/>
  <c r="V462" i="6"/>
  <c r="R462" i="6"/>
  <c r="Q462" i="6"/>
  <c r="O462" i="6"/>
  <c r="N462" i="6"/>
  <c r="M462" i="6"/>
  <c r="X461" i="6"/>
  <c r="T461" i="6" s="1"/>
  <c r="W461" i="6"/>
  <c r="V461" i="6"/>
  <c r="R461" i="6"/>
  <c r="Q461" i="6"/>
  <c r="O461" i="6"/>
  <c r="N461" i="6"/>
  <c r="M461" i="6"/>
  <c r="X460" i="6"/>
  <c r="T460" i="6" s="1"/>
  <c r="W460" i="6"/>
  <c r="V460" i="6"/>
  <c r="S460" i="6"/>
  <c r="R460" i="6"/>
  <c r="Q460" i="6"/>
  <c r="O460" i="6"/>
  <c r="N460" i="6"/>
  <c r="M460" i="6"/>
  <c r="X459" i="6"/>
  <c r="T459" i="6" s="1"/>
  <c r="W459" i="6"/>
  <c r="V459" i="6"/>
  <c r="S459" i="6"/>
  <c r="R459" i="6"/>
  <c r="Q459" i="6"/>
  <c r="O459" i="6"/>
  <c r="N459" i="6"/>
  <c r="M459" i="6"/>
  <c r="X458" i="6"/>
  <c r="T458" i="6" s="1"/>
  <c r="W458" i="6"/>
  <c r="S458" i="6" s="1"/>
  <c r="V458" i="6"/>
  <c r="R458" i="6"/>
  <c r="Q458" i="6"/>
  <c r="O458" i="6"/>
  <c r="N458" i="6"/>
  <c r="M458" i="6"/>
  <c r="X457" i="6"/>
  <c r="W457" i="6"/>
  <c r="V457" i="6"/>
  <c r="S457" i="6" s="1"/>
  <c r="T457" i="6"/>
  <c r="R457" i="6"/>
  <c r="Q457" i="6"/>
  <c r="O457" i="6"/>
  <c r="N457" i="6"/>
  <c r="M457" i="6"/>
  <c r="X456" i="6"/>
  <c r="W456" i="6"/>
  <c r="V456" i="6"/>
  <c r="S456" i="6" s="1"/>
  <c r="T456" i="6"/>
  <c r="R456" i="6"/>
  <c r="Q456" i="6"/>
  <c r="O456" i="6"/>
  <c r="N456" i="6"/>
  <c r="M456" i="6"/>
  <c r="X455" i="6"/>
  <c r="T455" i="6" s="1"/>
  <c r="W455" i="6"/>
  <c r="S455" i="6" s="1"/>
  <c r="V455" i="6"/>
  <c r="R455" i="6"/>
  <c r="Q455" i="6"/>
  <c r="O455" i="6"/>
  <c r="N455" i="6"/>
  <c r="M455" i="6"/>
  <c r="X454" i="6"/>
  <c r="T454" i="6" s="1"/>
  <c r="W454" i="6"/>
  <c r="S454" i="6" s="1"/>
  <c r="V454" i="6"/>
  <c r="R454" i="6"/>
  <c r="Q454" i="6"/>
  <c r="O454" i="6"/>
  <c r="N454" i="6"/>
  <c r="M454" i="6"/>
  <c r="X453" i="6"/>
  <c r="T453" i="6" s="1"/>
  <c r="W453" i="6"/>
  <c r="V453" i="6"/>
  <c r="S453" i="6" s="1"/>
  <c r="R453" i="6"/>
  <c r="Q453" i="6"/>
  <c r="O453" i="6"/>
  <c r="N453" i="6"/>
  <c r="M453" i="6"/>
  <c r="X452" i="6"/>
  <c r="T452" i="6" s="1"/>
  <c r="W452" i="6"/>
  <c r="V452" i="6"/>
  <c r="R452" i="6"/>
  <c r="Q452" i="6"/>
  <c r="O452" i="6"/>
  <c r="N452" i="6"/>
  <c r="M452" i="6"/>
  <c r="X451" i="6"/>
  <c r="W451" i="6"/>
  <c r="S451" i="6" s="1"/>
  <c r="V451" i="6"/>
  <c r="T451" i="6"/>
  <c r="R451" i="6"/>
  <c r="Q451" i="6"/>
  <c r="O451" i="6"/>
  <c r="N451" i="6"/>
  <c r="M451" i="6"/>
  <c r="X450" i="6"/>
  <c r="W450" i="6"/>
  <c r="V450" i="6"/>
  <c r="T450" i="6"/>
  <c r="R450" i="6"/>
  <c r="Q450" i="6"/>
  <c r="O450" i="6"/>
  <c r="N450" i="6"/>
  <c r="M450" i="6"/>
  <c r="X449" i="6"/>
  <c r="T449" i="6" s="1"/>
  <c r="W449" i="6"/>
  <c r="V449" i="6"/>
  <c r="R449" i="6"/>
  <c r="Q449" i="6"/>
  <c r="O449" i="6"/>
  <c r="N449" i="6"/>
  <c r="M449" i="6"/>
  <c r="X448" i="6"/>
  <c r="T448" i="6" s="1"/>
  <c r="W448" i="6"/>
  <c r="V448" i="6"/>
  <c r="R448" i="6"/>
  <c r="Q448" i="6"/>
  <c r="O448" i="6"/>
  <c r="N448" i="6"/>
  <c r="M448" i="6"/>
  <c r="X447" i="6"/>
  <c r="T447" i="6" s="1"/>
  <c r="W447" i="6"/>
  <c r="S447" i="6" s="1"/>
  <c r="V447" i="6"/>
  <c r="R447" i="6"/>
  <c r="Q447" i="6"/>
  <c r="O447" i="6"/>
  <c r="N447" i="6"/>
  <c r="M447" i="6"/>
  <c r="X446" i="6"/>
  <c r="T446" i="6" s="1"/>
  <c r="W446" i="6"/>
  <c r="S446" i="6" s="1"/>
  <c r="V446" i="6"/>
  <c r="R446" i="6"/>
  <c r="Q446" i="6"/>
  <c r="O446" i="6"/>
  <c r="N446" i="6"/>
  <c r="M446" i="6"/>
  <c r="X445" i="6"/>
  <c r="T445" i="6" s="1"/>
  <c r="W445" i="6"/>
  <c r="S445" i="6" s="1"/>
  <c r="V445" i="6"/>
  <c r="R445" i="6"/>
  <c r="Q445" i="6"/>
  <c r="O445" i="6"/>
  <c r="N445" i="6"/>
  <c r="M445" i="6"/>
  <c r="X444" i="6"/>
  <c r="T444" i="6" s="1"/>
  <c r="W444" i="6"/>
  <c r="V444" i="6"/>
  <c r="R444" i="6"/>
  <c r="Q444" i="6"/>
  <c r="O444" i="6"/>
  <c r="N444" i="6"/>
  <c r="M444" i="6"/>
  <c r="X443" i="6"/>
  <c r="T443" i="6" s="1"/>
  <c r="W443" i="6"/>
  <c r="S443" i="6" s="1"/>
  <c r="V443" i="6"/>
  <c r="R443" i="6"/>
  <c r="Q443" i="6"/>
  <c r="O443" i="6"/>
  <c r="N443" i="6"/>
  <c r="M443" i="6"/>
  <c r="X442" i="6"/>
  <c r="T442" i="6" s="1"/>
  <c r="W442" i="6"/>
  <c r="V442" i="6"/>
  <c r="R442" i="6"/>
  <c r="Q442" i="6"/>
  <c r="O442" i="6"/>
  <c r="N442" i="6"/>
  <c r="M442" i="6"/>
  <c r="X441" i="6"/>
  <c r="T441" i="6" s="1"/>
  <c r="W441" i="6"/>
  <c r="V441" i="6"/>
  <c r="S441" i="6"/>
  <c r="R441" i="6"/>
  <c r="Q441" i="6"/>
  <c r="O441" i="6"/>
  <c r="N441" i="6"/>
  <c r="M441" i="6"/>
  <c r="X440" i="6"/>
  <c r="T440" i="6" s="1"/>
  <c r="W440" i="6"/>
  <c r="V440" i="6"/>
  <c r="S440" i="6" s="1"/>
  <c r="R440" i="6"/>
  <c r="Q440" i="6"/>
  <c r="O440" i="6"/>
  <c r="N440" i="6"/>
  <c r="M440" i="6"/>
  <c r="X439" i="6"/>
  <c r="T439" i="6" s="1"/>
  <c r="W439" i="6"/>
  <c r="S439" i="6" s="1"/>
  <c r="V439" i="6"/>
  <c r="R439" i="6"/>
  <c r="Q439" i="6"/>
  <c r="O439" i="6"/>
  <c r="N439" i="6"/>
  <c r="M439" i="6"/>
  <c r="X438" i="6"/>
  <c r="T438" i="6" s="1"/>
  <c r="W438" i="6"/>
  <c r="V438" i="6"/>
  <c r="S438" i="6" s="1"/>
  <c r="R438" i="6"/>
  <c r="Q438" i="6"/>
  <c r="O438" i="6"/>
  <c r="N438" i="6"/>
  <c r="M438" i="6"/>
  <c r="X437" i="6"/>
  <c r="W437" i="6"/>
  <c r="V437" i="6"/>
  <c r="S437" i="6" s="1"/>
  <c r="T437" i="6"/>
  <c r="R437" i="6"/>
  <c r="Q437" i="6"/>
  <c r="O437" i="6"/>
  <c r="N437" i="6"/>
  <c r="M437" i="6"/>
  <c r="X436" i="6"/>
  <c r="T436" i="6" s="1"/>
  <c r="W436" i="6"/>
  <c r="V436" i="6"/>
  <c r="R436" i="6"/>
  <c r="Q436" i="6"/>
  <c r="O436" i="6"/>
  <c r="N436" i="6"/>
  <c r="M436" i="6"/>
  <c r="X435" i="6"/>
  <c r="T435" i="6" s="1"/>
  <c r="W435" i="6"/>
  <c r="V435" i="6"/>
  <c r="R435" i="6"/>
  <c r="Q435" i="6"/>
  <c r="O435" i="6"/>
  <c r="N435" i="6"/>
  <c r="M435" i="6"/>
  <c r="X434" i="6"/>
  <c r="T434" i="6" s="1"/>
  <c r="W434" i="6"/>
  <c r="S434" i="6" s="1"/>
  <c r="V434" i="6"/>
  <c r="R434" i="6"/>
  <c r="Q434" i="6"/>
  <c r="O434" i="6"/>
  <c r="N434" i="6"/>
  <c r="M434" i="6"/>
  <c r="X433" i="6"/>
  <c r="T433" i="6" s="1"/>
  <c r="W433" i="6"/>
  <c r="V433" i="6"/>
  <c r="R433" i="6"/>
  <c r="Q433" i="6"/>
  <c r="O433" i="6"/>
  <c r="N433" i="6"/>
  <c r="M433" i="6"/>
  <c r="X432" i="6"/>
  <c r="T432" i="6" s="1"/>
  <c r="W432" i="6"/>
  <c r="S432" i="6" s="1"/>
  <c r="V432" i="6"/>
  <c r="R432" i="6"/>
  <c r="Q432" i="6"/>
  <c r="O432" i="6"/>
  <c r="N432" i="6"/>
  <c r="M432" i="6"/>
  <c r="X431" i="6"/>
  <c r="T431" i="6" s="1"/>
  <c r="W431" i="6"/>
  <c r="V431" i="6"/>
  <c r="R431" i="6"/>
  <c r="Q431" i="6"/>
  <c r="O431" i="6"/>
  <c r="N431" i="6"/>
  <c r="M431" i="6"/>
  <c r="X430" i="6"/>
  <c r="T430" i="6" s="1"/>
  <c r="W430" i="6"/>
  <c r="V430" i="6"/>
  <c r="R430" i="6"/>
  <c r="Q430" i="6"/>
  <c r="O430" i="6"/>
  <c r="N430" i="6"/>
  <c r="M430" i="6"/>
  <c r="X429" i="6"/>
  <c r="T429" i="6" s="1"/>
  <c r="W429" i="6"/>
  <c r="V429" i="6"/>
  <c r="R429" i="6"/>
  <c r="Q429" i="6"/>
  <c r="O429" i="6"/>
  <c r="N429" i="6"/>
  <c r="M429" i="6"/>
  <c r="X428" i="6"/>
  <c r="T428" i="6" s="1"/>
  <c r="W428" i="6"/>
  <c r="V428" i="6"/>
  <c r="R428" i="6"/>
  <c r="Q428" i="6"/>
  <c r="O428" i="6"/>
  <c r="N428" i="6"/>
  <c r="M428" i="6"/>
  <c r="X427" i="6"/>
  <c r="T427" i="6" s="1"/>
  <c r="W427" i="6"/>
  <c r="S427" i="6" s="1"/>
  <c r="V427" i="6"/>
  <c r="R427" i="6"/>
  <c r="Q427" i="6"/>
  <c r="O427" i="6"/>
  <c r="N427" i="6"/>
  <c r="M427" i="6"/>
  <c r="X426" i="6"/>
  <c r="T426" i="6" s="1"/>
  <c r="W426" i="6"/>
  <c r="S426" i="6" s="1"/>
  <c r="V426" i="6"/>
  <c r="R426" i="6"/>
  <c r="Q426" i="6"/>
  <c r="O426" i="6"/>
  <c r="N426" i="6"/>
  <c r="M426" i="6"/>
  <c r="X425" i="6"/>
  <c r="T425" i="6" s="1"/>
  <c r="W425" i="6"/>
  <c r="V425" i="6"/>
  <c r="S425" i="6"/>
  <c r="R425" i="6"/>
  <c r="Q425" i="6"/>
  <c r="O425" i="6"/>
  <c r="N425" i="6"/>
  <c r="M425" i="6"/>
  <c r="X424" i="6"/>
  <c r="W424" i="6"/>
  <c r="S424" i="6" s="1"/>
  <c r="V424" i="6"/>
  <c r="T424" i="6"/>
  <c r="R424" i="6"/>
  <c r="Q424" i="6"/>
  <c r="O424" i="6"/>
  <c r="N424" i="6"/>
  <c r="M424" i="6"/>
  <c r="X423" i="6"/>
  <c r="T423" i="6" s="1"/>
  <c r="W423" i="6"/>
  <c r="S423" i="6" s="1"/>
  <c r="V423" i="6"/>
  <c r="R423" i="6"/>
  <c r="Q423" i="6"/>
  <c r="O423" i="6"/>
  <c r="N423" i="6"/>
  <c r="M423" i="6"/>
  <c r="X422" i="6"/>
  <c r="T422" i="6" s="1"/>
  <c r="W422" i="6"/>
  <c r="V422" i="6"/>
  <c r="R422" i="6"/>
  <c r="Q422" i="6"/>
  <c r="O422" i="6"/>
  <c r="N422" i="6"/>
  <c r="M422" i="6"/>
  <c r="X421" i="6"/>
  <c r="T421" i="6" s="1"/>
  <c r="W421" i="6"/>
  <c r="S421" i="6" s="1"/>
  <c r="V421" i="6"/>
  <c r="R421" i="6"/>
  <c r="Q421" i="6"/>
  <c r="O421" i="6"/>
  <c r="N421" i="6"/>
  <c r="M421" i="6"/>
  <c r="X420" i="6"/>
  <c r="T420" i="6" s="1"/>
  <c r="W420" i="6"/>
  <c r="V420" i="6"/>
  <c r="R420" i="6"/>
  <c r="Q420" i="6"/>
  <c r="O420" i="6"/>
  <c r="N420" i="6"/>
  <c r="M420" i="6"/>
  <c r="X419" i="6"/>
  <c r="W419" i="6"/>
  <c r="V419" i="6"/>
  <c r="S419" i="6" s="1"/>
  <c r="T419" i="6"/>
  <c r="R419" i="6"/>
  <c r="Q419" i="6"/>
  <c r="O419" i="6"/>
  <c r="N419" i="6"/>
  <c r="M419" i="6"/>
  <c r="X418" i="6"/>
  <c r="T418" i="6" s="1"/>
  <c r="W418" i="6"/>
  <c r="V418" i="6"/>
  <c r="R418" i="6"/>
  <c r="Q418" i="6"/>
  <c r="O418" i="6"/>
  <c r="N418" i="6"/>
  <c r="M418" i="6"/>
  <c r="X417" i="6"/>
  <c r="T417" i="6" s="1"/>
  <c r="W417" i="6"/>
  <c r="V417" i="6"/>
  <c r="R417" i="6"/>
  <c r="Q417" i="6"/>
  <c r="O417" i="6"/>
  <c r="N417" i="6"/>
  <c r="M417" i="6"/>
  <c r="X416" i="6"/>
  <c r="T416" i="6" s="1"/>
  <c r="W416" i="6"/>
  <c r="V416" i="6"/>
  <c r="R416" i="6"/>
  <c r="Q416" i="6"/>
  <c r="O416" i="6"/>
  <c r="N416" i="6"/>
  <c r="M416" i="6"/>
  <c r="X415" i="6"/>
  <c r="T415" i="6" s="1"/>
  <c r="W415" i="6"/>
  <c r="V415" i="6"/>
  <c r="R415" i="6"/>
  <c r="Q415" i="6"/>
  <c r="O415" i="6"/>
  <c r="N415" i="6"/>
  <c r="M415" i="6"/>
  <c r="X414" i="6"/>
  <c r="T414" i="6" s="1"/>
  <c r="W414" i="6"/>
  <c r="V414" i="6"/>
  <c r="R414" i="6"/>
  <c r="Q414" i="6"/>
  <c r="O414" i="6"/>
  <c r="N414" i="6"/>
  <c r="M414" i="6"/>
  <c r="X413" i="6"/>
  <c r="T413" i="6" s="1"/>
  <c r="W413" i="6"/>
  <c r="V413" i="6"/>
  <c r="R413" i="6"/>
  <c r="Q413" i="6"/>
  <c r="O413" i="6"/>
  <c r="N413" i="6"/>
  <c r="M413" i="6"/>
  <c r="X412" i="6"/>
  <c r="T412" i="6" s="1"/>
  <c r="W412" i="6"/>
  <c r="V412" i="6"/>
  <c r="S412" i="6"/>
  <c r="R412" i="6"/>
  <c r="Q412" i="6"/>
  <c r="O412" i="6"/>
  <c r="N412" i="6"/>
  <c r="M412" i="6"/>
  <c r="X411" i="6"/>
  <c r="T411" i="6" s="1"/>
  <c r="W411" i="6"/>
  <c r="S411" i="6" s="1"/>
  <c r="V411" i="6"/>
  <c r="R411" i="6"/>
  <c r="Q411" i="6"/>
  <c r="O411" i="6"/>
  <c r="N411" i="6"/>
  <c r="M411" i="6"/>
  <c r="X410" i="6"/>
  <c r="T410" i="6" s="1"/>
  <c r="W410" i="6"/>
  <c r="S410" i="6" s="1"/>
  <c r="V410" i="6"/>
  <c r="R410" i="6"/>
  <c r="Q410" i="6"/>
  <c r="O410" i="6"/>
  <c r="N410" i="6"/>
  <c r="M410" i="6"/>
  <c r="X409" i="6"/>
  <c r="T409" i="6" s="1"/>
  <c r="W409" i="6"/>
  <c r="V409" i="6"/>
  <c r="S409" i="6"/>
  <c r="R409" i="6"/>
  <c r="Q409" i="6"/>
  <c r="O409" i="6"/>
  <c r="N409" i="6"/>
  <c r="M409" i="6"/>
  <c r="X408" i="6"/>
  <c r="W408" i="6"/>
  <c r="V408" i="6"/>
  <c r="T408" i="6"/>
  <c r="S408" i="6"/>
  <c r="R408" i="6"/>
  <c r="Q408" i="6"/>
  <c r="O408" i="6"/>
  <c r="N408" i="6"/>
  <c r="M408" i="6"/>
  <c r="X407" i="6"/>
  <c r="T407" i="6" s="1"/>
  <c r="W407" i="6"/>
  <c r="V407" i="6"/>
  <c r="S407" i="6"/>
  <c r="R407" i="6"/>
  <c r="Q407" i="6"/>
  <c r="O407" i="6"/>
  <c r="N407" i="6"/>
  <c r="M407" i="6"/>
  <c r="X406" i="6"/>
  <c r="W406" i="6"/>
  <c r="S406" i="6" s="1"/>
  <c r="V406" i="6"/>
  <c r="T406" i="6"/>
  <c r="R406" i="6"/>
  <c r="Q406" i="6"/>
  <c r="O406" i="6"/>
  <c r="N406" i="6"/>
  <c r="M406" i="6"/>
  <c r="X405" i="6"/>
  <c r="T405" i="6" s="1"/>
  <c r="W405" i="6"/>
  <c r="V405" i="6"/>
  <c r="R405" i="6"/>
  <c r="Q405" i="6"/>
  <c r="O405" i="6"/>
  <c r="N405" i="6"/>
  <c r="M405" i="6"/>
  <c r="X404" i="6"/>
  <c r="T404" i="6" s="1"/>
  <c r="W404" i="6"/>
  <c r="V404" i="6"/>
  <c r="R404" i="6"/>
  <c r="Q404" i="6"/>
  <c r="O404" i="6"/>
  <c r="N404" i="6"/>
  <c r="M404" i="6"/>
  <c r="X403" i="6"/>
  <c r="T403" i="6" s="1"/>
  <c r="W403" i="6"/>
  <c r="S403" i="6" s="1"/>
  <c r="V403" i="6"/>
  <c r="R403" i="6"/>
  <c r="Q403" i="6"/>
  <c r="O403" i="6"/>
  <c r="N403" i="6"/>
  <c r="M403" i="6"/>
  <c r="X402" i="6"/>
  <c r="T402" i="6" s="1"/>
  <c r="W402" i="6"/>
  <c r="V402" i="6"/>
  <c r="R402" i="6"/>
  <c r="Q402" i="6"/>
  <c r="O402" i="6"/>
  <c r="N402" i="6"/>
  <c r="M402" i="6"/>
  <c r="X401" i="6"/>
  <c r="T401" i="6" s="1"/>
  <c r="W401" i="6"/>
  <c r="V401" i="6"/>
  <c r="S401" i="6" s="1"/>
  <c r="R401" i="6"/>
  <c r="Q401" i="6"/>
  <c r="O401" i="6"/>
  <c r="N401" i="6"/>
  <c r="M401" i="6"/>
  <c r="X400" i="6"/>
  <c r="T400" i="6" s="1"/>
  <c r="W400" i="6"/>
  <c r="S400" i="6" s="1"/>
  <c r="V400" i="6"/>
  <c r="R400" i="6"/>
  <c r="Q400" i="6"/>
  <c r="O400" i="6"/>
  <c r="N400" i="6"/>
  <c r="M400" i="6"/>
  <c r="X399" i="6"/>
  <c r="T399" i="6" s="1"/>
  <c r="W399" i="6"/>
  <c r="V399" i="6"/>
  <c r="R399" i="6"/>
  <c r="Q399" i="6"/>
  <c r="O399" i="6"/>
  <c r="N399" i="6"/>
  <c r="M399" i="6"/>
  <c r="X398" i="6"/>
  <c r="T398" i="6" s="1"/>
  <c r="W398" i="6"/>
  <c r="V398" i="6"/>
  <c r="R398" i="6"/>
  <c r="Q398" i="6"/>
  <c r="O398" i="6"/>
  <c r="N398" i="6"/>
  <c r="M398" i="6"/>
  <c r="X397" i="6"/>
  <c r="T397" i="6" s="1"/>
  <c r="W397" i="6"/>
  <c r="S397" i="6" s="1"/>
  <c r="V397" i="6"/>
  <c r="R397" i="6"/>
  <c r="Q397" i="6"/>
  <c r="O397" i="6"/>
  <c r="N397" i="6"/>
  <c r="M397" i="6"/>
  <c r="X396" i="6"/>
  <c r="T396" i="6" s="1"/>
  <c r="W396" i="6"/>
  <c r="V396" i="6"/>
  <c r="R396" i="6"/>
  <c r="Q396" i="6"/>
  <c r="O396" i="6"/>
  <c r="N396" i="6"/>
  <c r="M396" i="6"/>
  <c r="X395" i="6"/>
  <c r="T395" i="6" s="1"/>
  <c r="W395" i="6"/>
  <c r="S395" i="6" s="1"/>
  <c r="V395" i="6"/>
  <c r="R395" i="6"/>
  <c r="Q395" i="6"/>
  <c r="O395" i="6"/>
  <c r="N395" i="6"/>
  <c r="M395" i="6"/>
  <c r="X394" i="6"/>
  <c r="W394" i="6"/>
  <c r="V394" i="6"/>
  <c r="T394" i="6"/>
  <c r="R394" i="6"/>
  <c r="Q394" i="6"/>
  <c r="O394" i="6"/>
  <c r="N394" i="6"/>
  <c r="M394" i="6"/>
  <c r="X393" i="6"/>
  <c r="T393" i="6" s="1"/>
  <c r="W393" i="6"/>
  <c r="S393" i="6" s="1"/>
  <c r="V393" i="6"/>
  <c r="R393" i="6"/>
  <c r="Q393" i="6"/>
  <c r="O393" i="6"/>
  <c r="N393" i="6"/>
  <c r="M393" i="6"/>
  <c r="X392" i="6"/>
  <c r="T392" i="6" s="1"/>
  <c r="W392" i="6"/>
  <c r="S392" i="6" s="1"/>
  <c r="V392" i="6"/>
  <c r="R392" i="6"/>
  <c r="Q392" i="6"/>
  <c r="O392" i="6"/>
  <c r="N392" i="6"/>
  <c r="M392" i="6"/>
  <c r="X391" i="6"/>
  <c r="T391" i="6" s="1"/>
  <c r="W391" i="6"/>
  <c r="S391" i="6" s="1"/>
  <c r="V391" i="6"/>
  <c r="R391" i="6"/>
  <c r="Q391" i="6"/>
  <c r="O391" i="6"/>
  <c r="N391" i="6"/>
  <c r="M391" i="6"/>
  <c r="X390" i="6"/>
  <c r="T390" i="6" s="1"/>
  <c r="W390" i="6"/>
  <c r="V390" i="6"/>
  <c r="S390" i="6" s="1"/>
  <c r="R390" i="6"/>
  <c r="Q390" i="6"/>
  <c r="O390" i="6"/>
  <c r="N390" i="6"/>
  <c r="M390" i="6"/>
  <c r="X389" i="6"/>
  <c r="T389" i="6" s="1"/>
  <c r="W389" i="6"/>
  <c r="V389" i="6"/>
  <c r="S389" i="6" s="1"/>
  <c r="R389" i="6"/>
  <c r="Q389" i="6"/>
  <c r="O389" i="6"/>
  <c r="N389" i="6"/>
  <c r="M389" i="6"/>
  <c r="X388" i="6"/>
  <c r="T388" i="6" s="1"/>
  <c r="W388" i="6"/>
  <c r="V388" i="6"/>
  <c r="R388" i="6"/>
  <c r="Q388" i="6"/>
  <c r="O388" i="6"/>
  <c r="N388" i="6"/>
  <c r="M388" i="6"/>
  <c r="X387" i="6"/>
  <c r="W387" i="6"/>
  <c r="S387" i="6" s="1"/>
  <c r="V387" i="6"/>
  <c r="T387" i="6"/>
  <c r="R387" i="6"/>
  <c r="Q387" i="6"/>
  <c r="O387" i="6"/>
  <c r="N387" i="6"/>
  <c r="M387" i="6"/>
  <c r="X386" i="6"/>
  <c r="W386" i="6"/>
  <c r="V386" i="6"/>
  <c r="T386" i="6"/>
  <c r="R386" i="6"/>
  <c r="Q386" i="6"/>
  <c r="O386" i="6"/>
  <c r="N386" i="6"/>
  <c r="M386" i="6"/>
  <c r="X385" i="6"/>
  <c r="T385" i="6" s="1"/>
  <c r="W385" i="6"/>
  <c r="V385" i="6"/>
  <c r="S385" i="6" s="1"/>
  <c r="R385" i="6"/>
  <c r="Q385" i="6"/>
  <c r="O385" i="6"/>
  <c r="N385" i="6"/>
  <c r="M385" i="6"/>
  <c r="X384" i="6"/>
  <c r="T384" i="6" s="1"/>
  <c r="W384" i="6"/>
  <c r="V384" i="6"/>
  <c r="R384" i="6"/>
  <c r="Q384" i="6"/>
  <c r="O384" i="6"/>
  <c r="N384" i="6"/>
  <c r="M384" i="6"/>
  <c r="X383" i="6"/>
  <c r="T383" i="6" s="1"/>
  <c r="W383" i="6"/>
  <c r="V383" i="6"/>
  <c r="R383" i="6"/>
  <c r="Q383" i="6"/>
  <c r="O383" i="6"/>
  <c r="N383" i="6"/>
  <c r="M383" i="6"/>
  <c r="X382" i="6"/>
  <c r="W382" i="6"/>
  <c r="V382" i="6"/>
  <c r="T382" i="6"/>
  <c r="R382" i="6"/>
  <c r="Q382" i="6"/>
  <c r="O382" i="6"/>
  <c r="N382" i="6"/>
  <c r="M382" i="6"/>
  <c r="X381" i="6"/>
  <c r="T381" i="6" s="1"/>
  <c r="W381" i="6"/>
  <c r="V381" i="6"/>
  <c r="R381" i="6"/>
  <c r="Q381" i="6"/>
  <c r="O381" i="6"/>
  <c r="N381" i="6"/>
  <c r="M381" i="6"/>
  <c r="X380" i="6"/>
  <c r="T380" i="6" s="1"/>
  <c r="W380" i="6"/>
  <c r="S380" i="6" s="1"/>
  <c r="V380" i="6"/>
  <c r="R380" i="6"/>
  <c r="Q380" i="6"/>
  <c r="O380" i="6"/>
  <c r="N380" i="6"/>
  <c r="M380" i="6"/>
  <c r="X379" i="6"/>
  <c r="T379" i="6" s="1"/>
  <c r="W379" i="6"/>
  <c r="S379" i="6" s="1"/>
  <c r="V379" i="6"/>
  <c r="R379" i="6"/>
  <c r="Q379" i="6"/>
  <c r="O379" i="6"/>
  <c r="N379" i="6"/>
  <c r="M379" i="6"/>
  <c r="X378" i="6"/>
  <c r="T378" i="6" s="1"/>
  <c r="W378" i="6"/>
  <c r="V378" i="6"/>
  <c r="R378" i="6"/>
  <c r="Q378" i="6"/>
  <c r="O378" i="6"/>
  <c r="N378" i="6"/>
  <c r="M378" i="6"/>
  <c r="X377" i="6"/>
  <c r="T377" i="6" s="1"/>
  <c r="W377" i="6"/>
  <c r="S377" i="6" s="1"/>
  <c r="V377" i="6"/>
  <c r="R377" i="6"/>
  <c r="Q377" i="6"/>
  <c r="O377" i="6"/>
  <c r="N377" i="6"/>
  <c r="M377" i="6"/>
  <c r="X376" i="6"/>
  <c r="W376" i="6"/>
  <c r="S376" i="6" s="1"/>
  <c r="V376" i="6"/>
  <c r="T376" i="6"/>
  <c r="R376" i="6"/>
  <c r="Q376" i="6"/>
  <c r="O376" i="6"/>
  <c r="N376" i="6"/>
  <c r="M376" i="6"/>
  <c r="X375" i="6"/>
  <c r="T375" i="6" s="1"/>
  <c r="W375" i="6"/>
  <c r="V375" i="6"/>
  <c r="R375" i="6"/>
  <c r="Q375" i="6"/>
  <c r="O375" i="6"/>
  <c r="N375" i="6"/>
  <c r="M375" i="6"/>
  <c r="X374" i="6"/>
  <c r="W374" i="6"/>
  <c r="S374" i="6" s="1"/>
  <c r="V374" i="6"/>
  <c r="T374" i="6"/>
  <c r="R374" i="6"/>
  <c r="Q374" i="6"/>
  <c r="O374" i="6"/>
  <c r="N374" i="6"/>
  <c r="M374" i="6"/>
  <c r="X373" i="6"/>
  <c r="W373" i="6"/>
  <c r="V373" i="6"/>
  <c r="S373" i="6" s="1"/>
  <c r="T373" i="6"/>
  <c r="R373" i="6"/>
  <c r="Q373" i="6"/>
  <c r="O373" i="6"/>
  <c r="N373" i="6"/>
  <c r="M373" i="6"/>
  <c r="X372" i="6"/>
  <c r="T372" i="6" s="1"/>
  <c r="W372" i="6"/>
  <c r="V372" i="6"/>
  <c r="R372" i="6"/>
  <c r="Q372" i="6"/>
  <c r="O372" i="6"/>
  <c r="N372" i="6"/>
  <c r="M372" i="6"/>
  <c r="X371" i="6"/>
  <c r="T371" i="6" s="1"/>
  <c r="W371" i="6"/>
  <c r="S371" i="6" s="1"/>
  <c r="V371" i="6"/>
  <c r="R371" i="6"/>
  <c r="Q371" i="6"/>
  <c r="O371" i="6"/>
  <c r="N371" i="6"/>
  <c r="M371" i="6"/>
  <c r="X370" i="6"/>
  <c r="T370" i="6" s="1"/>
  <c r="W370" i="6"/>
  <c r="V370" i="6"/>
  <c r="R370" i="6"/>
  <c r="Q370" i="6"/>
  <c r="O370" i="6"/>
  <c r="N370" i="6"/>
  <c r="M370" i="6"/>
  <c r="X369" i="6"/>
  <c r="T369" i="6" s="1"/>
  <c r="W369" i="6"/>
  <c r="V369" i="6"/>
  <c r="S369" i="6" s="1"/>
  <c r="R369" i="6"/>
  <c r="Q369" i="6"/>
  <c r="O369" i="6"/>
  <c r="N369" i="6"/>
  <c r="M369" i="6"/>
  <c r="X368" i="6"/>
  <c r="T368" i="6" s="1"/>
  <c r="W368" i="6"/>
  <c r="V368" i="6"/>
  <c r="R368" i="6"/>
  <c r="Q368" i="6"/>
  <c r="P368" i="6"/>
  <c r="O368" i="6"/>
  <c r="N368" i="6"/>
  <c r="M368" i="6"/>
  <c r="X367" i="6"/>
  <c r="T367" i="6" s="1"/>
  <c r="W367" i="6"/>
  <c r="S367" i="6" s="1"/>
  <c r="V367" i="6"/>
  <c r="R367" i="6"/>
  <c r="Q367" i="6"/>
  <c r="O367" i="6"/>
  <c r="N367" i="6"/>
  <c r="M367" i="6"/>
  <c r="X366" i="6"/>
  <c r="T366" i="6" s="1"/>
  <c r="W366" i="6"/>
  <c r="V366" i="6"/>
  <c r="R366" i="6"/>
  <c r="Q366" i="6"/>
  <c r="O366" i="6"/>
  <c r="N366" i="6"/>
  <c r="M366" i="6"/>
  <c r="X365" i="6"/>
  <c r="W365" i="6"/>
  <c r="V365" i="6"/>
  <c r="T365" i="6"/>
  <c r="R365" i="6"/>
  <c r="Q365" i="6"/>
  <c r="O365" i="6"/>
  <c r="N365" i="6"/>
  <c r="M365" i="6"/>
  <c r="X364" i="6"/>
  <c r="T364" i="6" s="1"/>
  <c r="W364" i="6"/>
  <c r="S364" i="6" s="1"/>
  <c r="V364" i="6"/>
  <c r="R364" i="6"/>
  <c r="Q364" i="6"/>
  <c r="O364" i="6"/>
  <c r="N364" i="6"/>
  <c r="M364" i="6"/>
  <c r="X363" i="6"/>
  <c r="T363" i="6" s="1"/>
  <c r="W363" i="6"/>
  <c r="V363" i="6"/>
  <c r="S363" i="6"/>
  <c r="R363" i="6"/>
  <c r="Q363" i="6"/>
  <c r="O363" i="6"/>
  <c r="N363" i="6"/>
  <c r="M363" i="6"/>
  <c r="X362" i="6"/>
  <c r="T362" i="6" s="1"/>
  <c r="W362" i="6"/>
  <c r="V362" i="6"/>
  <c r="R362" i="6"/>
  <c r="Q362" i="6"/>
  <c r="O362" i="6"/>
  <c r="N362" i="6"/>
  <c r="M362" i="6"/>
  <c r="X361" i="6"/>
  <c r="T361" i="6" s="1"/>
  <c r="W361" i="6"/>
  <c r="S361" i="6" s="1"/>
  <c r="V361" i="6"/>
  <c r="R361" i="6"/>
  <c r="Q361" i="6"/>
  <c r="O361" i="6"/>
  <c r="N361" i="6"/>
  <c r="M361" i="6"/>
  <c r="X360" i="6"/>
  <c r="T360" i="6" s="1"/>
  <c r="W360" i="6"/>
  <c r="S360" i="6" s="1"/>
  <c r="V360" i="6"/>
  <c r="R360" i="6"/>
  <c r="Q360" i="6"/>
  <c r="O360" i="6"/>
  <c r="N360" i="6"/>
  <c r="M360" i="6"/>
  <c r="X359" i="6"/>
  <c r="T359" i="6" s="1"/>
  <c r="W359" i="6"/>
  <c r="V359" i="6"/>
  <c r="S359" i="6"/>
  <c r="R359" i="6"/>
  <c r="Q359" i="6"/>
  <c r="O359" i="6"/>
  <c r="N359" i="6"/>
  <c r="M359" i="6"/>
  <c r="X358" i="6"/>
  <c r="T358" i="6" s="1"/>
  <c r="W358" i="6"/>
  <c r="V358" i="6"/>
  <c r="S358" i="6" s="1"/>
  <c r="R358" i="6"/>
  <c r="Q358" i="6"/>
  <c r="O358" i="6"/>
  <c r="N358" i="6"/>
  <c r="M358" i="6"/>
  <c r="X357" i="6"/>
  <c r="W357" i="6"/>
  <c r="V357" i="6"/>
  <c r="S357" i="6" s="1"/>
  <c r="T357" i="6"/>
  <c r="R357" i="6"/>
  <c r="Q357" i="6"/>
  <c r="O357" i="6"/>
  <c r="N357" i="6"/>
  <c r="M357" i="6"/>
  <c r="X356" i="6"/>
  <c r="T356" i="6" s="1"/>
  <c r="W356" i="6"/>
  <c r="V356" i="6"/>
  <c r="R356" i="6"/>
  <c r="Q356" i="6"/>
  <c r="O356" i="6"/>
  <c r="N356" i="6"/>
  <c r="M356" i="6"/>
  <c r="X355" i="6"/>
  <c r="W355" i="6"/>
  <c r="V355" i="6"/>
  <c r="T355" i="6"/>
  <c r="R355" i="6"/>
  <c r="Q355" i="6"/>
  <c r="O355" i="6"/>
  <c r="N355" i="6"/>
  <c r="M355" i="6"/>
  <c r="X354" i="6"/>
  <c r="T354" i="6" s="1"/>
  <c r="W354" i="6"/>
  <c r="V354" i="6"/>
  <c r="R354" i="6"/>
  <c r="Q354" i="6"/>
  <c r="O354" i="6"/>
  <c r="N354" i="6"/>
  <c r="M354" i="6"/>
  <c r="X353" i="6"/>
  <c r="T353" i="6" s="1"/>
  <c r="W353" i="6"/>
  <c r="V353" i="6"/>
  <c r="R353" i="6"/>
  <c r="Q353" i="6"/>
  <c r="O353" i="6"/>
  <c r="N353" i="6"/>
  <c r="M353" i="6"/>
  <c r="X352" i="6"/>
  <c r="T352" i="6" s="1"/>
  <c r="W352" i="6"/>
  <c r="V352" i="6"/>
  <c r="R352" i="6"/>
  <c r="Q352" i="6"/>
  <c r="O352" i="6"/>
  <c r="N352" i="6"/>
  <c r="M352" i="6"/>
  <c r="X351" i="6"/>
  <c r="T351" i="6" s="1"/>
  <c r="W351" i="6"/>
  <c r="V351" i="6"/>
  <c r="R351" i="6"/>
  <c r="Q351" i="6"/>
  <c r="O351" i="6"/>
  <c r="N351" i="6"/>
  <c r="M351" i="6"/>
  <c r="X350" i="6"/>
  <c r="T350" i="6" s="1"/>
  <c r="W350" i="6"/>
  <c r="S350" i="6" s="1"/>
  <c r="V350" i="6"/>
  <c r="R350" i="6"/>
  <c r="Q350" i="6"/>
  <c r="O350" i="6"/>
  <c r="N350" i="6"/>
  <c r="M350" i="6"/>
  <c r="X349" i="6"/>
  <c r="T349" i="6" s="1"/>
  <c r="W349" i="6"/>
  <c r="V349" i="6"/>
  <c r="R349" i="6"/>
  <c r="Q349" i="6"/>
  <c r="O349" i="6"/>
  <c r="N349" i="6"/>
  <c r="M349" i="6"/>
  <c r="X348" i="6"/>
  <c r="T348" i="6" s="1"/>
  <c r="W348" i="6"/>
  <c r="S348" i="6" s="1"/>
  <c r="V348" i="6"/>
  <c r="R348" i="6"/>
  <c r="Q348" i="6"/>
  <c r="O348" i="6"/>
  <c r="N348" i="6"/>
  <c r="M348" i="6"/>
  <c r="X347" i="6"/>
  <c r="T347" i="6" s="1"/>
  <c r="W347" i="6"/>
  <c r="S347" i="6" s="1"/>
  <c r="V347" i="6"/>
  <c r="R347" i="6"/>
  <c r="Q347" i="6"/>
  <c r="O347" i="6"/>
  <c r="N347" i="6"/>
  <c r="M347" i="6"/>
  <c r="X346" i="6"/>
  <c r="T346" i="6" s="1"/>
  <c r="W346" i="6"/>
  <c r="V346" i="6"/>
  <c r="R346" i="6"/>
  <c r="Q346" i="6"/>
  <c r="O346" i="6"/>
  <c r="N346" i="6"/>
  <c r="M346" i="6"/>
  <c r="X345" i="6"/>
  <c r="T345" i="6" s="1"/>
  <c r="W345" i="6"/>
  <c r="V345" i="6"/>
  <c r="S345" i="6" s="1"/>
  <c r="R345" i="6"/>
  <c r="Q345" i="6"/>
  <c r="O345" i="6"/>
  <c r="N345" i="6"/>
  <c r="M345" i="6"/>
  <c r="X344" i="6"/>
  <c r="W344" i="6"/>
  <c r="V344" i="6"/>
  <c r="S344" i="6" s="1"/>
  <c r="T344" i="6"/>
  <c r="R344" i="6"/>
  <c r="Q344" i="6"/>
  <c r="O344" i="6"/>
  <c r="N344" i="6"/>
  <c r="M344" i="6"/>
  <c r="X343" i="6"/>
  <c r="T343" i="6" s="1"/>
  <c r="W343" i="6"/>
  <c r="V343" i="6"/>
  <c r="R343" i="6"/>
  <c r="Q343" i="6"/>
  <c r="O343" i="6"/>
  <c r="N343" i="6"/>
  <c r="M343" i="6"/>
  <c r="X342" i="6"/>
  <c r="W342" i="6"/>
  <c r="V342" i="6"/>
  <c r="T342" i="6"/>
  <c r="R342" i="6"/>
  <c r="Q342" i="6"/>
  <c r="O342" i="6"/>
  <c r="N342" i="6"/>
  <c r="M342" i="6"/>
  <c r="X341" i="6"/>
  <c r="T341" i="6" s="1"/>
  <c r="W341" i="6"/>
  <c r="V341" i="6"/>
  <c r="S341" i="6" s="1"/>
  <c r="R341" i="6"/>
  <c r="Q341" i="6"/>
  <c r="O341" i="6"/>
  <c r="N341" i="6"/>
  <c r="M341" i="6"/>
  <c r="X340" i="6"/>
  <c r="T340" i="6" s="1"/>
  <c r="W340" i="6"/>
  <c r="S340" i="6" s="1"/>
  <c r="V340" i="6"/>
  <c r="R340" i="6"/>
  <c r="Q340" i="6"/>
  <c r="O340" i="6"/>
  <c r="N340" i="6"/>
  <c r="M340" i="6"/>
  <c r="X339" i="6"/>
  <c r="T339" i="6" s="1"/>
  <c r="W339" i="6"/>
  <c r="S339" i="6" s="1"/>
  <c r="V339" i="6"/>
  <c r="R339" i="6"/>
  <c r="Q339" i="6"/>
  <c r="O339" i="6"/>
  <c r="N339" i="6"/>
  <c r="M339" i="6"/>
  <c r="X338" i="6"/>
  <c r="T338" i="6" s="1"/>
  <c r="W338" i="6"/>
  <c r="V338" i="6"/>
  <c r="R338" i="6"/>
  <c r="Q338" i="6"/>
  <c r="O338" i="6"/>
  <c r="N338" i="6"/>
  <c r="M338" i="6"/>
  <c r="X337" i="6"/>
  <c r="T337" i="6" s="1"/>
  <c r="W337" i="6"/>
  <c r="V337" i="6"/>
  <c r="R337" i="6"/>
  <c r="Q337" i="6"/>
  <c r="O337" i="6"/>
  <c r="N337" i="6"/>
  <c r="M337" i="6"/>
  <c r="X336" i="6"/>
  <c r="T336" i="6" s="1"/>
  <c r="W336" i="6"/>
  <c r="V336" i="6"/>
  <c r="S336" i="6"/>
  <c r="R336" i="6"/>
  <c r="Q336" i="6"/>
  <c r="O336" i="6"/>
  <c r="N336" i="6"/>
  <c r="M336" i="6"/>
  <c r="X335" i="6"/>
  <c r="T335" i="6" s="1"/>
  <c r="W335" i="6"/>
  <c r="V335" i="6"/>
  <c r="S335" i="6"/>
  <c r="R335" i="6"/>
  <c r="Q335" i="6"/>
  <c r="O335" i="6"/>
  <c r="N335" i="6"/>
  <c r="M335" i="6"/>
  <c r="X334" i="6"/>
  <c r="T334" i="6" s="1"/>
  <c r="W334" i="6"/>
  <c r="S334" i="6" s="1"/>
  <c r="V334" i="6"/>
  <c r="R334" i="6"/>
  <c r="Q334" i="6"/>
  <c r="O334" i="6"/>
  <c r="N334" i="6"/>
  <c r="M334" i="6"/>
  <c r="X333" i="6"/>
  <c r="T333" i="6" s="1"/>
  <c r="W333" i="6"/>
  <c r="V333" i="6"/>
  <c r="R333" i="6"/>
  <c r="Q333" i="6"/>
  <c r="O333" i="6"/>
  <c r="N333" i="6"/>
  <c r="M333" i="6"/>
  <c r="X332" i="6"/>
  <c r="W332" i="6"/>
  <c r="S332" i="6" s="1"/>
  <c r="V332" i="6"/>
  <c r="T332" i="6"/>
  <c r="R332" i="6"/>
  <c r="Q332" i="6"/>
  <c r="P332" i="6"/>
  <c r="O332" i="6"/>
  <c r="N332" i="6"/>
  <c r="M332" i="6"/>
  <c r="X331" i="6"/>
  <c r="T331" i="6" s="1"/>
  <c r="W331" i="6"/>
  <c r="V331" i="6"/>
  <c r="S331" i="6"/>
  <c r="R331" i="6"/>
  <c r="Q331" i="6"/>
  <c r="O331" i="6"/>
  <c r="N331" i="6"/>
  <c r="M331" i="6"/>
  <c r="X330" i="6"/>
  <c r="T330" i="6" s="1"/>
  <c r="W330" i="6"/>
  <c r="V330" i="6"/>
  <c r="R330" i="6"/>
  <c r="Q330" i="6"/>
  <c r="O330" i="6"/>
  <c r="N330" i="6"/>
  <c r="M330" i="6"/>
  <c r="X329" i="6"/>
  <c r="T329" i="6" s="1"/>
  <c r="W329" i="6"/>
  <c r="V329" i="6"/>
  <c r="R329" i="6"/>
  <c r="Q329" i="6"/>
  <c r="O329" i="6"/>
  <c r="N329" i="6"/>
  <c r="M329" i="6"/>
  <c r="X328" i="6"/>
  <c r="T328" i="6" s="1"/>
  <c r="W328" i="6"/>
  <c r="S328" i="6" s="1"/>
  <c r="V328" i="6"/>
  <c r="R328" i="6"/>
  <c r="Q328" i="6"/>
  <c r="O328" i="6"/>
  <c r="N328" i="6"/>
  <c r="M328" i="6"/>
  <c r="X327" i="6"/>
  <c r="T327" i="6" s="1"/>
  <c r="W327" i="6"/>
  <c r="V327" i="6"/>
  <c r="S327" i="6"/>
  <c r="R327" i="6"/>
  <c r="Q327" i="6"/>
  <c r="O327" i="6"/>
  <c r="N327" i="6"/>
  <c r="M327" i="6"/>
  <c r="X326" i="6"/>
  <c r="W326" i="6"/>
  <c r="V326" i="6"/>
  <c r="T326" i="6"/>
  <c r="R326" i="6"/>
  <c r="Q326" i="6"/>
  <c r="O326" i="6"/>
  <c r="N326" i="6"/>
  <c r="M326" i="6"/>
  <c r="X325" i="6"/>
  <c r="W325" i="6"/>
  <c r="S325" i="6" s="1"/>
  <c r="V325" i="6"/>
  <c r="T325" i="6"/>
  <c r="R325" i="6"/>
  <c r="Q325" i="6"/>
  <c r="O325" i="6"/>
  <c r="N325" i="6"/>
  <c r="M325" i="6"/>
  <c r="X324" i="6"/>
  <c r="T324" i="6" s="1"/>
  <c r="W324" i="6"/>
  <c r="V324" i="6"/>
  <c r="R324" i="6"/>
  <c r="Q324" i="6"/>
  <c r="O324" i="6"/>
  <c r="N324" i="6"/>
  <c r="M324" i="6"/>
  <c r="X323" i="6"/>
  <c r="T323" i="6" s="1"/>
  <c r="W323" i="6"/>
  <c r="V323" i="6"/>
  <c r="R323" i="6"/>
  <c r="Q323" i="6"/>
  <c r="O323" i="6"/>
  <c r="N323" i="6"/>
  <c r="M323" i="6"/>
  <c r="X322" i="6"/>
  <c r="W322" i="6"/>
  <c r="V322" i="6"/>
  <c r="T322" i="6"/>
  <c r="R322" i="6"/>
  <c r="Q322" i="6"/>
  <c r="O322" i="6"/>
  <c r="N322" i="6"/>
  <c r="M322" i="6"/>
  <c r="X321" i="6"/>
  <c r="T321" i="6" s="1"/>
  <c r="W321" i="6"/>
  <c r="V321" i="6"/>
  <c r="S321" i="6" s="1"/>
  <c r="R321" i="6"/>
  <c r="Q321" i="6"/>
  <c r="O321" i="6"/>
  <c r="N321" i="6"/>
  <c r="M321" i="6"/>
  <c r="X320" i="6"/>
  <c r="T320" i="6" s="1"/>
  <c r="W320" i="6"/>
  <c r="V320" i="6"/>
  <c r="S320" i="6" s="1"/>
  <c r="R320" i="6"/>
  <c r="Q320" i="6"/>
  <c r="O320" i="6"/>
  <c r="N320" i="6"/>
  <c r="M320" i="6"/>
  <c r="X319" i="6"/>
  <c r="T319" i="6" s="1"/>
  <c r="W319" i="6"/>
  <c r="S319" i="6" s="1"/>
  <c r="V319" i="6"/>
  <c r="R319" i="6"/>
  <c r="Q319" i="6"/>
  <c r="O319" i="6"/>
  <c r="N319" i="6"/>
  <c r="M319" i="6"/>
  <c r="X318" i="6"/>
  <c r="T318" i="6" s="1"/>
  <c r="W318" i="6"/>
  <c r="V318" i="6"/>
  <c r="R318" i="6"/>
  <c r="Q318" i="6"/>
  <c r="P318" i="6"/>
  <c r="O318" i="6"/>
  <c r="N318" i="6"/>
  <c r="M318" i="6"/>
  <c r="X317" i="6"/>
  <c r="T317" i="6" s="1"/>
  <c r="W317" i="6"/>
  <c r="V317" i="6"/>
  <c r="R317" i="6"/>
  <c r="Q317" i="6"/>
  <c r="O317" i="6"/>
  <c r="N317" i="6"/>
  <c r="M317" i="6"/>
  <c r="X316" i="6"/>
  <c r="T316" i="6" s="1"/>
  <c r="W316" i="6"/>
  <c r="V316" i="6"/>
  <c r="R316" i="6"/>
  <c r="Q316" i="6"/>
  <c r="P316" i="6"/>
  <c r="O316" i="6"/>
  <c r="N316" i="6"/>
  <c r="M316" i="6"/>
  <c r="X315" i="6"/>
  <c r="T315" i="6" s="1"/>
  <c r="W315" i="6"/>
  <c r="V315" i="6"/>
  <c r="S315" i="6"/>
  <c r="R315" i="6"/>
  <c r="Q315" i="6"/>
  <c r="O315" i="6"/>
  <c r="N315" i="6"/>
  <c r="M315" i="6"/>
  <c r="X314" i="6"/>
  <c r="T314" i="6" s="1"/>
  <c r="W314" i="6"/>
  <c r="S314" i="6" s="1"/>
  <c r="V314" i="6"/>
  <c r="R314" i="6"/>
  <c r="Q314" i="6"/>
  <c r="O314" i="6"/>
  <c r="N314" i="6"/>
  <c r="M314" i="6"/>
  <c r="X313" i="6"/>
  <c r="W313" i="6"/>
  <c r="V313" i="6"/>
  <c r="T313" i="6"/>
  <c r="R313" i="6"/>
  <c r="Q313" i="6"/>
  <c r="O313" i="6"/>
  <c r="N313" i="6"/>
  <c r="M313" i="6"/>
  <c r="X312" i="6"/>
  <c r="T312" i="6" s="1"/>
  <c r="W312" i="6"/>
  <c r="V312" i="6"/>
  <c r="S312" i="6" s="1"/>
  <c r="R312" i="6"/>
  <c r="Q312" i="6"/>
  <c r="O312" i="6"/>
  <c r="N312" i="6"/>
  <c r="M312" i="6"/>
  <c r="X311" i="6"/>
  <c r="T311" i="6" s="1"/>
  <c r="W311" i="6"/>
  <c r="S311" i="6" s="1"/>
  <c r="V311" i="6"/>
  <c r="R311" i="6"/>
  <c r="Q311" i="6"/>
  <c r="O311" i="6"/>
  <c r="N311" i="6"/>
  <c r="M311" i="6"/>
  <c r="X310" i="6"/>
  <c r="T310" i="6" s="1"/>
  <c r="W310" i="6"/>
  <c r="V310" i="6"/>
  <c r="R310" i="6"/>
  <c r="Q310" i="6"/>
  <c r="O310" i="6"/>
  <c r="N310" i="6"/>
  <c r="M310" i="6"/>
  <c r="X309" i="6"/>
  <c r="W309" i="6"/>
  <c r="V309" i="6"/>
  <c r="T309" i="6"/>
  <c r="R309" i="6"/>
  <c r="Q309" i="6"/>
  <c r="O309" i="6"/>
  <c r="N309" i="6"/>
  <c r="M309" i="6"/>
  <c r="X308" i="6"/>
  <c r="T308" i="6" s="1"/>
  <c r="W308" i="6"/>
  <c r="V308" i="6"/>
  <c r="R308" i="6"/>
  <c r="Q308" i="6"/>
  <c r="O308" i="6"/>
  <c r="N308" i="6"/>
  <c r="M308" i="6"/>
  <c r="X307" i="6"/>
  <c r="T307" i="6" s="1"/>
  <c r="W307" i="6"/>
  <c r="V307" i="6"/>
  <c r="R307" i="6"/>
  <c r="Q307" i="6"/>
  <c r="O307" i="6"/>
  <c r="N307" i="6"/>
  <c r="M307" i="6"/>
  <c r="X306" i="6"/>
  <c r="T306" i="6" s="1"/>
  <c r="W306" i="6"/>
  <c r="V306" i="6"/>
  <c r="R306" i="6"/>
  <c r="Q306" i="6"/>
  <c r="O306" i="6"/>
  <c r="N306" i="6"/>
  <c r="M306" i="6"/>
  <c r="X305" i="6"/>
  <c r="T305" i="6" s="1"/>
  <c r="W305" i="6"/>
  <c r="V305" i="6"/>
  <c r="R305" i="6"/>
  <c r="Q305" i="6"/>
  <c r="O305" i="6"/>
  <c r="N305" i="6"/>
  <c r="M305" i="6"/>
  <c r="X304" i="6"/>
  <c r="T304" i="6" s="1"/>
  <c r="W304" i="6"/>
  <c r="S304" i="6" s="1"/>
  <c r="V304" i="6"/>
  <c r="R304" i="6"/>
  <c r="Q304" i="6"/>
  <c r="O304" i="6"/>
  <c r="N304" i="6"/>
  <c r="M304" i="6"/>
  <c r="X303" i="6"/>
  <c r="T303" i="6" s="1"/>
  <c r="W303" i="6"/>
  <c r="V303" i="6"/>
  <c r="R303" i="6"/>
  <c r="Q303" i="6"/>
  <c r="O303" i="6"/>
  <c r="N303" i="6"/>
  <c r="M303" i="6"/>
  <c r="X302" i="6"/>
  <c r="T302" i="6" s="1"/>
  <c r="W302" i="6"/>
  <c r="V302" i="6"/>
  <c r="R302" i="6"/>
  <c r="Q302" i="6"/>
  <c r="O302" i="6"/>
  <c r="N302" i="6"/>
  <c r="M302" i="6"/>
  <c r="X301" i="6"/>
  <c r="T301" i="6" s="1"/>
  <c r="W301" i="6"/>
  <c r="V301" i="6"/>
  <c r="R301" i="6"/>
  <c r="Q301" i="6"/>
  <c r="O301" i="6"/>
  <c r="N301" i="6"/>
  <c r="M301" i="6"/>
  <c r="X300" i="6"/>
  <c r="T300" i="6" s="1"/>
  <c r="W300" i="6"/>
  <c r="V300" i="6"/>
  <c r="R300" i="6"/>
  <c r="Q300" i="6"/>
  <c r="O300" i="6"/>
  <c r="N300" i="6"/>
  <c r="M300" i="6"/>
  <c r="X299" i="6"/>
  <c r="T299" i="6" s="1"/>
  <c r="W299" i="6"/>
  <c r="V299" i="6"/>
  <c r="R299" i="6"/>
  <c r="Q299" i="6"/>
  <c r="O299" i="6"/>
  <c r="N299" i="6"/>
  <c r="M299" i="6"/>
  <c r="X298" i="6"/>
  <c r="T298" i="6" s="1"/>
  <c r="W298" i="6"/>
  <c r="V298" i="6"/>
  <c r="R298" i="6"/>
  <c r="Q298" i="6"/>
  <c r="O298" i="6"/>
  <c r="N298" i="6"/>
  <c r="M298" i="6"/>
  <c r="X297" i="6"/>
  <c r="T297" i="6" s="1"/>
  <c r="W297" i="6"/>
  <c r="V297" i="6"/>
  <c r="R297" i="6"/>
  <c r="Q297" i="6"/>
  <c r="O297" i="6"/>
  <c r="N297" i="6"/>
  <c r="M297" i="6"/>
  <c r="X296" i="6"/>
  <c r="T296" i="6" s="1"/>
  <c r="W296" i="6"/>
  <c r="V296" i="6"/>
  <c r="S296" i="6" s="1"/>
  <c r="R296" i="6"/>
  <c r="Q296" i="6"/>
  <c r="O296" i="6"/>
  <c r="N296" i="6"/>
  <c r="M296" i="6"/>
  <c r="X295" i="6"/>
  <c r="T295" i="6" s="1"/>
  <c r="W295" i="6"/>
  <c r="V295" i="6"/>
  <c r="R295" i="6"/>
  <c r="Q295" i="6"/>
  <c r="O295" i="6"/>
  <c r="N295" i="6"/>
  <c r="M295" i="6"/>
  <c r="X294" i="6"/>
  <c r="T294" i="6" s="1"/>
  <c r="W294" i="6"/>
  <c r="V294" i="6"/>
  <c r="R294" i="6"/>
  <c r="Q294" i="6"/>
  <c r="O294" i="6"/>
  <c r="N294" i="6"/>
  <c r="M294" i="6"/>
  <c r="X293" i="6"/>
  <c r="T293" i="6" s="1"/>
  <c r="W293" i="6"/>
  <c r="V293" i="6"/>
  <c r="R293" i="6"/>
  <c r="Q293" i="6"/>
  <c r="O293" i="6"/>
  <c r="N293" i="6"/>
  <c r="M293" i="6"/>
  <c r="X292" i="6"/>
  <c r="T292" i="6" s="1"/>
  <c r="W292" i="6"/>
  <c r="V292" i="6"/>
  <c r="R292" i="6"/>
  <c r="Q292" i="6"/>
  <c r="P292" i="6"/>
  <c r="O292" i="6"/>
  <c r="N292" i="6"/>
  <c r="M292" i="6"/>
  <c r="X291" i="6"/>
  <c r="T291" i="6" s="1"/>
  <c r="W291" i="6"/>
  <c r="V291" i="6"/>
  <c r="R291" i="6"/>
  <c r="Q291" i="6"/>
  <c r="O291" i="6"/>
  <c r="N291" i="6"/>
  <c r="M291" i="6"/>
  <c r="X290" i="6"/>
  <c r="T290" i="6" s="1"/>
  <c r="W290" i="6"/>
  <c r="V290" i="6"/>
  <c r="R290" i="6"/>
  <c r="Q290" i="6"/>
  <c r="O290" i="6"/>
  <c r="N290" i="6"/>
  <c r="M290" i="6"/>
  <c r="X289" i="6"/>
  <c r="T289" i="6" s="1"/>
  <c r="W289" i="6"/>
  <c r="V289" i="6"/>
  <c r="R289" i="6"/>
  <c r="Q289" i="6"/>
  <c r="O289" i="6"/>
  <c r="N289" i="6"/>
  <c r="M289" i="6"/>
  <c r="X288" i="6"/>
  <c r="T288" i="6" s="1"/>
  <c r="W288" i="6"/>
  <c r="S288" i="6" s="1"/>
  <c r="V288" i="6"/>
  <c r="R288" i="6"/>
  <c r="Q288" i="6"/>
  <c r="O288" i="6"/>
  <c r="N288" i="6"/>
  <c r="M288" i="6"/>
  <c r="X287" i="6"/>
  <c r="T287" i="6" s="1"/>
  <c r="W287" i="6"/>
  <c r="V287" i="6"/>
  <c r="R287" i="6"/>
  <c r="Q287" i="6"/>
  <c r="O287" i="6"/>
  <c r="N287" i="6"/>
  <c r="M287" i="6"/>
  <c r="X286" i="6"/>
  <c r="T286" i="6" s="1"/>
  <c r="W286" i="6"/>
  <c r="V286" i="6"/>
  <c r="R286" i="6"/>
  <c r="Q286" i="6"/>
  <c r="O286" i="6"/>
  <c r="N286" i="6"/>
  <c r="M286" i="6"/>
  <c r="X285" i="6"/>
  <c r="T285" i="6" s="1"/>
  <c r="W285" i="6"/>
  <c r="V285" i="6"/>
  <c r="R285" i="6"/>
  <c r="Q285" i="6"/>
  <c r="O285" i="6"/>
  <c r="N285" i="6"/>
  <c r="M285" i="6"/>
  <c r="X284" i="6"/>
  <c r="T284" i="6" s="1"/>
  <c r="W284" i="6"/>
  <c r="V284" i="6"/>
  <c r="R284" i="6"/>
  <c r="Q284" i="6"/>
  <c r="O284" i="6"/>
  <c r="N284" i="6"/>
  <c r="M284" i="6"/>
  <c r="X283" i="6"/>
  <c r="T283" i="6" s="1"/>
  <c r="W283" i="6"/>
  <c r="V283" i="6"/>
  <c r="R283" i="6"/>
  <c r="Q283" i="6"/>
  <c r="O283" i="6"/>
  <c r="N283" i="6"/>
  <c r="M283" i="6"/>
  <c r="X282" i="6"/>
  <c r="T282" i="6" s="1"/>
  <c r="W282" i="6"/>
  <c r="V282" i="6"/>
  <c r="R282" i="6"/>
  <c r="Q282" i="6"/>
  <c r="O282" i="6"/>
  <c r="N282" i="6"/>
  <c r="M282" i="6"/>
  <c r="X281" i="6"/>
  <c r="T281" i="6" s="1"/>
  <c r="W281" i="6"/>
  <c r="V281" i="6"/>
  <c r="R281" i="6"/>
  <c r="Q281" i="6"/>
  <c r="O281" i="6"/>
  <c r="N281" i="6"/>
  <c r="M281" i="6"/>
  <c r="X280" i="6"/>
  <c r="W280" i="6"/>
  <c r="V280" i="6"/>
  <c r="S280" i="6" s="1"/>
  <c r="T280" i="6"/>
  <c r="R280" i="6"/>
  <c r="Q280" i="6"/>
  <c r="O280" i="6"/>
  <c r="N280" i="6"/>
  <c r="M280" i="6"/>
  <c r="X279" i="6"/>
  <c r="T279" i="6" s="1"/>
  <c r="W279" i="6"/>
  <c r="V279" i="6"/>
  <c r="R279" i="6"/>
  <c r="Q279" i="6"/>
  <c r="O279" i="6"/>
  <c r="N279" i="6"/>
  <c r="M279" i="6"/>
  <c r="X278" i="6"/>
  <c r="T278" i="6" s="1"/>
  <c r="W278" i="6"/>
  <c r="V278" i="6"/>
  <c r="R278" i="6"/>
  <c r="Q278" i="6"/>
  <c r="O278" i="6"/>
  <c r="N278" i="6"/>
  <c r="M278" i="6"/>
  <c r="X277" i="6"/>
  <c r="T277" i="6" s="1"/>
  <c r="W277" i="6"/>
  <c r="S277" i="6" s="1"/>
  <c r="V277" i="6"/>
  <c r="R277" i="6"/>
  <c r="Q277" i="6"/>
  <c r="O277" i="6"/>
  <c r="N277" i="6"/>
  <c r="M277" i="6"/>
  <c r="X276" i="6"/>
  <c r="T276" i="6" s="1"/>
  <c r="W276" i="6"/>
  <c r="V276" i="6"/>
  <c r="R276" i="6"/>
  <c r="Q276" i="6"/>
  <c r="O276" i="6"/>
  <c r="N276" i="6"/>
  <c r="M276" i="6"/>
  <c r="X275" i="6"/>
  <c r="T275" i="6" s="1"/>
  <c r="W275" i="6"/>
  <c r="V275" i="6"/>
  <c r="R275" i="6"/>
  <c r="Q275" i="6"/>
  <c r="O275" i="6"/>
  <c r="N275" i="6"/>
  <c r="M275" i="6"/>
  <c r="X274" i="6"/>
  <c r="T274" i="6" s="1"/>
  <c r="W274" i="6"/>
  <c r="V274" i="6"/>
  <c r="R274" i="6"/>
  <c r="Q274" i="6"/>
  <c r="O274" i="6"/>
  <c r="N274" i="6"/>
  <c r="M274" i="6"/>
  <c r="X273" i="6"/>
  <c r="T273" i="6" s="1"/>
  <c r="W273" i="6"/>
  <c r="S273" i="6" s="1"/>
  <c r="V273" i="6"/>
  <c r="R273" i="6"/>
  <c r="Q273" i="6"/>
  <c r="O273" i="6"/>
  <c r="N273" i="6"/>
  <c r="M273" i="6"/>
  <c r="X272" i="6"/>
  <c r="W272" i="6"/>
  <c r="S272" i="6" s="1"/>
  <c r="V272" i="6"/>
  <c r="T272" i="6"/>
  <c r="R272" i="6"/>
  <c r="Q272" i="6"/>
  <c r="O272" i="6"/>
  <c r="N272" i="6"/>
  <c r="M272" i="6"/>
  <c r="X271" i="6"/>
  <c r="W271" i="6"/>
  <c r="V271" i="6"/>
  <c r="T271" i="6"/>
  <c r="R271" i="6"/>
  <c r="Q271" i="6"/>
  <c r="O271" i="6"/>
  <c r="N271" i="6"/>
  <c r="M271" i="6"/>
  <c r="X270" i="6"/>
  <c r="T270" i="6" s="1"/>
  <c r="W270" i="6"/>
  <c r="S270" i="6" s="1"/>
  <c r="V270" i="6"/>
  <c r="R270" i="6"/>
  <c r="Q270" i="6"/>
  <c r="O270" i="6"/>
  <c r="N270" i="6"/>
  <c r="M270" i="6"/>
  <c r="X269" i="6"/>
  <c r="W269" i="6"/>
  <c r="V269" i="6"/>
  <c r="T269" i="6"/>
  <c r="R269" i="6"/>
  <c r="Q269" i="6"/>
  <c r="O269" i="6"/>
  <c r="N269" i="6"/>
  <c r="M269" i="6"/>
  <c r="X268" i="6"/>
  <c r="T268" i="6" s="1"/>
  <c r="W268" i="6"/>
  <c r="V268" i="6"/>
  <c r="R268" i="6"/>
  <c r="Q268" i="6"/>
  <c r="O268" i="6"/>
  <c r="N268" i="6"/>
  <c r="M268" i="6"/>
  <c r="X267" i="6"/>
  <c r="T267" i="6" s="1"/>
  <c r="W267" i="6"/>
  <c r="V267" i="6"/>
  <c r="R267" i="6"/>
  <c r="Q267" i="6"/>
  <c r="O267" i="6"/>
  <c r="N267" i="6"/>
  <c r="M267" i="6"/>
  <c r="X266" i="6"/>
  <c r="T266" i="6" s="1"/>
  <c r="W266" i="6"/>
  <c r="V266" i="6"/>
  <c r="R266" i="6"/>
  <c r="Q266" i="6"/>
  <c r="O266" i="6"/>
  <c r="N266" i="6"/>
  <c r="M266" i="6"/>
  <c r="X265" i="6"/>
  <c r="W265" i="6"/>
  <c r="S265" i="6" s="1"/>
  <c r="V265" i="6"/>
  <c r="T265" i="6"/>
  <c r="R265" i="6"/>
  <c r="Q265" i="6"/>
  <c r="O265" i="6"/>
  <c r="N265" i="6"/>
  <c r="M265" i="6"/>
  <c r="X264" i="6"/>
  <c r="T264" i="6" s="1"/>
  <c r="W264" i="6"/>
  <c r="S264" i="6" s="1"/>
  <c r="V264" i="6"/>
  <c r="R264" i="6"/>
  <c r="Q264" i="6"/>
  <c r="O264" i="6"/>
  <c r="N264" i="6"/>
  <c r="M264" i="6"/>
  <c r="X263" i="6"/>
  <c r="T263" i="6" s="1"/>
  <c r="W263" i="6"/>
  <c r="V263" i="6"/>
  <c r="R263" i="6"/>
  <c r="Q263" i="6"/>
  <c r="O263" i="6"/>
  <c r="N263" i="6"/>
  <c r="M263" i="6"/>
  <c r="X262" i="6"/>
  <c r="T262" i="6" s="1"/>
  <c r="W262" i="6"/>
  <c r="S262" i="6" s="1"/>
  <c r="V262" i="6"/>
  <c r="R262" i="6"/>
  <c r="Q262" i="6"/>
  <c r="O262" i="6"/>
  <c r="N262" i="6"/>
  <c r="M262" i="6"/>
  <c r="X261" i="6"/>
  <c r="T261" i="6" s="1"/>
  <c r="W261" i="6"/>
  <c r="V261" i="6"/>
  <c r="R261" i="6"/>
  <c r="Q261" i="6"/>
  <c r="O261" i="6"/>
  <c r="N261" i="6"/>
  <c r="M261" i="6"/>
  <c r="X260" i="6"/>
  <c r="T260" i="6" s="1"/>
  <c r="W260" i="6"/>
  <c r="V260" i="6"/>
  <c r="R260" i="6"/>
  <c r="Q260" i="6"/>
  <c r="O260" i="6"/>
  <c r="N260" i="6"/>
  <c r="M260" i="6"/>
  <c r="X259" i="6"/>
  <c r="T259" i="6" s="1"/>
  <c r="W259" i="6"/>
  <c r="V259" i="6"/>
  <c r="R259" i="6"/>
  <c r="Q259" i="6"/>
  <c r="O259" i="6"/>
  <c r="N259" i="6"/>
  <c r="M259" i="6"/>
  <c r="X258" i="6"/>
  <c r="T258" i="6" s="1"/>
  <c r="W258" i="6"/>
  <c r="S258" i="6" s="1"/>
  <c r="V258" i="6"/>
  <c r="R258" i="6"/>
  <c r="Q258" i="6"/>
  <c r="O258" i="6"/>
  <c r="N258" i="6"/>
  <c r="M258" i="6"/>
  <c r="X257" i="6"/>
  <c r="T257" i="6" s="1"/>
  <c r="W257" i="6"/>
  <c r="V257" i="6"/>
  <c r="R257" i="6"/>
  <c r="Q257" i="6"/>
  <c r="O257" i="6"/>
  <c r="N257" i="6"/>
  <c r="M257" i="6"/>
  <c r="X256" i="6"/>
  <c r="T256" i="6" s="1"/>
  <c r="W256" i="6"/>
  <c r="V256" i="6"/>
  <c r="S256" i="6"/>
  <c r="R256" i="6"/>
  <c r="Q256" i="6"/>
  <c r="O256" i="6"/>
  <c r="N256" i="6"/>
  <c r="M256" i="6"/>
  <c r="X255" i="6"/>
  <c r="T255" i="6" s="1"/>
  <c r="W255" i="6"/>
  <c r="S255" i="6" s="1"/>
  <c r="V255" i="6"/>
  <c r="R255" i="6"/>
  <c r="Q255" i="6"/>
  <c r="O255" i="6"/>
  <c r="N255" i="6"/>
  <c r="M255" i="6"/>
  <c r="X254" i="6"/>
  <c r="T254" i="6" s="1"/>
  <c r="W254" i="6"/>
  <c r="V254" i="6"/>
  <c r="S254" i="6" s="1"/>
  <c r="R254" i="6"/>
  <c r="Q254" i="6"/>
  <c r="O254" i="6"/>
  <c r="N254" i="6"/>
  <c r="M254" i="6"/>
  <c r="X253" i="6"/>
  <c r="T253" i="6" s="1"/>
  <c r="W253" i="6"/>
  <c r="V253" i="6"/>
  <c r="S253" i="6"/>
  <c r="R253" i="6"/>
  <c r="Q253" i="6"/>
  <c r="O253" i="6"/>
  <c r="N253" i="6"/>
  <c r="M253" i="6"/>
  <c r="X252" i="6"/>
  <c r="T252" i="6" s="1"/>
  <c r="W252" i="6"/>
  <c r="V252" i="6"/>
  <c r="S252" i="6"/>
  <c r="R252" i="6"/>
  <c r="Q252" i="6"/>
  <c r="O252" i="6"/>
  <c r="N252" i="6"/>
  <c r="M252" i="6"/>
  <c r="X251" i="6"/>
  <c r="T251" i="6" s="1"/>
  <c r="W251" i="6"/>
  <c r="V251" i="6"/>
  <c r="S251" i="6" s="1"/>
  <c r="R251" i="6"/>
  <c r="Q251" i="6"/>
  <c r="O251" i="6"/>
  <c r="N251" i="6"/>
  <c r="M251" i="6"/>
  <c r="X250" i="6"/>
  <c r="T250" i="6" s="1"/>
  <c r="W250" i="6"/>
  <c r="S250" i="6" s="1"/>
  <c r="V250" i="6"/>
  <c r="R250" i="6"/>
  <c r="Q250" i="6"/>
  <c r="O250" i="6"/>
  <c r="N250" i="6"/>
  <c r="M250" i="6"/>
  <c r="X249" i="6"/>
  <c r="T249" i="6" s="1"/>
  <c r="W249" i="6"/>
  <c r="V249" i="6"/>
  <c r="S249" i="6"/>
  <c r="R249" i="6"/>
  <c r="Q249" i="6"/>
  <c r="O249" i="6"/>
  <c r="N249" i="6"/>
  <c r="M249" i="6"/>
  <c r="X248" i="6"/>
  <c r="W248" i="6"/>
  <c r="S248" i="6" s="1"/>
  <c r="V248" i="6"/>
  <c r="T248" i="6"/>
  <c r="R248" i="6"/>
  <c r="Q248" i="6"/>
  <c r="O248" i="6"/>
  <c r="N248" i="6"/>
  <c r="M248" i="6"/>
  <c r="X247" i="6"/>
  <c r="W247" i="6"/>
  <c r="V247" i="6"/>
  <c r="T247" i="6"/>
  <c r="R247" i="6"/>
  <c r="Q247" i="6"/>
  <c r="O247" i="6"/>
  <c r="N247" i="6"/>
  <c r="M247" i="6"/>
  <c r="X246" i="6"/>
  <c r="W246" i="6"/>
  <c r="V246" i="6"/>
  <c r="T246" i="6"/>
  <c r="R246" i="6"/>
  <c r="Q246" i="6"/>
  <c r="O246" i="6"/>
  <c r="N246" i="6"/>
  <c r="M246" i="6"/>
  <c r="X245" i="6"/>
  <c r="T245" i="6" s="1"/>
  <c r="W245" i="6"/>
  <c r="V245" i="6"/>
  <c r="R245" i="6"/>
  <c r="Q245" i="6"/>
  <c r="O245" i="6"/>
  <c r="N245" i="6"/>
  <c r="M245" i="6"/>
  <c r="X244" i="6"/>
  <c r="T244" i="6" s="1"/>
  <c r="W244" i="6"/>
  <c r="V244" i="6"/>
  <c r="R244" i="6"/>
  <c r="Q244" i="6"/>
  <c r="O244" i="6"/>
  <c r="N244" i="6"/>
  <c r="M244" i="6"/>
  <c r="X243" i="6"/>
  <c r="T243" i="6" s="1"/>
  <c r="W243" i="6"/>
  <c r="V243" i="6"/>
  <c r="R243" i="6"/>
  <c r="Q243" i="6"/>
  <c r="O243" i="6"/>
  <c r="N243" i="6"/>
  <c r="M243" i="6"/>
  <c r="X242" i="6"/>
  <c r="T242" i="6" s="1"/>
  <c r="W242" i="6"/>
  <c r="V242" i="6"/>
  <c r="R242" i="6"/>
  <c r="Q242" i="6"/>
  <c r="O242" i="6"/>
  <c r="N242" i="6"/>
  <c r="M242" i="6"/>
  <c r="X241" i="6"/>
  <c r="T241" i="6" s="1"/>
  <c r="W241" i="6"/>
  <c r="V241" i="6"/>
  <c r="R241" i="6"/>
  <c r="Q241" i="6"/>
  <c r="O241" i="6"/>
  <c r="N241" i="6"/>
  <c r="M241" i="6"/>
  <c r="X240" i="6"/>
  <c r="T240" i="6" s="1"/>
  <c r="W240" i="6"/>
  <c r="V240" i="6"/>
  <c r="R240" i="6"/>
  <c r="Q240" i="6"/>
  <c r="O240" i="6"/>
  <c r="N240" i="6"/>
  <c r="M240" i="6"/>
  <c r="X239" i="6"/>
  <c r="T239" i="6" s="1"/>
  <c r="W239" i="6"/>
  <c r="V239" i="6"/>
  <c r="R239" i="6"/>
  <c r="Q239" i="6"/>
  <c r="O239" i="6"/>
  <c r="N239" i="6"/>
  <c r="M239" i="6"/>
  <c r="X238" i="6"/>
  <c r="T238" i="6" s="1"/>
  <c r="W238" i="6"/>
  <c r="S238" i="6" s="1"/>
  <c r="V238" i="6"/>
  <c r="R238" i="6"/>
  <c r="Q238" i="6"/>
  <c r="O238" i="6"/>
  <c r="N238" i="6"/>
  <c r="M238" i="6"/>
  <c r="X237" i="6"/>
  <c r="T237" i="6" s="1"/>
  <c r="W237" i="6"/>
  <c r="S237" i="6" s="1"/>
  <c r="V237" i="6"/>
  <c r="R237" i="6"/>
  <c r="Q237" i="6"/>
  <c r="O237" i="6"/>
  <c r="N237" i="6"/>
  <c r="M237" i="6"/>
  <c r="X236" i="6"/>
  <c r="T236" i="6" s="1"/>
  <c r="W236" i="6"/>
  <c r="S236" i="6" s="1"/>
  <c r="V236" i="6"/>
  <c r="R236" i="6"/>
  <c r="Q236" i="6"/>
  <c r="O236" i="6"/>
  <c r="N236" i="6"/>
  <c r="M236" i="6"/>
  <c r="X235" i="6"/>
  <c r="T235" i="6" s="1"/>
  <c r="W235" i="6"/>
  <c r="V235" i="6"/>
  <c r="S235" i="6" s="1"/>
  <c r="R235" i="6"/>
  <c r="Q235" i="6"/>
  <c r="O235" i="6"/>
  <c r="N235" i="6"/>
  <c r="M235" i="6"/>
  <c r="X234" i="6"/>
  <c r="W234" i="6"/>
  <c r="V234" i="6"/>
  <c r="S234" i="6" s="1"/>
  <c r="T234" i="6"/>
  <c r="R234" i="6"/>
  <c r="Q234" i="6"/>
  <c r="O234" i="6"/>
  <c r="N234" i="6"/>
  <c r="M234" i="6"/>
  <c r="X233" i="6"/>
  <c r="T233" i="6" s="1"/>
  <c r="W233" i="6"/>
  <c r="V233" i="6"/>
  <c r="S233" i="6"/>
  <c r="R233" i="6"/>
  <c r="Q233" i="6"/>
  <c r="P233" i="6"/>
  <c r="O233" i="6"/>
  <c r="N233" i="6"/>
  <c r="M233" i="6"/>
  <c r="X232" i="6"/>
  <c r="T232" i="6" s="1"/>
  <c r="W232" i="6"/>
  <c r="S232" i="6" s="1"/>
  <c r="V232" i="6"/>
  <c r="R232" i="6"/>
  <c r="Q232" i="6"/>
  <c r="O232" i="6"/>
  <c r="N232" i="6"/>
  <c r="M232" i="6"/>
  <c r="X231" i="6"/>
  <c r="T231" i="6" s="1"/>
  <c r="W231" i="6"/>
  <c r="S231" i="6" s="1"/>
  <c r="V231" i="6"/>
  <c r="R231" i="6"/>
  <c r="Q231" i="6"/>
  <c r="O231" i="6"/>
  <c r="N231" i="6"/>
  <c r="M231" i="6"/>
  <c r="X230" i="6"/>
  <c r="W230" i="6"/>
  <c r="S230" i="6" s="1"/>
  <c r="V230" i="6"/>
  <c r="T230" i="6"/>
  <c r="R230" i="6"/>
  <c r="Q230" i="6"/>
  <c r="O230" i="6"/>
  <c r="N230" i="6"/>
  <c r="M230" i="6"/>
  <c r="X229" i="6"/>
  <c r="T229" i="6" s="1"/>
  <c r="W229" i="6"/>
  <c r="S229" i="6" s="1"/>
  <c r="V229" i="6"/>
  <c r="R229" i="6"/>
  <c r="Q229" i="6"/>
  <c r="O229" i="6"/>
  <c r="N229" i="6"/>
  <c r="M229" i="6"/>
  <c r="X228" i="6"/>
  <c r="T228" i="6" s="1"/>
  <c r="W228" i="6"/>
  <c r="V228" i="6"/>
  <c r="R228" i="6"/>
  <c r="Q228" i="6"/>
  <c r="O228" i="6"/>
  <c r="N228" i="6"/>
  <c r="M228" i="6"/>
  <c r="X227" i="6"/>
  <c r="T227" i="6" s="1"/>
  <c r="W227" i="6"/>
  <c r="V227" i="6"/>
  <c r="R227" i="6"/>
  <c r="Q227" i="6"/>
  <c r="O227" i="6"/>
  <c r="N227" i="6"/>
  <c r="M227" i="6"/>
  <c r="X226" i="6"/>
  <c r="T226" i="6" s="1"/>
  <c r="W226" i="6"/>
  <c r="V226" i="6"/>
  <c r="R226" i="6"/>
  <c r="Q226" i="6"/>
  <c r="O226" i="6"/>
  <c r="N226" i="6"/>
  <c r="M226" i="6"/>
  <c r="X225" i="6"/>
  <c r="T225" i="6" s="1"/>
  <c r="W225" i="6"/>
  <c r="S225" i="6" s="1"/>
  <c r="V225" i="6"/>
  <c r="R225" i="6"/>
  <c r="Q225" i="6"/>
  <c r="O225" i="6"/>
  <c r="N225" i="6"/>
  <c r="M225" i="6"/>
  <c r="X224" i="6"/>
  <c r="T224" i="6" s="1"/>
  <c r="W224" i="6"/>
  <c r="V224" i="6"/>
  <c r="R224" i="6"/>
  <c r="Q224" i="6"/>
  <c r="O224" i="6"/>
  <c r="N224" i="6"/>
  <c r="M224" i="6"/>
  <c r="X223" i="6"/>
  <c r="T223" i="6" s="1"/>
  <c r="W223" i="6"/>
  <c r="S223" i="6" s="1"/>
  <c r="V223" i="6"/>
  <c r="R223" i="6"/>
  <c r="Q223" i="6"/>
  <c r="O223" i="6"/>
  <c r="N223" i="6"/>
  <c r="M223" i="6"/>
  <c r="X222" i="6"/>
  <c r="T222" i="6" s="1"/>
  <c r="W222" i="6"/>
  <c r="V222" i="6"/>
  <c r="S222" i="6" s="1"/>
  <c r="R222" i="6"/>
  <c r="Q222" i="6"/>
  <c r="O222" i="6"/>
  <c r="N222" i="6"/>
  <c r="M222" i="6"/>
  <c r="X221" i="6"/>
  <c r="W221" i="6"/>
  <c r="V221" i="6"/>
  <c r="S221" i="6" s="1"/>
  <c r="T221" i="6"/>
  <c r="R221" i="6"/>
  <c r="Q221" i="6"/>
  <c r="O221" i="6"/>
  <c r="N221" i="6"/>
  <c r="M221" i="6"/>
  <c r="X220" i="6"/>
  <c r="T220" i="6" s="1"/>
  <c r="W220" i="6"/>
  <c r="V220" i="6"/>
  <c r="S220" i="6"/>
  <c r="R220" i="6"/>
  <c r="Q220" i="6"/>
  <c r="O220" i="6"/>
  <c r="N220" i="6"/>
  <c r="M220" i="6"/>
  <c r="X219" i="6"/>
  <c r="T219" i="6" s="1"/>
  <c r="W219" i="6"/>
  <c r="V219" i="6"/>
  <c r="S219" i="6" s="1"/>
  <c r="R219" i="6"/>
  <c r="Q219" i="6"/>
  <c r="O219" i="6"/>
  <c r="N219" i="6"/>
  <c r="M219" i="6"/>
  <c r="X218" i="6"/>
  <c r="T218" i="6" s="1"/>
  <c r="W218" i="6"/>
  <c r="V218" i="6"/>
  <c r="R218" i="6"/>
  <c r="Q218" i="6"/>
  <c r="O218" i="6"/>
  <c r="N218" i="6"/>
  <c r="M218" i="6"/>
  <c r="X217" i="6"/>
  <c r="T217" i="6" s="1"/>
  <c r="W217" i="6"/>
  <c r="V217" i="6"/>
  <c r="S217" i="6"/>
  <c r="R217" i="6"/>
  <c r="Q217" i="6"/>
  <c r="P217" i="6"/>
  <c r="O217" i="6"/>
  <c r="N217" i="6"/>
  <c r="M217" i="6"/>
  <c r="X216" i="6"/>
  <c r="W216" i="6"/>
  <c r="V216" i="6"/>
  <c r="T216" i="6"/>
  <c r="R216" i="6"/>
  <c r="Q216" i="6"/>
  <c r="O216" i="6"/>
  <c r="N216" i="6"/>
  <c r="M216" i="6"/>
  <c r="X215" i="6"/>
  <c r="T215" i="6" s="1"/>
  <c r="W215" i="6"/>
  <c r="V215" i="6"/>
  <c r="R215" i="6"/>
  <c r="Q215" i="6"/>
  <c r="O215" i="6"/>
  <c r="N215" i="6"/>
  <c r="M215" i="6"/>
  <c r="X214" i="6"/>
  <c r="W214" i="6"/>
  <c r="V214" i="6"/>
  <c r="T214" i="6"/>
  <c r="R214" i="6"/>
  <c r="Q214" i="6"/>
  <c r="O214" i="6"/>
  <c r="N214" i="6"/>
  <c r="M214" i="6"/>
  <c r="X213" i="6"/>
  <c r="T213" i="6" s="1"/>
  <c r="W213" i="6"/>
  <c r="V213" i="6"/>
  <c r="R213" i="6"/>
  <c r="Q213" i="6"/>
  <c r="O213" i="6"/>
  <c r="N213" i="6"/>
  <c r="M213" i="6"/>
  <c r="X212" i="6"/>
  <c r="T212" i="6" s="1"/>
  <c r="W212" i="6"/>
  <c r="V212" i="6"/>
  <c r="R212" i="6"/>
  <c r="Q212" i="6"/>
  <c r="O212" i="6"/>
  <c r="N212" i="6"/>
  <c r="M212" i="6"/>
  <c r="X211" i="6"/>
  <c r="T211" i="6" s="1"/>
  <c r="W211" i="6"/>
  <c r="V211" i="6"/>
  <c r="R211" i="6"/>
  <c r="Q211" i="6"/>
  <c r="O211" i="6"/>
  <c r="N211" i="6"/>
  <c r="M211" i="6"/>
  <c r="X210" i="6"/>
  <c r="T210" i="6" s="1"/>
  <c r="W210" i="6"/>
  <c r="V210" i="6"/>
  <c r="R210" i="6"/>
  <c r="Q210" i="6"/>
  <c r="P210" i="6"/>
  <c r="O210" i="6"/>
  <c r="N210" i="6"/>
  <c r="M210" i="6"/>
  <c r="X209" i="6"/>
  <c r="T209" i="6" s="1"/>
  <c r="W209" i="6"/>
  <c r="S209" i="6" s="1"/>
  <c r="V209" i="6"/>
  <c r="R209" i="6"/>
  <c r="Q209" i="6"/>
  <c r="O209" i="6"/>
  <c r="N209" i="6"/>
  <c r="M209" i="6"/>
  <c r="X208" i="6"/>
  <c r="T208" i="6" s="1"/>
  <c r="W208" i="6"/>
  <c r="S208" i="6" s="1"/>
  <c r="V208" i="6"/>
  <c r="R208" i="6"/>
  <c r="Q208" i="6"/>
  <c r="O208" i="6"/>
  <c r="N208" i="6"/>
  <c r="M208" i="6"/>
  <c r="X207" i="6"/>
  <c r="T207" i="6" s="1"/>
  <c r="W207" i="6"/>
  <c r="S207" i="6" s="1"/>
  <c r="V207" i="6"/>
  <c r="R207" i="6"/>
  <c r="Q207" i="6"/>
  <c r="O207" i="6"/>
  <c r="N207" i="6"/>
  <c r="M207" i="6"/>
  <c r="X206" i="6"/>
  <c r="T206" i="6" s="1"/>
  <c r="W206" i="6"/>
  <c r="V206" i="6"/>
  <c r="S206" i="6" s="1"/>
  <c r="R206" i="6"/>
  <c r="Q206" i="6"/>
  <c r="O206" i="6"/>
  <c r="N206" i="6"/>
  <c r="M206" i="6"/>
  <c r="X205" i="6"/>
  <c r="T205" i="6" s="1"/>
  <c r="W205" i="6"/>
  <c r="V205" i="6"/>
  <c r="S205" i="6"/>
  <c r="R205" i="6"/>
  <c r="Q205" i="6"/>
  <c r="O205" i="6"/>
  <c r="N205" i="6"/>
  <c r="M205" i="6"/>
  <c r="X204" i="6"/>
  <c r="T204" i="6" s="1"/>
  <c r="W204" i="6"/>
  <c r="S204" i="6" s="1"/>
  <c r="V204" i="6"/>
  <c r="R204" i="6"/>
  <c r="Q204" i="6"/>
  <c r="O204" i="6"/>
  <c r="N204" i="6"/>
  <c r="M204" i="6"/>
  <c r="X203" i="6"/>
  <c r="W203" i="6"/>
  <c r="V203" i="6"/>
  <c r="S203" i="6" s="1"/>
  <c r="T203" i="6"/>
  <c r="R203" i="6"/>
  <c r="Q203" i="6"/>
  <c r="O203" i="6"/>
  <c r="N203" i="6"/>
  <c r="M203" i="6"/>
  <c r="X202" i="6"/>
  <c r="T202" i="6" s="1"/>
  <c r="W202" i="6"/>
  <c r="V202" i="6"/>
  <c r="S202" i="6"/>
  <c r="R202" i="6"/>
  <c r="Q202" i="6"/>
  <c r="O202" i="6"/>
  <c r="N202" i="6"/>
  <c r="M202" i="6"/>
  <c r="X201" i="6"/>
  <c r="T201" i="6" s="1"/>
  <c r="W201" i="6"/>
  <c r="S201" i="6" s="1"/>
  <c r="V201" i="6"/>
  <c r="R201" i="6"/>
  <c r="Q201" i="6"/>
  <c r="O201" i="6"/>
  <c r="N201" i="6"/>
  <c r="M201" i="6"/>
  <c r="X200" i="6"/>
  <c r="T200" i="6" s="1"/>
  <c r="W200" i="6"/>
  <c r="S200" i="6" s="1"/>
  <c r="V200" i="6"/>
  <c r="R200" i="6"/>
  <c r="Q200" i="6"/>
  <c r="O200" i="6"/>
  <c r="N200" i="6"/>
  <c r="M200" i="6"/>
  <c r="X199" i="6"/>
  <c r="W199" i="6"/>
  <c r="V199" i="6"/>
  <c r="T199" i="6"/>
  <c r="R199" i="6"/>
  <c r="Q199" i="6"/>
  <c r="O199" i="6"/>
  <c r="N199" i="6"/>
  <c r="M199" i="6"/>
  <c r="X198" i="6"/>
  <c r="W198" i="6"/>
  <c r="S198" i="6" s="1"/>
  <c r="V198" i="6"/>
  <c r="T198" i="6"/>
  <c r="R198" i="6"/>
  <c r="Q198" i="6"/>
  <c r="P198" i="6"/>
  <c r="O198" i="6"/>
  <c r="N198" i="6"/>
  <c r="M198" i="6"/>
  <c r="X197" i="6"/>
  <c r="T197" i="6" s="1"/>
  <c r="W197" i="6"/>
  <c r="V197" i="6"/>
  <c r="R197" i="6"/>
  <c r="Q197" i="6"/>
  <c r="O197" i="6"/>
  <c r="N197" i="6"/>
  <c r="M197" i="6"/>
  <c r="X196" i="6"/>
  <c r="T196" i="6" s="1"/>
  <c r="W196" i="6"/>
  <c r="V196" i="6"/>
  <c r="R196" i="6"/>
  <c r="Q196" i="6"/>
  <c r="O196" i="6"/>
  <c r="N196" i="6"/>
  <c r="M196" i="6"/>
  <c r="X195" i="6"/>
  <c r="T195" i="6" s="1"/>
  <c r="W195" i="6"/>
  <c r="V195" i="6"/>
  <c r="R195" i="6"/>
  <c r="Q195" i="6"/>
  <c r="O195" i="6"/>
  <c r="N195" i="6"/>
  <c r="M195" i="6"/>
  <c r="X194" i="6"/>
  <c r="T194" i="6" s="1"/>
  <c r="W194" i="6"/>
  <c r="S194" i="6" s="1"/>
  <c r="V194" i="6"/>
  <c r="R194" i="6"/>
  <c r="Q194" i="6"/>
  <c r="P194" i="6"/>
  <c r="O194" i="6"/>
  <c r="N194" i="6"/>
  <c r="M194" i="6"/>
  <c r="X193" i="6"/>
  <c r="T193" i="6" s="1"/>
  <c r="W193" i="6"/>
  <c r="V193" i="6"/>
  <c r="R193" i="6"/>
  <c r="Q193" i="6"/>
  <c r="O193" i="6"/>
  <c r="N193" i="6"/>
  <c r="M193" i="6"/>
  <c r="X192" i="6"/>
  <c r="T192" i="6" s="1"/>
  <c r="W192" i="6"/>
  <c r="V192" i="6"/>
  <c r="S192" i="6"/>
  <c r="R192" i="6"/>
  <c r="Q192" i="6"/>
  <c r="O192" i="6"/>
  <c r="N192" i="6"/>
  <c r="M192" i="6"/>
  <c r="X191" i="6"/>
  <c r="T191" i="6" s="1"/>
  <c r="W191" i="6"/>
  <c r="V191" i="6"/>
  <c r="R191" i="6"/>
  <c r="Q191" i="6"/>
  <c r="O191" i="6"/>
  <c r="N191" i="6"/>
  <c r="M191" i="6"/>
  <c r="X190" i="6"/>
  <c r="T190" i="6" s="1"/>
  <c r="W190" i="6"/>
  <c r="S190" i="6" s="1"/>
  <c r="V190" i="6"/>
  <c r="R190" i="6"/>
  <c r="Q190" i="6"/>
  <c r="O190" i="6"/>
  <c r="N190" i="6"/>
  <c r="M190" i="6"/>
  <c r="X189" i="6"/>
  <c r="T189" i="6" s="1"/>
  <c r="W189" i="6"/>
  <c r="S189" i="6" s="1"/>
  <c r="V189" i="6"/>
  <c r="R189" i="6"/>
  <c r="Q189" i="6"/>
  <c r="O189" i="6"/>
  <c r="N189" i="6"/>
  <c r="M189" i="6"/>
  <c r="X188" i="6"/>
  <c r="T188" i="6" s="1"/>
  <c r="W188" i="6"/>
  <c r="V188" i="6"/>
  <c r="S188" i="6" s="1"/>
  <c r="R188" i="6"/>
  <c r="Q188" i="6"/>
  <c r="O188" i="6"/>
  <c r="N188" i="6"/>
  <c r="M188" i="6"/>
  <c r="X187" i="6"/>
  <c r="W187" i="6"/>
  <c r="V187" i="6"/>
  <c r="S187" i="6" s="1"/>
  <c r="T187" i="6"/>
  <c r="R187" i="6"/>
  <c r="Q187" i="6"/>
  <c r="O187" i="6"/>
  <c r="N187" i="6"/>
  <c r="M187" i="6"/>
  <c r="X186" i="6"/>
  <c r="T186" i="6" s="1"/>
  <c r="W186" i="6"/>
  <c r="V186" i="6"/>
  <c r="S186" i="6" s="1"/>
  <c r="R186" i="6"/>
  <c r="Q186" i="6"/>
  <c r="O186" i="6"/>
  <c r="N186" i="6"/>
  <c r="M186" i="6"/>
  <c r="X185" i="6"/>
  <c r="W185" i="6"/>
  <c r="V185" i="6"/>
  <c r="T185" i="6"/>
  <c r="S185" i="6"/>
  <c r="R185" i="6"/>
  <c r="Q185" i="6"/>
  <c r="O185" i="6"/>
  <c r="N185" i="6"/>
  <c r="M185" i="6"/>
  <c r="X184" i="6"/>
  <c r="T184" i="6" s="1"/>
  <c r="W184" i="6"/>
  <c r="V184" i="6"/>
  <c r="R184" i="6"/>
  <c r="Q184" i="6"/>
  <c r="O184" i="6"/>
  <c r="N184" i="6"/>
  <c r="M184" i="6"/>
  <c r="X183" i="6"/>
  <c r="T183" i="6" s="1"/>
  <c r="W183" i="6"/>
  <c r="S183" i="6" s="1"/>
  <c r="V183" i="6"/>
  <c r="R183" i="6"/>
  <c r="Q183" i="6"/>
  <c r="O183" i="6"/>
  <c r="N183" i="6"/>
  <c r="M183" i="6"/>
  <c r="X182" i="6"/>
  <c r="T182" i="6" s="1"/>
  <c r="W182" i="6"/>
  <c r="S182" i="6" s="1"/>
  <c r="V182" i="6"/>
  <c r="R182" i="6"/>
  <c r="Q182" i="6"/>
  <c r="P182" i="6"/>
  <c r="O182" i="6"/>
  <c r="N182" i="6"/>
  <c r="M182" i="6"/>
  <c r="X181" i="6"/>
  <c r="T181" i="6" s="1"/>
  <c r="W181" i="6"/>
  <c r="V181" i="6"/>
  <c r="R181" i="6"/>
  <c r="Q181" i="6"/>
  <c r="O181" i="6"/>
  <c r="N181" i="6"/>
  <c r="M181" i="6"/>
  <c r="X180" i="6"/>
  <c r="T180" i="6" s="1"/>
  <c r="W180" i="6"/>
  <c r="V180" i="6"/>
  <c r="R180" i="6"/>
  <c r="Q180" i="6"/>
  <c r="O180" i="6"/>
  <c r="N180" i="6"/>
  <c r="M180" i="6"/>
  <c r="X179" i="6"/>
  <c r="T179" i="6" s="1"/>
  <c r="W179" i="6"/>
  <c r="V179" i="6"/>
  <c r="R179" i="6"/>
  <c r="Q179" i="6"/>
  <c r="O179" i="6"/>
  <c r="N179" i="6"/>
  <c r="M179" i="6"/>
  <c r="X178" i="6"/>
  <c r="T178" i="6" s="1"/>
  <c r="W178" i="6"/>
  <c r="S178" i="6" s="1"/>
  <c r="V178" i="6"/>
  <c r="R178" i="6"/>
  <c r="Q178" i="6"/>
  <c r="O178" i="6"/>
  <c r="N178" i="6"/>
  <c r="M178" i="6"/>
  <c r="X177" i="6"/>
  <c r="T177" i="6" s="1"/>
  <c r="W177" i="6"/>
  <c r="V177" i="6"/>
  <c r="S177" i="6" s="1"/>
  <c r="R177" i="6"/>
  <c r="Q177" i="6"/>
  <c r="O177" i="6"/>
  <c r="N177" i="6"/>
  <c r="M177" i="6"/>
  <c r="X176" i="6"/>
  <c r="T176" i="6" s="1"/>
  <c r="W176" i="6"/>
  <c r="V176" i="6"/>
  <c r="R176" i="6"/>
  <c r="Q176" i="6"/>
  <c r="O176" i="6"/>
  <c r="N176" i="6"/>
  <c r="M176" i="6"/>
  <c r="X175" i="6"/>
  <c r="T175" i="6" s="1"/>
  <c r="W175" i="6"/>
  <c r="S175" i="6" s="1"/>
  <c r="V175" i="6"/>
  <c r="R175" i="6"/>
  <c r="Q175" i="6"/>
  <c r="O175" i="6"/>
  <c r="N175" i="6"/>
  <c r="M175" i="6"/>
  <c r="X174" i="6"/>
  <c r="T174" i="6" s="1"/>
  <c r="W174" i="6"/>
  <c r="V174" i="6"/>
  <c r="S174" i="6" s="1"/>
  <c r="R174" i="6"/>
  <c r="Q174" i="6"/>
  <c r="O174" i="6"/>
  <c r="N174" i="6"/>
  <c r="M174" i="6"/>
  <c r="X173" i="6"/>
  <c r="T173" i="6" s="1"/>
  <c r="W173" i="6"/>
  <c r="V173" i="6"/>
  <c r="S173" i="6"/>
  <c r="R173" i="6"/>
  <c r="Q173" i="6"/>
  <c r="O173" i="6"/>
  <c r="N173" i="6"/>
  <c r="M173" i="6"/>
  <c r="X172" i="6"/>
  <c r="T172" i="6" s="1"/>
  <c r="W172" i="6"/>
  <c r="S172" i="6" s="1"/>
  <c r="V172" i="6"/>
  <c r="R172" i="6"/>
  <c r="Q172" i="6"/>
  <c r="O172" i="6"/>
  <c r="N172" i="6"/>
  <c r="M172" i="6"/>
  <c r="X171" i="6"/>
  <c r="T171" i="6" s="1"/>
  <c r="W171" i="6"/>
  <c r="V171" i="6"/>
  <c r="R171" i="6"/>
  <c r="Q171" i="6"/>
  <c r="O171" i="6"/>
  <c r="N171" i="6"/>
  <c r="M171" i="6"/>
  <c r="X170" i="6"/>
  <c r="T170" i="6" s="1"/>
  <c r="W170" i="6"/>
  <c r="V170" i="6"/>
  <c r="S170" i="6" s="1"/>
  <c r="R170" i="6"/>
  <c r="Q170" i="6"/>
  <c r="O170" i="6"/>
  <c r="N170" i="6"/>
  <c r="M170" i="6"/>
  <c r="X169" i="6"/>
  <c r="T169" i="6" s="1"/>
  <c r="W169" i="6"/>
  <c r="V169" i="6"/>
  <c r="S169" i="6"/>
  <c r="R169" i="6"/>
  <c r="Q169" i="6"/>
  <c r="O169" i="6"/>
  <c r="N169" i="6"/>
  <c r="M169" i="6"/>
  <c r="X168" i="6"/>
  <c r="W168" i="6"/>
  <c r="V168" i="6"/>
  <c r="T168" i="6"/>
  <c r="R168" i="6"/>
  <c r="Q168" i="6"/>
  <c r="O168" i="6"/>
  <c r="N168" i="6"/>
  <c r="M168" i="6"/>
  <c r="X167" i="6"/>
  <c r="W167" i="6"/>
  <c r="S167" i="6" s="1"/>
  <c r="V167" i="6"/>
  <c r="T167" i="6"/>
  <c r="R167" i="6"/>
  <c r="Q167" i="6"/>
  <c r="O167" i="6"/>
  <c r="N167" i="6"/>
  <c r="M167" i="6"/>
  <c r="X166" i="6"/>
  <c r="W166" i="6"/>
  <c r="V166" i="6"/>
  <c r="T166" i="6"/>
  <c r="R166" i="6"/>
  <c r="Q166" i="6"/>
  <c r="O166" i="6"/>
  <c r="N166" i="6"/>
  <c r="M166" i="6"/>
  <c r="X165" i="6"/>
  <c r="T165" i="6" s="1"/>
  <c r="W165" i="6"/>
  <c r="V165" i="6"/>
  <c r="R165" i="6"/>
  <c r="Q165" i="6"/>
  <c r="O165" i="6"/>
  <c r="N165" i="6"/>
  <c r="M165" i="6"/>
  <c r="X164" i="6"/>
  <c r="T164" i="6" s="1"/>
  <c r="W164" i="6"/>
  <c r="V164" i="6"/>
  <c r="R164" i="6"/>
  <c r="Q164" i="6"/>
  <c r="O164" i="6"/>
  <c r="N164" i="6"/>
  <c r="M164" i="6"/>
  <c r="X163" i="6"/>
  <c r="T163" i="6" s="1"/>
  <c r="W163" i="6"/>
  <c r="V163" i="6"/>
  <c r="R163" i="6"/>
  <c r="Q163" i="6"/>
  <c r="P163" i="6"/>
  <c r="O163" i="6"/>
  <c r="N163" i="6"/>
  <c r="M163" i="6"/>
  <c r="X162" i="6"/>
  <c r="T162" i="6" s="1"/>
  <c r="W162" i="6"/>
  <c r="S162" i="6" s="1"/>
  <c r="V162" i="6"/>
  <c r="R162" i="6"/>
  <c r="Q162" i="6"/>
  <c r="O162" i="6"/>
  <c r="N162" i="6"/>
  <c r="M162" i="6"/>
  <c r="X161" i="6"/>
  <c r="T161" i="6" s="1"/>
  <c r="W161" i="6"/>
  <c r="S161" i="6" s="1"/>
  <c r="V161" i="6"/>
  <c r="R161" i="6"/>
  <c r="Q161" i="6"/>
  <c r="O161" i="6"/>
  <c r="N161" i="6"/>
  <c r="M161" i="6"/>
  <c r="X160" i="6"/>
  <c r="T160" i="6" s="1"/>
  <c r="W160" i="6"/>
  <c r="S160" i="6" s="1"/>
  <c r="V160" i="6"/>
  <c r="R160" i="6"/>
  <c r="Q160" i="6"/>
  <c r="O160" i="6"/>
  <c r="N160" i="6"/>
  <c r="M160" i="6"/>
  <c r="X159" i="6"/>
  <c r="T159" i="6" s="1"/>
  <c r="W159" i="6"/>
  <c r="V159" i="6"/>
  <c r="R159" i="6"/>
  <c r="Q159" i="6"/>
  <c r="O159" i="6"/>
  <c r="N159" i="6"/>
  <c r="M159" i="6"/>
  <c r="X158" i="6"/>
  <c r="T158" i="6" s="1"/>
  <c r="W158" i="6"/>
  <c r="S158" i="6" s="1"/>
  <c r="V158" i="6"/>
  <c r="R158" i="6"/>
  <c r="Q158" i="6"/>
  <c r="O158" i="6"/>
  <c r="N158" i="6"/>
  <c r="M158" i="6"/>
  <c r="X157" i="6"/>
  <c r="T157" i="6" s="1"/>
  <c r="W157" i="6"/>
  <c r="V157" i="6"/>
  <c r="S157" i="6"/>
  <c r="R157" i="6"/>
  <c r="Q157" i="6"/>
  <c r="O157" i="6"/>
  <c r="N157" i="6"/>
  <c r="M157" i="6"/>
  <c r="X156" i="6"/>
  <c r="T156" i="6" s="1"/>
  <c r="W156" i="6"/>
  <c r="V156" i="6"/>
  <c r="S156" i="6"/>
  <c r="R156" i="6"/>
  <c r="Q156" i="6"/>
  <c r="O156" i="6"/>
  <c r="N156" i="6"/>
  <c r="M156" i="6"/>
  <c r="X155" i="6"/>
  <c r="W155" i="6"/>
  <c r="V155" i="6"/>
  <c r="T155" i="6"/>
  <c r="R155" i="6"/>
  <c r="Q155" i="6"/>
  <c r="O155" i="6"/>
  <c r="N155" i="6"/>
  <c r="M155" i="6"/>
  <c r="X154" i="6"/>
  <c r="W154" i="6"/>
  <c r="V154" i="6"/>
  <c r="T154" i="6"/>
  <c r="S154" i="6"/>
  <c r="R154" i="6"/>
  <c r="Q154" i="6"/>
  <c r="O154" i="6"/>
  <c r="N154" i="6"/>
  <c r="M154" i="6"/>
  <c r="X153" i="6"/>
  <c r="T153" i="6" s="1"/>
  <c r="W153" i="6"/>
  <c r="S153" i="6" s="1"/>
  <c r="V153" i="6"/>
  <c r="R153" i="6"/>
  <c r="Q153" i="6"/>
  <c r="O153" i="6"/>
  <c r="N153" i="6"/>
  <c r="M153" i="6"/>
  <c r="X152" i="6"/>
  <c r="T152" i="6" s="1"/>
  <c r="W152" i="6"/>
  <c r="V152" i="6"/>
  <c r="R152" i="6"/>
  <c r="Q152" i="6"/>
  <c r="O152" i="6"/>
  <c r="N152" i="6"/>
  <c r="M152" i="6"/>
  <c r="X151" i="6"/>
  <c r="W151" i="6"/>
  <c r="V151" i="6"/>
  <c r="T151" i="6"/>
  <c r="R151" i="6"/>
  <c r="Q151" i="6"/>
  <c r="P151" i="6"/>
  <c r="O151" i="6"/>
  <c r="N151" i="6"/>
  <c r="M151" i="6"/>
  <c r="X150" i="6"/>
  <c r="W150" i="6"/>
  <c r="S150" i="6" s="1"/>
  <c r="V150" i="6"/>
  <c r="T150" i="6"/>
  <c r="R150" i="6"/>
  <c r="Q150" i="6"/>
  <c r="O150" i="6"/>
  <c r="N150" i="6"/>
  <c r="M150" i="6"/>
  <c r="X149" i="6"/>
  <c r="T149" i="6" s="1"/>
  <c r="W149" i="6"/>
  <c r="S149" i="6" s="1"/>
  <c r="V149" i="6"/>
  <c r="R149" i="6"/>
  <c r="Q149" i="6"/>
  <c r="O149" i="6"/>
  <c r="N149" i="6"/>
  <c r="M149" i="6"/>
  <c r="X148" i="6"/>
  <c r="T148" i="6" s="1"/>
  <c r="W148" i="6"/>
  <c r="V148" i="6"/>
  <c r="R148" i="6"/>
  <c r="Q148" i="6"/>
  <c r="O148" i="6"/>
  <c r="N148" i="6"/>
  <c r="M148" i="6"/>
  <c r="X147" i="6"/>
  <c r="T147" i="6" s="1"/>
  <c r="W147" i="6"/>
  <c r="S147" i="6" s="1"/>
  <c r="V147" i="6"/>
  <c r="R147" i="6"/>
  <c r="Q147" i="6"/>
  <c r="O147" i="6"/>
  <c r="N147" i="6"/>
  <c r="M147" i="6"/>
  <c r="X146" i="6"/>
  <c r="T146" i="6" s="1"/>
  <c r="W146" i="6"/>
  <c r="V146" i="6"/>
  <c r="R146" i="6"/>
  <c r="Q146" i="6"/>
  <c r="O146" i="6"/>
  <c r="N146" i="6"/>
  <c r="M146" i="6"/>
  <c r="X145" i="6"/>
  <c r="T145" i="6" s="1"/>
  <c r="W145" i="6"/>
  <c r="S145" i="6" s="1"/>
  <c r="V145" i="6"/>
  <c r="R145" i="6"/>
  <c r="Q145" i="6"/>
  <c r="O145" i="6"/>
  <c r="N145" i="6"/>
  <c r="M145" i="6"/>
  <c r="X144" i="6"/>
  <c r="T144" i="6" s="1"/>
  <c r="W144" i="6"/>
  <c r="V144" i="6"/>
  <c r="S144" i="6"/>
  <c r="R144" i="6"/>
  <c r="Q144" i="6"/>
  <c r="O144" i="6"/>
  <c r="N144" i="6"/>
  <c r="M144" i="6"/>
  <c r="X143" i="6"/>
  <c r="T143" i="6" s="1"/>
  <c r="W143" i="6"/>
  <c r="V143" i="6"/>
  <c r="R143" i="6"/>
  <c r="Q143" i="6"/>
  <c r="O143" i="6"/>
  <c r="N143" i="6"/>
  <c r="M143" i="6"/>
  <c r="X142" i="6"/>
  <c r="T142" i="6" s="1"/>
  <c r="W142" i="6"/>
  <c r="S142" i="6" s="1"/>
  <c r="V142" i="6"/>
  <c r="R142" i="6"/>
  <c r="Q142" i="6"/>
  <c r="O142" i="6"/>
  <c r="N142" i="6"/>
  <c r="M142" i="6"/>
  <c r="X141" i="6"/>
  <c r="T141" i="6" s="1"/>
  <c r="W141" i="6"/>
  <c r="V141" i="6"/>
  <c r="S141" i="6" s="1"/>
  <c r="R141" i="6"/>
  <c r="Q141" i="6"/>
  <c r="O141" i="6"/>
  <c r="N141" i="6"/>
  <c r="M141" i="6"/>
  <c r="X140" i="6"/>
  <c r="T140" i="6" s="1"/>
  <c r="W140" i="6"/>
  <c r="V140" i="6"/>
  <c r="S140" i="6" s="1"/>
  <c r="R140" i="6"/>
  <c r="Q140" i="6"/>
  <c r="O140" i="6"/>
  <c r="N140" i="6"/>
  <c r="M140" i="6"/>
  <c r="X139" i="6"/>
  <c r="T139" i="6" s="1"/>
  <c r="W139" i="6"/>
  <c r="V139" i="6"/>
  <c r="S139" i="6" s="1"/>
  <c r="R139" i="6"/>
  <c r="Q139" i="6"/>
  <c r="O139" i="6"/>
  <c r="N139" i="6"/>
  <c r="M139" i="6"/>
  <c r="X138" i="6"/>
  <c r="W138" i="6"/>
  <c r="V138" i="6"/>
  <c r="S138" i="6" s="1"/>
  <c r="T138" i="6"/>
  <c r="R138" i="6"/>
  <c r="Q138" i="6"/>
  <c r="O138" i="6"/>
  <c r="N138" i="6"/>
  <c r="M138" i="6"/>
  <c r="X137" i="6"/>
  <c r="W137" i="6"/>
  <c r="S137" i="6" s="1"/>
  <c r="V137" i="6"/>
  <c r="T137" i="6"/>
  <c r="R137" i="6"/>
  <c r="Q137" i="6"/>
  <c r="O137" i="6"/>
  <c r="N137" i="6"/>
  <c r="M137" i="6"/>
  <c r="X136" i="6"/>
  <c r="T136" i="6" s="1"/>
  <c r="W136" i="6"/>
  <c r="V136" i="6"/>
  <c r="R136" i="6"/>
  <c r="Q136" i="6"/>
  <c r="O136" i="6"/>
  <c r="N136" i="6"/>
  <c r="M136" i="6"/>
  <c r="X135" i="6"/>
  <c r="T135" i="6" s="1"/>
  <c r="W135" i="6"/>
  <c r="S135" i="6" s="1"/>
  <c r="V135" i="6"/>
  <c r="R135" i="6"/>
  <c r="Q135" i="6"/>
  <c r="O135" i="6"/>
  <c r="N135" i="6"/>
  <c r="M135" i="6"/>
  <c r="X134" i="6"/>
  <c r="W134" i="6"/>
  <c r="V134" i="6"/>
  <c r="T134" i="6"/>
  <c r="R134" i="6"/>
  <c r="Q134" i="6"/>
  <c r="P134" i="6"/>
  <c r="O134" i="6"/>
  <c r="N134" i="6"/>
  <c r="M134" i="6"/>
  <c r="X133" i="6"/>
  <c r="T133" i="6" s="1"/>
  <c r="W133" i="6"/>
  <c r="V133" i="6"/>
  <c r="R133" i="6"/>
  <c r="Q133" i="6"/>
  <c r="O133" i="6"/>
  <c r="N133" i="6"/>
  <c r="M133" i="6"/>
  <c r="X132" i="6"/>
  <c r="T132" i="6" s="1"/>
  <c r="W132" i="6"/>
  <c r="V132" i="6"/>
  <c r="R132" i="6"/>
  <c r="Q132" i="6"/>
  <c r="O132" i="6"/>
  <c r="N132" i="6"/>
  <c r="M132" i="6"/>
  <c r="X131" i="6"/>
  <c r="T131" i="6" s="1"/>
  <c r="W131" i="6"/>
  <c r="V131" i="6"/>
  <c r="R131" i="6"/>
  <c r="Q131" i="6"/>
  <c r="O131" i="6"/>
  <c r="N131" i="6"/>
  <c r="M131" i="6"/>
  <c r="X130" i="6"/>
  <c r="T130" i="6" s="1"/>
  <c r="W130" i="6"/>
  <c r="S130" i="6" s="1"/>
  <c r="V130" i="6"/>
  <c r="R130" i="6"/>
  <c r="Q130" i="6"/>
  <c r="O130" i="6"/>
  <c r="N130" i="6"/>
  <c r="M130" i="6"/>
  <c r="X129" i="6"/>
  <c r="T129" i="6" s="1"/>
  <c r="W129" i="6"/>
  <c r="V129" i="6"/>
  <c r="R129" i="6"/>
  <c r="Q129" i="6"/>
  <c r="O129" i="6"/>
  <c r="N129" i="6"/>
  <c r="M129" i="6"/>
  <c r="X128" i="6"/>
  <c r="T128" i="6" s="1"/>
  <c r="W128" i="6"/>
  <c r="S128" i="6" s="1"/>
  <c r="V128" i="6"/>
  <c r="R128" i="6"/>
  <c r="Q128" i="6"/>
  <c r="O128" i="6"/>
  <c r="N128" i="6"/>
  <c r="M128" i="6"/>
  <c r="X127" i="6"/>
  <c r="T127" i="6" s="1"/>
  <c r="W127" i="6"/>
  <c r="S127" i="6" s="1"/>
  <c r="V127" i="6"/>
  <c r="R127" i="6"/>
  <c r="Q127" i="6"/>
  <c r="O127" i="6"/>
  <c r="N127" i="6"/>
  <c r="M127" i="6"/>
  <c r="X126" i="6"/>
  <c r="T126" i="6" s="1"/>
  <c r="W126" i="6"/>
  <c r="V126" i="6"/>
  <c r="S126" i="6"/>
  <c r="R126" i="6"/>
  <c r="Q126" i="6"/>
  <c r="O126" i="6"/>
  <c r="N126" i="6"/>
  <c r="M126" i="6"/>
  <c r="X125" i="6"/>
  <c r="T125" i="6" s="1"/>
  <c r="W125" i="6"/>
  <c r="S125" i="6" s="1"/>
  <c r="V125" i="6"/>
  <c r="R125" i="6"/>
  <c r="Q125" i="6"/>
  <c r="O125" i="6"/>
  <c r="N125" i="6"/>
  <c r="M125" i="6"/>
  <c r="X124" i="6"/>
  <c r="T124" i="6" s="1"/>
  <c r="W124" i="6"/>
  <c r="V124" i="6"/>
  <c r="S124" i="6"/>
  <c r="R124" i="6"/>
  <c r="Q124" i="6"/>
  <c r="O124" i="6"/>
  <c r="N124" i="6"/>
  <c r="M124" i="6"/>
  <c r="X123" i="6"/>
  <c r="W123" i="6"/>
  <c r="V123" i="6"/>
  <c r="T123" i="6"/>
  <c r="R123" i="6"/>
  <c r="Q123" i="6"/>
  <c r="O123" i="6"/>
  <c r="N123" i="6"/>
  <c r="M123" i="6"/>
  <c r="X122" i="6"/>
  <c r="W122" i="6"/>
  <c r="V122" i="6"/>
  <c r="S122" i="6" s="1"/>
  <c r="T122" i="6"/>
  <c r="R122" i="6"/>
  <c r="Q122" i="6"/>
  <c r="P122" i="6"/>
  <c r="O122" i="6"/>
  <c r="N122" i="6"/>
  <c r="M122" i="6"/>
  <c r="X121" i="6"/>
  <c r="T121" i="6" s="1"/>
  <c r="W121" i="6"/>
  <c r="V121" i="6"/>
  <c r="S121" i="6"/>
  <c r="R121" i="6"/>
  <c r="Q121" i="6"/>
  <c r="O121" i="6"/>
  <c r="N121" i="6"/>
  <c r="M121" i="6"/>
  <c r="X120" i="6"/>
  <c r="T120" i="6" s="1"/>
  <c r="W120" i="6"/>
  <c r="V120" i="6"/>
  <c r="R120" i="6"/>
  <c r="Q120" i="6"/>
  <c r="O120" i="6"/>
  <c r="N120" i="6"/>
  <c r="M120" i="6"/>
  <c r="X119" i="6"/>
  <c r="T119" i="6" s="1"/>
  <c r="W119" i="6"/>
  <c r="V119" i="6"/>
  <c r="R119" i="6"/>
  <c r="Q119" i="6"/>
  <c r="O119" i="6"/>
  <c r="N119" i="6"/>
  <c r="M119" i="6"/>
  <c r="X118" i="6"/>
  <c r="T118" i="6" s="1"/>
  <c r="W118" i="6"/>
  <c r="V118" i="6"/>
  <c r="R118" i="6"/>
  <c r="Q118" i="6"/>
  <c r="O118" i="6"/>
  <c r="N118" i="6"/>
  <c r="M118" i="6"/>
  <c r="X117" i="6"/>
  <c r="W117" i="6"/>
  <c r="S117" i="6" s="1"/>
  <c r="V117" i="6"/>
  <c r="T117" i="6"/>
  <c r="R117" i="6"/>
  <c r="Q117" i="6"/>
  <c r="O117" i="6"/>
  <c r="N117" i="6"/>
  <c r="M117" i="6"/>
  <c r="X116" i="6"/>
  <c r="T116" i="6" s="1"/>
  <c r="W116" i="6"/>
  <c r="V116" i="6"/>
  <c r="R116" i="6"/>
  <c r="Q116" i="6"/>
  <c r="O116" i="6"/>
  <c r="N116" i="6"/>
  <c r="M116" i="6"/>
  <c r="X115" i="6"/>
  <c r="T115" i="6" s="1"/>
  <c r="W115" i="6"/>
  <c r="V115" i="6"/>
  <c r="R115" i="6"/>
  <c r="Q115" i="6"/>
  <c r="O115" i="6"/>
  <c r="N115" i="6"/>
  <c r="M115" i="6"/>
  <c r="X114" i="6"/>
  <c r="T114" i="6" s="1"/>
  <c r="W114" i="6"/>
  <c r="V114" i="6"/>
  <c r="R114" i="6"/>
  <c r="Q114" i="6"/>
  <c r="O114" i="6"/>
  <c r="N114" i="6"/>
  <c r="M114" i="6"/>
  <c r="X113" i="6"/>
  <c r="T113" i="6" s="1"/>
  <c r="W113" i="6"/>
  <c r="S113" i="6" s="1"/>
  <c r="V113" i="6"/>
  <c r="R113" i="6"/>
  <c r="Q113" i="6"/>
  <c r="O113" i="6"/>
  <c r="N113" i="6"/>
  <c r="M113" i="6"/>
  <c r="X112" i="6"/>
  <c r="T112" i="6" s="1"/>
  <c r="W112" i="6"/>
  <c r="V112" i="6"/>
  <c r="S112" i="6" s="1"/>
  <c r="R112" i="6"/>
  <c r="Q112" i="6"/>
  <c r="O112" i="6"/>
  <c r="N112" i="6"/>
  <c r="M112" i="6"/>
  <c r="X111" i="6"/>
  <c r="T111" i="6" s="1"/>
  <c r="W111" i="6"/>
  <c r="V111" i="6"/>
  <c r="R111" i="6"/>
  <c r="Q111" i="6"/>
  <c r="O111" i="6"/>
  <c r="N111" i="6"/>
  <c r="M111" i="6"/>
  <c r="X110" i="6"/>
  <c r="W110" i="6"/>
  <c r="S110" i="6" s="1"/>
  <c r="V110" i="6"/>
  <c r="T110" i="6"/>
  <c r="R110" i="6"/>
  <c r="Q110" i="6"/>
  <c r="O110" i="6"/>
  <c r="N110" i="6"/>
  <c r="M110" i="6"/>
  <c r="X109" i="6"/>
  <c r="T109" i="6" s="1"/>
  <c r="W109" i="6"/>
  <c r="V109" i="6"/>
  <c r="S109" i="6"/>
  <c r="R109" i="6"/>
  <c r="Q109" i="6"/>
  <c r="O109" i="6"/>
  <c r="N109" i="6"/>
  <c r="M109" i="6"/>
  <c r="X108" i="6"/>
  <c r="T108" i="6" s="1"/>
  <c r="W108" i="6"/>
  <c r="S108" i="6" s="1"/>
  <c r="V108" i="6"/>
  <c r="R108" i="6"/>
  <c r="Q108" i="6"/>
  <c r="O108" i="6"/>
  <c r="N108" i="6"/>
  <c r="M108" i="6"/>
  <c r="X107" i="6"/>
  <c r="T107" i="6" s="1"/>
  <c r="W107" i="6"/>
  <c r="V107" i="6"/>
  <c r="R107" i="6"/>
  <c r="Q107" i="6"/>
  <c r="O107" i="6"/>
  <c r="N107" i="6"/>
  <c r="M107" i="6"/>
  <c r="X106" i="6"/>
  <c r="T106" i="6" s="1"/>
  <c r="W106" i="6"/>
  <c r="V106" i="6"/>
  <c r="S106" i="6"/>
  <c r="R106" i="6"/>
  <c r="Q106" i="6"/>
  <c r="O106" i="6"/>
  <c r="N106" i="6"/>
  <c r="M106" i="6"/>
  <c r="X105" i="6"/>
  <c r="T105" i="6" s="1"/>
  <c r="W105" i="6"/>
  <c r="V105" i="6"/>
  <c r="S105" i="6" s="1"/>
  <c r="R105" i="6"/>
  <c r="Q105" i="6"/>
  <c r="O105" i="6"/>
  <c r="N105" i="6"/>
  <c r="M105" i="6"/>
  <c r="X104" i="6"/>
  <c r="W104" i="6"/>
  <c r="S104" i="6" s="1"/>
  <c r="V104" i="6"/>
  <c r="T104" i="6"/>
  <c r="R104" i="6"/>
  <c r="Q104" i="6"/>
  <c r="O104" i="6"/>
  <c r="N104" i="6"/>
  <c r="M104" i="6"/>
  <c r="X103" i="6"/>
  <c r="W103" i="6"/>
  <c r="V103" i="6"/>
  <c r="T103" i="6"/>
  <c r="R103" i="6"/>
  <c r="Q103" i="6"/>
  <c r="O103" i="6"/>
  <c r="N103" i="6"/>
  <c r="M103" i="6"/>
  <c r="X102" i="6"/>
  <c r="W102" i="6"/>
  <c r="V102" i="6"/>
  <c r="T102" i="6"/>
  <c r="R102" i="6"/>
  <c r="Q102" i="6"/>
  <c r="P102" i="6"/>
  <c r="O102" i="6"/>
  <c r="N102" i="6"/>
  <c r="M102" i="6"/>
  <c r="X101" i="6"/>
  <c r="T101" i="6" s="1"/>
  <c r="W101" i="6"/>
  <c r="S101" i="6" s="1"/>
  <c r="V101" i="6"/>
  <c r="R101" i="6"/>
  <c r="Q101" i="6"/>
  <c r="O101" i="6"/>
  <c r="N101" i="6"/>
  <c r="M101" i="6"/>
  <c r="X100" i="6"/>
  <c r="T100" i="6" s="1"/>
  <c r="W100" i="6"/>
  <c r="V100" i="6"/>
  <c r="R100" i="6"/>
  <c r="Q100" i="6"/>
  <c r="O100" i="6"/>
  <c r="N100" i="6"/>
  <c r="M100" i="6"/>
  <c r="X99" i="6"/>
  <c r="T99" i="6" s="1"/>
  <c r="W99" i="6"/>
  <c r="V99" i="6"/>
  <c r="R99" i="6"/>
  <c r="Q99" i="6"/>
  <c r="O99" i="6"/>
  <c r="N99" i="6"/>
  <c r="M99" i="6"/>
  <c r="X98" i="6"/>
  <c r="T98" i="6" s="1"/>
  <c r="W98" i="6"/>
  <c r="V98" i="6"/>
  <c r="R98" i="6"/>
  <c r="Q98" i="6"/>
  <c r="O98" i="6"/>
  <c r="N98" i="6"/>
  <c r="M98" i="6"/>
  <c r="X97" i="6"/>
  <c r="T97" i="6" s="1"/>
  <c r="W97" i="6"/>
  <c r="S97" i="6" s="1"/>
  <c r="V97" i="6"/>
  <c r="R97" i="6"/>
  <c r="Q97" i="6"/>
  <c r="P97" i="6"/>
  <c r="O97" i="6"/>
  <c r="N97" i="6"/>
  <c r="M97" i="6"/>
  <c r="X96" i="6"/>
  <c r="T96" i="6" s="1"/>
  <c r="W96" i="6"/>
  <c r="V96" i="6"/>
  <c r="S96" i="6"/>
  <c r="R96" i="6"/>
  <c r="Q96" i="6"/>
  <c r="O96" i="6"/>
  <c r="N96" i="6"/>
  <c r="M96" i="6"/>
  <c r="X95" i="6"/>
  <c r="T95" i="6" s="1"/>
  <c r="W95" i="6"/>
  <c r="S95" i="6" s="1"/>
  <c r="V95" i="6"/>
  <c r="R95" i="6"/>
  <c r="Q95" i="6"/>
  <c r="O95" i="6"/>
  <c r="N95" i="6"/>
  <c r="M95" i="6"/>
  <c r="X94" i="6"/>
  <c r="T94" i="6" s="1"/>
  <c r="W94" i="6"/>
  <c r="V94" i="6"/>
  <c r="S94" i="6" s="1"/>
  <c r="R94" i="6"/>
  <c r="Q94" i="6"/>
  <c r="O94" i="6"/>
  <c r="N94" i="6"/>
  <c r="M94" i="6"/>
  <c r="X93" i="6"/>
  <c r="T93" i="6" s="1"/>
  <c r="W93" i="6"/>
  <c r="V93" i="6"/>
  <c r="S93" i="6" s="1"/>
  <c r="R93" i="6"/>
  <c r="Q93" i="6"/>
  <c r="O93" i="6"/>
  <c r="N93" i="6"/>
  <c r="M93" i="6"/>
  <c r="X92" i="6"/>
  <c r="T92" i="6" s="1"/>
  <c r="W92" i="6"/>
  <c r="S92" i="6" s="1"/>
  <c r="V92" i="6"/>
  <c r="R92" i="6"/>
  <c r="Q92" i="6"/>
  <c r="O92" i="6"/>
  <c r="N92" i="6"/>
  <c r="M92" i="6"/>
  <c r="X91" i="6"/>
  <c r="W91" i="6"/>
  <c r="V91" i="6"/>
  <c r="T91" i="6"/>
  <c r="R91" i="6"/>
  <c r="Q91" i="6"/>
  <c r="O91" i="6"/>
  <c r="N91" i="6"/>
  <c r="M91" i="6"/>
  <c r="X90" i="6"/>
  <c r="W90" i="6"/>
  <c r="V90" i="6"/>
  <c r="S90" i="6" s="1"/>
  <c r="T90" i="6"/>
  <c r="R90" i="6"/>
  <c r="Q90" i="6"/>
  <c r="O90" i="6"/>
  <c r="N90" i="6"/>
  <c r="M90" i="6"/>
  <c r="X89" i="6"/>
  <c r="T89" i="6" s="1"/>
  <c r="W89" i="6"/>
  <c r="S89" i="6" s="1"/>
  <c r="V89" i="6"/>
  <c r="R89" i="6"/>
  <c r="Q89" i="6"/>
  <c r="O89" i="6"/>
  <c r="N89" i="6"/>
  <c r="M89" i="6"/>
  <c r="X88" i="6"/>
  <c r="T88" i="6" s="1"/>
  <c r="W88" i="6"/>
  <c r="S88" i="6" s="1"/>
  <c r="V88" i="6"/>
  <c r="R88" i="6"/>
  <c r="Q88" i="6"/>
  <c r="O88" i="6"/>
  <c r="N88" i="6"/>
  <c r="M88" i="6"/>
  <c r="X87" i="6"/>
  <c r="T87" i="6" s="1"/>
  <c r="W87" i="6"/>
  <c r="V87" i="6"/>
  <c r="R87" i="6"/>
  <c r="Q87" i="6"/>
  <c r="P87" i="6"/>
  <c r="O87" i="6"/>
  <c r="N87" i="6"/>
  <c r="M87" i="6"/>
  <c r="X86" i="6"/>
  <c r="W86" i="6"/>
  <c r="S86" i="6" s="1"/>
  <c r="V86" i="6"/>
  <c r="T86" i="6"/>
  <c r="R86" i="6"/>
  <c r="Q86" i="6"/>
  <c r="O86" i="6"/>
  <c r="N86" i="6"/>
  <c r="M86" i="6"/>
  <c r="X85" i="6"/>
  <c r="T85" i="6" s="1"/>
  <c r="W85" i="6"/>
  <c r="V85" i="6"/>
  <c r="R85" i="6"/>
  <c r="Q85" i="6"/>
  <c r="O85" i="6"/>
  <c r="N85" i="6"/>
  <c r="M85" i="6"/>
  <c r="X84" i="6"/>
  <c r="T84" i="6" s="1"/>
  <c r="W84" i="6"/>
  <c r="V84" i="6"/>
  <c r="R84" i="6"/>
  <c r="Q84" i="6"/>
  <c r="O84" i="6"/>
  <c r="N84" i="6"/>
  <c r="M84" i="6"/>
  <c r="X83" i="6"/>
  <c r="T83" i="6" s="1"/>
  <c r="W83" i="6"/>
  <c r="V83" i="6"/>
  <c r="R83" i="6"/>
  <c r="Q83" i="6"/>
  <c r="O83" i="6"/>
  <c r="N83" i="6"/>
  <c r="M83" i="6"/>
  <c r="X82" i="6"/>
  <c r="W82" i="6"/>
  <c r="V82" i="6"/>
  <c r="T82" i="6"/>
  <c r="R82" i="6"/>
  <c r="Q82" i="6"/>
  <c r="P82" i="6"/>
  <c r="O82" i="6"/>
  <c r="N82" i="6"/>
  <c r="M82" i="6"/>
  <c r="X81" i="6"/>
  <c r="T81" i="6" s="1"/>
  <c r="W81" i="6"/>
  <c r="S81" i="6" s="1"/>
  <c r="V81" i="6"/>
  <c r="R81" i="6"/>
  <c r="Q81" i="6"/>
  <c r="O81" i="6"/>
  <c r="N81" i="6"/>
  <c r="M81" i="6"/>
  <c r="X80" i="6"/>
  <c r="T80" i="6" s="1"/>
  <c r="W80" i="6"/>
  <c r="S80" i="6" s="1"/>
  <c r="V80" i="6"/>
  <c r="R80" i="6"/>
  <c r="Q80" i="6"/>
  <c r="O80" i="6"/>
  <c r="N80" i="6"/>
  <c r="M80" i="6"/>
  <c r="X79" i="6"/>
  <c r="T79" i="6" s="1"/>
  <c r="W79" i="6"/>
  <c r="V79" i="6"/>
  <c r="R79" i="6"/>
  <c r="Q79" i="6"/>
  <c r="O79" i="6"/>
  <c r="N79" i="6"/>
  <c r="M79" i="6"/>
  <c r="X78" i="6"/>
  <c r="T78" i="6" s="1"/>
  <c r="W78" i="6"/>
  <c r="S78" i="6" s="1"/>
  <c r="V78" i="6"/>
  <c r="R78" i="6"/>
  <c r="Q78" i="6"/>
  <c r="O78" i="6"/>
  <c r="N78" i="6"/>
  <c r="M78" i="6"/>
  <c r="X77" i="6"/>
  <c r="T77" i="6" s="1"/>
  <c r="W77" i="6"/>
  <c r="V77" i="6"/>
  <c r="S77" i="6" s="1"/>
  <c r="R77" i="6"/>
  <c r="Q77" i="6"/>
  <c r="O77" i="6"/>
  <c r="N77" i="6"/>
  <c r="M77" i="6"/>
  <c r="X76" i="6"/>
  <c r="T76" i="6" s="1"/>
  <c r="W76" i="6"/>
  <c r="S76" i="6" s="1"/>
  <c r="V76" i="6"/>
  <c r="R76" i="6"/>
  <c r="Q76" i="6"/>
  <c r="O76" i="6"/>
  <c r="N76" i="6"/>
  <c r="M76" i="6"/>
  <c r="X75" i="6"/>
  <c r="W75" i="6"/>
  <c r="V75" i="6"/>
  <c r="T75" i="6"/>
  <c r="R75" i="6"/>
  <c r="Q75" i="6"/>
  <c r="O75" i="6"/>
  <c r="N75" i="6"/>
  <c r="M75" i="6"/>
  <c r="X74" i="6"/>
  <c r="T74" i="6" s="1"/>
  <c r="W74" i="6"/>
  <c r="V74" i="6"/>
  <c r="S74" i="6" s="1"/>
  <c r="R74" i="6"/>
  <c r="Q74" i="6"/>
  <c r="P74" i="6"/>
  <c r="O74" i="6"/>
  <c r="N74" i="6"/>
  <c r="M74" i="6"/>
  <c r="X73" i="6"/>
  <c r="W73" i="6"/>
  <c r="V73" i="6"/>
  <c r="T73" i="6"/>
  <c r="S73" i="6"/>
  <c r="R73" i="6"/>
  <c r="Q73" i="6"/>
  <c r="O73" i="6"/>
  <c r="N73" i="6"/>
  <c r="M73" i="6"/>
  <c r="X72" i="6"/>
  <c r="T72" i="6" s="1"/>
  <c r="W72" i="6"/>
  <c r="V72" i="6"/>
  <c r="R72" i="6"/>
  <c r="Q72" i="6"/>
  <c r="O72" i="6"/>
  <c r="N72" i="6"/>
  <c r="M72" i="6"/>
  <c r="X71" i="6"/>
  <c r="T71" i="6" s="1"/>
  <c r="W71" i="6"/>
  <c r="V71" i="6"/>
  <c r="R71" i="6"/>
  <c r="Q71" i="6"/>
  <c r="O71" i="6"/>
  <c r="N71" i="6"/>
  <c r="M71" i="6"/>
  <c r="X70" i="6"/>
  <c r="T70" i="6" s="1"/>
  <c r="W70" i="6"/>
  <c r="V70" i="6"/>
  <c r="R70" i="6"/>
  <c r="Q70" i="6"/>
  <c r="O70" i="6"/>
  <c r="N70" i="6"/>
  <c r="M70" i="6"/>
  <c r="X69" i="6"/>
  <c r="W69" i="6"/>
  <c r="S69" i="6" s="1"/>
  <c r="V69" i="6"/>
  <c r="T69" i="6"/>
  <c r="R69" i="6"/>
  <c r="Q69" i="6"/>
  <c r="O69" i="6"/>
  <c r="N69" i="6"/>
  <c r="M69" i="6"/>
  <c r="X68" i="6"/>
  <c r="T68" i="6" s="1"/>
  <c r="W68" i="6"/>
  <c r="V68" i="6"/>
  <c r="R68" i="6"/>
  <c r="Q68" i="6"/>
  <c r="O68" i="6"/>
  <c r="N68" i="6"/>
  <c r="M68" i="6"/>
  <c r="X67" i="6"/>
  <c r="T67" i="6" s="1"/>
  <c r="W67" i="6"/>
  <c r="S67" i="6" s="1"/>
  <c r="V67" i="6"/>
  <c r="R67" i="6"/>
  <c r="Q67" i="6"/>
  <c r="O67" i="6"/>
  <c r="N67" i="6"/>
  <c r="M67" i="6"/>
  <c r="X66" i="6"/>
  <c r="T66" i="6" s="1"/>
  <c r="W66" i="6"/>
  <c r="V66" i="6"/>
  <c r="R66" i="6"/>
  <c r="Q66" i="6"/>
  <c r="P66" i="6"/>
  <c r="O66" i="6"/>
  <c r="N66" i="6"/>
  <c r="M66" i="6"/>
  <c r="X65" i="6"/>
  <c r="T65" i="6" s="1"/>
  <c r="W65" i="6"/>
  <c r="V65" i="6"/>
  <c r="S65" i="6"/>
  <c r="R65" i="6"/>
  <c r="Q65" i="6"/>
  <c r="O65" i="6"/>
  <c r="N65" i="6"/>
  <c r="M65" i="6"/>
  <c r="X64" i="6"/>
  <c r="T64" i="6" s="1"/>
  <c r="W64" i="6"/>
  <c r="V64" i="6"/>
  <c r="S64" i="6"/>
  <c r="R64" i="6"/>
  <c r="Q64" i="6"/>
  <c r="O64" i="6"/>
  <c r="N64" i="6"/>
  <c r="M64" i="6"/>
  <c r="X63" i="6"/>
  <c r="T63" i="6" s="1"/>
  <c r="W63" i="6"/>
  <c r="V63" i="6"/>
  <c r="R63" i="6"/>
  <c r="Q63" i="6"/>
  <c r="O63" i="6"/>
  <c r="N63" i="6"/>
  <c r="M63" i="6"/>
  <c r="X62" i="6"/>
  <c r="W62" i="6"/>
  <c r="S62" i="6" s="1"/>
  <c r="V62" i="6"/>
  <c r="T62" i="6"/>
  <c r="R62" i="6"/>
  <c r="Q62" i="6"/>
  <c r="O62" i="6"/>
  <c r="N62" i="6"/>
  <c r="M62" i="6"/>
  <c r="X61" i="6"/>
  <c r="T61" i="6" s="1"/>
  <c r="W61" i="6"/>
  <c r="V61" i="6"/>
  <c r="S61" i="6"/>
  <c r="R61" i="6"/>
  <c r="Q61" i="6"/>
  <c r="O61" i="6"/>
  <c r="N61" i="6"/>
  <c r="M61" i="6"/>
  <c r="X60" i="6"/>
  <c r="T60" i="6" s="1"/>
  <c r="W60" i="6"/>
  <c r="V60" i="6"/>
  <c r="S60" i="6"/>
  <c r="R60" i="6"/>
  <c r="Q60" i="6"/>
  <c r="O60" i="6"/>
  <c r="N60" i="6"/>
  <c r="M60" i="6"/>
  <c r="X59" i="6"/>
  <c r="W59" i="6"/>
  <c r="S59" i="6" s="1"/>
  <c r="V59" i="6"/>
  <c r="T59" i="6"/>
  <c r="R59" i="6"/>
  <c r="Q59" i="6"/>
  <c r="O59" i="6"/>
  <c r="N59" i="6"/>
  <c r="M59" i="6"/>
  <c r="X58" i="6"/>
  <c r="T58" i="6" s="1"/>
  <c r="W58" i="6"/>
  <c r="V58" i="6"/>
  <c r="S58" i="6"/>
  <c r="R58" i="6"/>
  <c r="Q58" i="6"/>
  <c r="O58" i="6"/>
  <c r="N58" i="6"/>
  <c r="M58" i="6"/>
  <c r="X57" i="6"/>
  <c r="T57" i="6" s="1"/>
  <c r="W57" i="6"/>
  <c r="S57" i="6" s="1"/>
  <c r="V57" i="6"/>
  <c r="R57" i="6"/>
  <c r="Q57" i="6"/>
  <c r="O57" i="6"/>
  <c r="N57" i="6"/>
  <c r="M57" i="6"/>
  <c r="X56" i="6"/>
  <c r="T56" i="6" s="1"/>
  <c r="W56" i="6"/>
  <c r="S56" i="6" s="1"/>
  <c r="V56" i="6"/>
  <c r="R56" i="6"/>
  <c r="Q56" i="6"/>
  <c r="O56" i="6"/>
  <c r="N56" i="6"/>
  <c r="M56" i="6"/>
  <c r="X55" i="6"/>
  <c r="W55" i="6"/>
  <c r="V55" i="6"/>
  <c r="T55" i="6"/>
  <c r="R55" i="6"/>
  <c r="Q55" i="6"/>
  <c r="O55" i="6"/>
  <c r="N55" i="6"/>
  <c r="M55" i="6"/>
  <c r="X54" i="6"/>
  <c r="W54" i="6"/>
  <c r="S54" i="6" s="1"/>
  <c r="V54" i="6"/>
  <c r="T54" i="6"/>
  <c r="R54" i="6"/>
  <c r="Q54" i="6"/>
  <c r="O54" i="6"/>
  <c r="N54" i="6"/>
  <c r="M54" i="6"/>
  <c r="D54" i="6"/>
  <c r="C54" i="6"/>
  <c r="X53" i="6"/>
  <c r="T53" i="6" s="1"/>
  <c r="W53" i="6"/>
  <c r="V53" i="6"/>
  <c r="S53" i="6"/>
  <c r="R53" i="6"/>
  <c r="Q53" i="6"/>
  <c r="O53" i="6"/>
  <c r="N53" i="6"/>
  <c r="M53" i="6"/>
  <c r="D53" i="6"/>
  <c r="C53" i="6"/>
  <c r="X52" i="6"/>
  <c r="T52" i="6" s="1"/>
  <c r="W52" i="6"/>
  <c r="V52" i="6"/>
  <c r="R52" i="6"/>
  <c r="Q52" i="6"/>
  <c r="P52" i="6"/>
  <c r="O52" i="6"/>
  <c r="N52" i="6"/>
  <c r="M52" i="6"/>
  <c r="D52" i="6"/>
  <c r="C52" i="6"/>
  <c r="X51" i="6"/>
  <c r="T51" i="6" s="1"/>
  <c r="W51" i="6"/>
  <c r="S51" i="6" s="1"/>
  <c r="V51" i="6"/>
  <c r="R51" i="6"/>
  <c r="Q51" i="6"/>
  <c r="O51" i="6"/>
  <c r="N51" i="6"/>
  <c r="M51" i="6"/>
  <c r="D51" i="6"/>
  <c r="C51" i="6"/>
  <c r="X50" i="6"/>
  <c r="T50" i="6" s="1"/>
  <c r="W50" i="6"/>
  <c r="S50" i="6" s="1"/>
  <c r="V50" i="6"/>
  <c r="R50" i="6"/>
  <c r="Q50" i="6"/>
  <c r="O50" i="6"/>
  <c r="N50" i="6"/>
  <c r="M50" i="6"/>
  <c r="D50" i="6"/>
  <c r="C50" i="6"/>
  <c r="X49" i="6"/>
  <c r="T49" i="6" s="1"/>
  <c r="W49" i="6"/>
  <c r="V49" i="6"/>
  <c r="R49" i="6"/>
  <c r="Q49" i="6"/>
  <c r="O49" i="6"/>
  <c r="N49" i="6"/>
  <c r="M49" i="6"/>
  <c r="D49" i="6"/>
  <c r="C49" i="6"/>
  <c r="X48" i="6"/>
  <c r="T48" i="6" s="1"/>
  <c r="W48" i="6"/>
  <c r="S48" i="6" s="1"/>
  <c r="V48" i="6"/>
  <c r="R48" i="6"/>
  <c r="Q48" i="6"/>
  <c r="O48" i="6"/>
  <c r="N48" i="6"/>
  <c r="M48" i="6"/>
  <c r="D48" i="6"/>
  <c r="C48" i="6"/>
  <c r="X47" i="6"/>
  <c r="T47" i="6" s="1"/>
  <c r="W47" i="6"/>
  <c r="V47" i="6"/>
  <c r="R47" i="6"/>
  <c r="Q47" i="6"/>
  <c r="O47" i="6"/>
  <c r="N47" i="6"/>
  <c r="M47" i="6"/>
  <c r="D47" i="6"/>
  <c r="H14" i="6" s="1"/>
  <c r="C47" i="6"/>
  <c r="X46" i="6"/>
  <c r="T46" i="6" s="1"/>
  <c r="W46" i="6"/>
  <c r="V46" i="6"/>
  <c r="S46" i="6"/>
  <c r="R46" i="6"/>
  <c r="Q46" i="6"/>
  <c r="O46" i="6"/>
  <c r="N46" i="6"/>
  <c r="M46" i="6"/>
  <c r="X45" i="6"/>
  <c r="W45" i="6"/>
  <c r="S45" i="6" s="1"/>
  <c r="V45" i="6"/>
  <c r="T45" i="6"/>
  <c r="R45" i="6"/>
  <c r="Q45" i="6"/>
  <c r="O45" i="6"/>
  <c r="N45" i="6"/>
  <c r="M45" i="6"/>
  <c r="X44" i="6"/>
  <c r="T44" i="6" s="1"/>
  <c r="W44" i="6"/>
  <c r="V44" i="6"/>
  <c r="S44" i="6"/>
  <c r="R44" i="6"/>
  <c r="Q44" i="6"/>
  <c r="O44" i="6"/>
  <c r="N44" i="6"/>
  <c r="M44" i="6"/>
  <c r="C44" i="6"/>
  <c r="X43" i="6"/>
  <c r="T43" i="6" s="1"/>
  <c r="W43" i="6"/>
  <c r="S43" i="6" s="1"/>
  <c r="V43" i="6"/>
  <c r="R43" i="6"/>
  <c r="Q43" i="6"/>
  <c r="O43" i="6"/>
  <c r="N43" i="6"/>
  <c r="M43" i="6"/>
  <c r="C43" i="6"/>
  <c r="X42" i="6"/>
  <c r="T42" i="6" s="1"/>
  <c r="W42" i="6"/>
  <c r="V42" i="6"/>
  <c r="R42" i="6"/>
  <c r="Q42" i="6"/>
  <c r="O42" i="6"/>
  <c r="N42" i="6"/>
  <c r="M42" i="6"/>
  <c r="J42" i="6"/>
  <c r="C42" i="6"/>
  <c r="X41" i="6"/>
  <c r="T41" i="6" s="1"/>
  <c r="W41" i="6"/>
  <c r="V41" i="6"/>
  <c r="S41" i="6"/>
  <c r="R41" i="6"/>
  <c r="Q41" i="6"/>
  <c r="P41" i="6"/>
  <c r="O41" i="6"/>
  <c r="N41" i="6"/>
  <c r="M41" i="6"/>
  <c r="J41" i="6"/>
  <c r="C41" i="6"/>
  <c r="X40" i="6"/>
  <c r="T40" i="6" s="1"/>
  <c r="W40" i="6"/>
  <c r="S40" i="6" s="1"/>
  <c r="V40" i="6"/>
  <c r="R40" i="6"/>
  <c r="Q40" i="6"/>
  <c r="P40" i="6"/>
  <c r="O40" i="6"/>
  <c r="N40" i="6"/>
  <c r="M40" i="6"/>
  <c r="J40" i="6"/>
  <c r="C40" i="6"/>
  <c r="X39" i="6"/>
  <c r="W39" i="6"/>
  <c r="V39" i="6"/>
  <c r="T39" i="6"/>
  <c r="R39" i="6"/>
  <c r="Q39" i="6"/>
  <c r="O39" i="6"/>
  <c r="N39" i="6"/>
  <c r="M39" i="6"/>
  <c r="J39" i="6"/>
  <c r="C39" i="6"/>
  <c r="X38" i="6"/>
  <c r="T38" i="6" s="1"/>
  <c r="W38" i="6"/>
  <c r="V38" i="6"/>
  <c r="R38" i="6"/>
  <c r="Q38" i="6"/>
  <c r="O38" i="6"/>
  <c r="N38" i="6"/>
  <c r="M38" i="6"/>
  <c r="J38" i="6"/>
  <c r="C38" i="6"/>
  <c r="X37" i="6"/>
  <c r="T37" i="6" s="1"/>
  <c r="W37" i="6"/>
  <c r="V37" i="6"/>
  <c r="S37" i="6" s="1"/>
  <c r="R37" i="6"/>
  <c r="Q37" i="6"/>
  <c r="O37" i="6"/>
  <c r="N37" i="6"/>
  <c r="M37" i="6"/>
  <c r="J37" i="6"/>
  <c r="C37" i="6"/>
  <c r="X36" i="6"/>
  <c r="W36" i="6"/>
  <c r="V36" i="6"/>
  <c r="T36" i="6"/>
  <c r="R36" i="6"/>
  <c r="Q36" i="6"/>
  <c r="O36" i="6"/>
  <c r="N36" i="6"/>
  <c r="M36" i="6"/>
  <c r="J36" i="6"/>
  <c r="C36" i="6"/>
  <c r="X35" i="6"/>
  <c r="T35" i="6" s="1"/>
  <c r="W35" i="6"/>
  <c r="S35" i="6" s="1"/>
  <c r="V35" i="6"/>
  <c r="R35" i="6"/>
  <c r="Q35" i="6"/>
  <c r="O35" i="6"/>
  <c r="N35" i="6"/>
  <c r="M35" i="6"/>
  <c r="J35" i="6"/>
  <c r="C35" i="6"/>
  <c r="X34" i="6"/>
  <c r="T34" i="6" s="1"/>
  <c r="W34" i="6"/>
  <c r="V34" i="6"/>
  <c r="R34" i="6"/>
  <c r="Q34" i="6"/>
  <c r="O34" i="6"/>
  <c r="N34" i="6"/>
  <c r="M34" i="6"/>
  <c r="J34" i="6"/>
  <c r="C34" i="6"/>
  <c r="P310" i="6" s="1"/>
  <c r="X33" i="6"/>
  <c r="T33" i="6" s="1"/>
  <c r="W33" i="6"/>
  <c r="S33" i="6" s="1"/>
  <c r="V33" i="6"/>
  <c r="R33" i="6"/>
  <c r="Q33" i="6"/>
  <c r="O33" i="6"/>
  <c r="N33" i="6"/>
  <c r="M33" i="6"/>
  <c r="J33" i="6"/>
  <c r="C33" i="6"/>
  <c r="X32" i="6"/>
  <c r="T32" i="6" s="1"/>
  <c r="W32" i="6"/>
  <c r="V32" i="6"/>
  <c r="R32" i="6"/>
  <c r="Q32" i="6"/>
  <c r="O32" i="6"/>
  <c r="N32" i="6"/>
  <c r="M32" i="6"/>
  <c r="J32" i="6"/>
  <c r="C32" i="6"/>
  <c r="X31" i="6"/>
  <c r="T31" i="6" s="1"/>
  <c r="W31" i="6"/>
  <c r="V31" i="6"/>
  <c r="R31" i="6"/>
  <c r="Q31" i="6"/>
  <c r="P31" i="6"/>
  <c r="O31" i="6"/>
  <c r="N31" i="6"/>
  <c r="M31" i="6"/>
  <c r="J31" i="6"/>
  <c r="C31" i="6"/>
  <c r="X30" i="6"/>
  <c r="T30" i="6" s="1"/>
  <c r="W30" i="6"/>
  <c r="V30" i="6"/>
  <c r="R30" i="6"/>
  <c r="Q30" i="6"/>
  <c r="P30" i="6"/>
  <c r="O30" i="6"/>
  <c r="N30" i="6"/>
  <c r="M30" i="6"/>
  <c r="J30" i="6"/>
  <c r="C30" i="6"/>
  <c r="X29" i="6"/>
  <c r="T29" i="6" s="1"/>
  <c r="W29" i="6"/>
  <c r="V29" i="6"/>
  <c r="R29" i="6"/>
  <c r="Q29" i="6"/>
  <c r="P29" i="6"/>
  <c r="O29" i="6"/>
  <c r="N29" i="6"/>
  <c r="M29" i="6"/>
  <c r="J29" i="6"/>
  <c r="C29" i="6"/>
  <c r="P22" i="6" s="1"/>
  <c r="X28" i="6"/>
  <c r="T28" i="6" s="1"/>
  <c r="W28" i="6"/>
  <c r="V28" i="6"/>
  <c r="S28" i="6"/>
  <c r="R28" i="6"/>
  <c r="Q28" i="6"/>
  <c r="O28" i="6"/>
  <c r="N28" i="6"/>
  <c r="M28" i="6"/>
  <c r="J28" i="6"/>
  <c r="C28" i="6"/>
  <c r="X27" i="6"/>
  <c r="T27" i="6" s="1"/>
  <c r="W27" i="6"/>
  <c r="S27" i="6" s="1"/>
  <c r="V27" i="6"/>
  <c r="R27" i="6"/>
  <c r="Q27" i="6"/>
  <c r="P27" i="6"/>
  <c r="O27" i="6"/>
  <c r="N27" i="6"/>
  <c r="M27" i="6"/>
  <c r="J27" i="6"/>
  <c r="C27" i="6"/>
  <c r="X26" i="6"/>
  <c r="W26" i="6"/>
  <c r="V26" i="6"/>
  <c r="T26" i="6"/>
  <c r="S26" i="6"/>
  <c r="R26" i="6"/>
  <c r="Q26" i="6"/>
  <c r="P26" i="6"/>
  <c r="O26" i="6"/>
  <c r="N26" i="6"/>
  <c r="M26" i="6"/>
  <c r="J26" i="6"/>
  <c r="C26" i="6"/>
  <c r="P16" i="6" s="1"/>
  <c r="X25" i="6"/>
  <c r="T25" i="6" s="1"/>
  <c r="W25" i="6"/>
  <c r="V25" i="6"/>
  <c r="R25" i="6"/>
  <c r="Q25" i="6"/>
  <c r="O25" i="6"/>
  <c r="N25" i="6"/>
  <c r="M25" i="6"/>
  <c r="J25" i="6"/>
  <c r="C25" i="6"/>
  <c r="X24" i="6"/>
  <c r="T24" i="6" s="1"/>
  <c r="W24" i="6"/>
  <c r="V24" i="6"/>
  <c r="S24" i="6"/>
  <c r="R24" i="6"/>
  <c r="Q24" i="6"/>
  <c r="P24" i="6"/>
  <c r="O24" i="6"/>
  <c r="N24" i="6"/>
  <c r="M24" i="6"/>
  <c r="J24" i="6"/>
  <c r="C24" i="6"/>
  <c r="X23" i="6"/>
  <c r="T23" i="6" s="1"/>
  <c r="W23" i="6"/>
  <c r="V23" i="6"/>
  <c r="R23" i="6"/>
  <c r="Q23" i="6"/>
  <c r="O23" i="6"/>
  <c r="N23" i="6"/>
  <c r="M23" i="6"/>
  <c r="J23" i="6"/>
  <c r="X22" i="6"/>
  <c r="W22" i="6"/>
  <c r="S22" i="6" s="1"/>
  <c r="V22" i="6"/>
  <c r="T22" i="6"/>
  <c r="R22" i="6"/>
  <c r="Q22" i="6"/>
  <c r="O22" i="6"/>
  <c r="N22" i="6"/>
  <c r="M22" i="6"/>
  <c r="X21" i="6"/>
  <c r="T21" i="6" s="1"/>
  <c r="W21" i="6"/>
  <c r="S21" i="6" s="1"/>
  <c r="V21" i="6"/>
  <c r="R21" i="6"/>
  <c r="Q21" i="6"/>
  <c r="O21" i="6"/>
  <c r="N21" i="6"/>
  <c r="M21" i="6"/>
  <c r="X20" i="6"/>
  <c r="T20" i="6" s="1"/>
  <c r="W20" i="6"/>
  <c r="S20" i="6" s="1"/>
  <c r="V20" i="6"/>
  <c r="R20" i="6"/>
  <c r="Q20" i="6"/>
  <c r="P20" i="6"/>
  <c r="O20" i="6"/>
  <c r="N20" i="6"/>
  <c r="M20" i="6"/>
  <c r="X19" i="6"/>
  <c r="T19" i="6" s="1"/>
  <c r="W19" i="6"/>
  <c r="V19" i="6"/>
  <c r="S19" i="6" s="1"/>
  <c r="R19" i="6"/>
  <c r="Q19" i="6"/>
  <c r="O19" i="6"/>
  <c r="N19" i="6"/>
  <c r="M19" i="6"/>
  <c r="X18" i="6"/>
  <c r="W18" i="6"/>
  <c r="S18" i="6" s="1"/>
  <c r="V18" i="6"/>
  <c r="T18" i="6"/>
  <c r="R18" i="6"/>
  <c r="Q18" i="6"/>
  <c r="P18" i="6"/>
  <c r="O18" i="6"/>
  <c r="N18" i="6"/>
  <c r="M18" i="6"/>
  <c r="X17" i="6"/>
  <c r="T17" i="6" s="1"/>
  <c r="W17" i="6"/>
  <c r="V17" i="6"/>
  <c r="R17" i="6"/>
  <c r="Q17" i="6"/>
  <c r="P17" i="6"/>
  <c r="O17" i="6"/>
  <c r="N17" i="6"/>
  <c r="M17" i="6"/>
  <c r="X16" i="6"/>
  <c r="T16" i="6" s="1"/>
  <c r="W16" i="6"/>
  <c r="V16" i="6"/>
  <c r="R16" i="6"/>
  <c r="Q16" i="6"/>
  <c r="O16" i="6"/>
  <c r="N16" i="6"/>
  <c r="M16" i="6"/>
  <c r="X15" i="6"/>
  <c r="T15" i="6" s="1"/>
  <c r="W15" i="6"/>
  <c r="V15" i="6"/>
  <c r="S15" i="6"/>
  <c r="R15" i="6"/>
  <c r="Q15" i="6"/>
  <c r="P15" i="6"/>
  <c r="O15" i="6"/>
  <c r="N15" i="6"/>
  <c r="M15" i="6"/>
  <c r="X14" i="6"/>
  <c r="T14" i="6" s="1"/>
  <c r="W14" i="6"/>
  <c r="V14" i="6"/>
  <c r="R14" i="6"/>
  <c r="Q14" i="6"/>
  <c r="P14" i="6"/>
  <c r="O14" i="6"/>
  <c r="N14" i="6"/>
  <c r="M14" i="6"/>
  <c r="X13" i="6"/>
  <c r="W13" i="6"/>
  <c r="V13" i="6"/>
  <c r="S13" i="6" s="1"/>
  <c r="T13" i="6"/>
  <c r="R13" i="6"/>
  <c r="Q13" i="6"/>
  <c r="O13" i="6"/>
  <c r="N13" i="6"/>
  <c r="M13" i="6"/>
  <c r="X12" i="6"/>
  <c r="W12" i="6"/>
  <c r="V12" i="6"/>
  <c r="T12" i="6"/>
  <c r="R12" i="6"/>
  <c r="Q12" i="6"/>
  <c r="O12" i="6"/>
  <c r="N12" i="6"/>
  <c r="M12" i="6"/>
  <c r="X11" i="6"/>
  <c r="T11" i="6" s="1"/>
  <c r="W11" i="6"/>
  <c r="S11" i="6" s="1"/>
  <c r="V11" i="6"/>
  <c r="R11" i="6"/>
  <c r="Q11" i="6"/>
  <c r="P11" i="6"/>
  <c r="O11" i="6"/>
  <c r="N11" i="6"/>
  <c r="M11" i="6"/>
  <c r="X10" i="6"/>
  <c r="W10" i="6"/>
  <c r="S10" i="6" s="1"/>
  <c r="V10" i="6"/>
  <c r="T10" i="6"/>
  <c r="R10" i="6"/>
  <c r="Q10" i="6"/>
  <c r="P10" i="6"/>
  <c r="O10" i="6"/>
  <c r="N10" i="6"/>
  <c r="M10" i="6"/>
  <c r="H10" i="6"/>
  <c r="X9" i="6"/>
  <c r="T9" i="6" s="1"/>
  <c r="W9" i="6"/>
  <c r="V9" i="6"/>
  <c r="R9" i="6"/>
  <c r="Q9" i="6"/>
  <c r="O9" i="6"/>
  <c r="N9" i="6"/>
  <c r="M9" i="6"/>
  <c r="X8" i="6"/>
  <c r="W8" i="6"/>
  <c r="V8" i="6"/>
  <c r="T8" i="6"/>
  <c r="R8" i="6"/>
  <c r="Q8" i="6"/>
  <c r="P8" i="6"/>
  <c r="O8" i="6"/>
  <c r="N8" i="6"/>
  <c r="M8" i="6"/>
  <c r="X7" i="6"/>
  <c r="T7" i="6" s="1"/>
  <c r="W7" i="6"/>
  <c r="S7" i="6" s="1"/>
  <c r="V7" i="6"/>
  <c r="R7" i="6"/>
  <c r="Q7" i="6"/>
  <c r="O7" i="6"/>
  <c r="N7" i="6"/>
  <c r="M7" i="6"/>
  <c r="C7" i="6"/>
  <c r="X6" i="6"/>
  <c r="W6" i="6"/>
  <c r="V6" i="6"/>
  <c r="T6" i="6"/>
  <c r="R6" i="6"/>
  <c r="Q6" i="6"/>
  <c r="O6" i="6"/>
  <c r="N6" i="6"/>
  <c r="M6" i="6"/>
  <c r="C6" i="6"/>
  <c r="X5" i="6"/>
  <c r="T5" i="6" s="1"/>
  <c r="W5" i="6"/>
  <c r="V5" i="6"/>
  <c r="R5" i="6"/>
  <c r="Q5" i="6"/>
  <c r="P5" i="6"/>
  <c r="O5" i="6"/>
  <c r="N5" i="6"/>
  <c r="M5" i="6"/>
  <c r="O204" i="5"/>
  <c r="N204" i="5"/>
  <c r="O203" i="5"/>
  <c r="N203" i="5"/>
  <c r="O202" i="5"/>
  <c r="N202" i="5"/>
  <c r="O201" i="5"/>
  <c r="N201" i="5"/>
  <c r="O200" i="5"/>
  <c r="N200" i="5"/>
  <c r="O199" i="5"/>
  <c r="N199" i="5"/>
  <c r="O198" i="5"/>
  <c r="N198" i="5"/>
  <c r="O197" i="5"/>
  <c r="N197" i="5"/>
  <c r="O196" i="5"/>
  <c r="N196" i="5"/>
  <c r="O195" i="5"/>
  <c r="N195" i="5"/>
  <c r="O194" i="5"/>
  <c r="N194" i="5"/>
  <c r="O193" i="5"/>
  <c r="N193" i="5"/>
  <c r="O192" i="5"/>
  <c r="T192" i="5" s="1"/>
  <c r="N192" i="5"/>
  <c r="O191" i="5"/>
  <c r="N191" i="5"/>
  <c r="O190" i="5"/>
  <c r="N190" i="5"/>
  <c r="O189" i="5"/>
  <c r="N189" i="5"/>
  <c r="O188" i="5"/>
  <c r="N188" i="5"/>
  <c r="O187" i="5"/>
  <c r="N187" i="5"/>
  <c r="O186" i="5"/>
  <c r="N186" i="5"/>
  <c r="O185" i="5"/>
  <c r="N185" i="5"/>
  <c r="O184" i="5"/>
  <c r="N184" i="5"/>
  <c r="O183" i="5"/>
  <c r="N183" i="5"/>
  <c r="O182" i="5"/>
  <c r="V182" i="5" s="1"/>
  <c r="N182" i="5"/>
  <c r="O181" i="5"/>
  <c r="N181" i="5"/>
  <c r="O180" i="5"/>
  <c r="N180" i="5"/>
  <c r="O179" i="5"/>
  <c r="N179" i="5"/>
  <c r="O178" i="5"/>
  <c r="N178" i="5"/>
  <c r="O177" i="5"/>
  <c r="T177" i="5" s="1"/>
  <c r="N177" i="5"/>
  <c r="O176" i="5"/>
  <c r="N176" i="5"/>
  <c r="O175" i="5"/>
  <c r="N175" i="5"/>
  <c r="O174" i="5"/>
  <c r="N174" i="5"/>
  <c r="O173" i="5"/>
  <c r="N173" i="5"/>
  <c r="O172" i="5"/>
  <c r="N172" i="5"/>
  <c r="O171" i="5"/>
  <c r="V171" i="5" s="1"/>
  <c r="N171" i="5"/>
  <c r="O170" i="5"/>
  <c r="N170" i="5"/>
  <c r="O169" i="5"/>
  <c r="N169" i="5"/>
  <c r="O168" i="5"/>
  <c r="N168" i="5"/>
  <c r="O167" i="5"/>
  <c r="N167" i="5"/>
  <c r="O166" i="5"/>
  <c r="T166" i="5" s="1"/>
  <c r="N166" i="5"/>
  <c r="O165" i="5"/>
  <c r="N165" i="5"/>
  <c r="O164" i="5"/>
  <c r="N164" i="5"/>
  <c r="O163" i="5"/>
  <c r="N163" i="5"/>
  <c r="O162" i="5"/>
  <c r="N162" i="5"/>
  <c r="O161" i="5"/>
  <c r="N161" i="5"/>
  <c r="O160" i="5"/>
  <c r="N160" i="5"/>
  <c r="O159" i="5"/>
  <c r="N159" i="5"/>
  <c r="O158" i="5"/>
  <c r="N158" i="5"/>
  <c r="O157" i="5"/>
  <c r="N157" i="5"/>
  <c r="O156" i="5"/>
  <c r="N156" i="5"/>
  <c r="O155" i="5"/>
  <c r="N155" i="5"/>
  <c r="O154" i="5"/>
  <c r="N154" i="5"/>
  <c r="O153" i="5"/>
  <c r="N153" i="5"/>
  <c r="O152" i="5"/>
  <c r="N152" i="5"/>
  <c r="O151" i="5"/>
  <c r="N151" i="5"/>
  <c r="O150" i="5"/>
  <c r="N150" i="5"/>
  <c r="V149" i="5"/>
  <c r="O149" i="5"/>
  <c r="N149" i="5"/>
  <c r="O148" i="5"/>
  <c r="N148" i="5"/>
  <c r="O147" i="5"/>
  <c r="N147" i="5"/>
  <c r="O146" i="5"/>
  <c r="N146" i="5"/>
  <c r="O145" i="5"/>
  <c r="N145" i="5"/>
  <c r="O144" i="5"/>
  <c r="N144" i="5"/>
  <c r="O143" i="5"/>
  <c r="N143" i="5"/>
  <c r="O142" i="5"/>
  <c r="N142" i="5"/>
  <c r="O141" i="5"/>
  <c r="N141" i="5"/>
  <c r="O140" i="5"/>
  <c r="N140" i="5"/>
  <c r="O139" i="5"/>
  <c r="V139" i="5" s="1"/>
  <c r="N139" i="5"/>
  <c r="O138" i="5"/>
  <c r="N138" i="5"/>
  <c r="O137" i="5"/>
  <c r="N137" i="5"/>
  <c r="O136" i="5"/>
  <c r="N136" i="5"/>
  <c r="O135" i="5"/>
  <c r="N135" i="5"/>
  <c r="V134" i="5"/>
  <c r="O134" i="5"/>
  <c r="N134" i="5"/>
  <c r="O133" i="5"/>
  <c r="N133" i="5"/>
  <c r="O132" i="5"/>
  <c r="N132" i="5"/>
  <c r="O131" i="5"/>
  <c r="N131" i="5"/>
  <c r="O130" i="5"/>
  <c r="N130" i="5"/>
  <c r="V129" i="5"/>
  <c r="O129" i="5"/>
  <c r="T129" i="5" s="1"/>
  <c r="N129" i="5"/>
  <c r="O128" i="5"/>
  <c r="N128" i="5"/>
  <c r="O127" i="5"/>
  <c r="N127" i="5"/>
  <c r="V126" i="5"/>
  <c r="O126" i="5"/>
  <c r="N126" i="5"/>
  <c r="O125" i="5"/>
  <c r="N125" i="5"/>
  <c r="O124" i="5"/>
  <c r="N124" i="5"/>
  <c r="V123" i="5"/>
  <c r="O123" i="5"/>
  <c r="N123" i="5"/>
  <c r="O122" i="5"/>
  <c r="N122" i="5"/>
  <c r="O121" i="5"/>
  <c r="N121" i="5"/>
  <c r="V120" i="5"/>
  <c r="O120" i="5"/>
  <c r="N120" i="5"/>
  <c r="O119" i="5"/>
  <c r="T119" i="5" s="1"/>
  <c r="N119" i="5"/>
  <c r="O118" i="5"/>
  <c r="V118" i="5" s="1"/>
  <c r="N118" i="5"/>
  <c r="O117" i="5"/>
  <c r="N117" i="5"/>
  <c r="T116" i="5"/>
  <c r="O116" i="5"/>
  <c r="N116" i="5"/>
  <c r="O115" i="5"/>
  <c r="N115" i="5"/>
  <c r="O114" i="5"/>
  <c r="V114" i="5" s="1"/>
  <c r="N114" i="5"/>
  <c r="T113" i="5"/>
  <c r="O113" i="5"/>
  <c r="N113" i="5"/>
  <c r="O112" i="5"/>
  <c r="N112" i="5"/>
  <c r="O111" i="5"/>
  <c r="N111" i="5"/>
  <c r="V110" i="5"/>
  <c r="T110" i="5"/>
  <c r="O110" i="5"/>
  <c r="N110" i="5"/>
  <c r="O109" i="5"/>
  <c r="N109" i="5"/>
  <c r="O108" i="5"/>
  <c r="N108" i="5"/>
  <c r="V107" i="5"/>
  <c r="O107" i="5"/>
  <c r="N107" i="5"/>
  <c r="O106" i="5"/>
  <c r="N106" i="5"/>
  <c r="O105" i="5"/>
  <c r="N105" i="5"/>
  <c r="V104" i="5"/>
  <c r="O104" i="5"/>
  <c r="N104" i="5"/>
  <c r="V103" i="5"/>
  <c r="O103" i="5"/>
  <c r="T103" i="5" s="1"/>
  <c r="N103" i="5"/>
  <c r="O102" i="5"/>
  <c r="V102" i="5" s="1"/>
  <c r="N102" i="5"/>
  <c r="O101" i="5"/>
  <c r="N101" i="5"/>
  <c r="T100" i="5"/>
  <c r="O100" i="5"/>
  <c r="N100" i="5"/>
  <c r="O99" i="5"/>
  <c r="N99" i="5"/>
  <c r="O98" i="5"/>
  <c r="V98" i="5" s="1"/>
  <c r="N98" i="5"/>
  <c r="T97" i="5"/>
  <c r="O97" i="5"/>
  <c r="N97" i="5"/>
  <c r="O96" i="5"/>
  <c r="N96" i="5"/>
  <c r="O95" i="5"/>
  <c r="N95" i="5"/>
  <c r="V94" i="5"/>
  <c r="T94" i="5"/>
  <c r="O94" i="5"/>
  <c r="N94" i="5"/>
  <c r="O93" i="5"/>
  <c r="N93" i="5"/>
  <c r="O92" i="5"/>
  <c r="N92" i="5"/>
  <c r="V91" i="5"/>
  <c r="O91" i="5"/>
  <c r="N91" i="5"/>
  <c r="T90" i="5"/>
  <c r="O90" i="5"/>
  <c r="V90" i="5" s="1"/>
  <c r="N90" i="5"/>
  <c r="O89" i="5"/>
  <c r="N89" i="5"/>
  <c r="V88" i="5"/>
  <c r="O88" i="5"/>
  <c r="N88" i="5"/>
  <c r="V87" i="5"/>
  <c r="O87" i="5"/>
  <c r="T87" i="5" s="1"/>
  <c r="N87" i="5"/>
  <c r="O86" i="5"/>
  <c r="V86" i="5" s="1"/>
  <c r="N86" i="5"/>
  <c r="O85" i="5"/>
  <c r="N85" i="5"/>
  <c r="V84" i="5"/>
  <c r="T84" i="5"/>
  <c r="O84" i="5"/>
  <c r="N84" i="5"/>
  <c r="O83" i="5"/>
  <c r="N83" i="5"/>
  <c r="O82" i="5"/>
  <c r="V82" i="5" s="1"/>
  <c r="N82" i="5"/>
  <c r="T81" i="5"/>
  <c r="O81" i="5"/>
  <c r="N81" i="5"/>
  <c r="O80" i="5"/>
  <c r="N80" i="5"/>
  <c r="T79" i="5"/>
  <c r="O79" i="5"/>
  <c r="N79" i="5"/>
  <c r="V78" i="5"/>
  <c r="T78" i="5"/>
  <c r="O78" i="5"/>
  <c r="N78" i="5"/>
  <c r="O77" i="5"/>
  <c r="N77" i="5"/>
  <c r="O76" i="5"/>
  <c r="N76" i="5"/>
  <c r="V75" i="5"/>
  <c r="T75" i="5"/>
  <c r="O75" i="5"/>
  <c r="N75" i="5"/>
  <c r="T74" i="5"/>
  <c r="O74" i="5"/>
  <c r="V74" i="5" s="1"/>
  <c r="N74" i="5"/>
  <c r="O73" i="5"/>
  <c r="N73" i="5"/>
  <c r="V72" i="5"/>
  <c r="O72" i="5"/>
  <c r="N72" i="5"/>
  <c r="V71" i="5"/>
  <c r="O71" i="5"/>
  <c r="N71" i="5"/>
  <c r="O70" i="5"/>
  <c r="V70" i="5" s="1"/>
  <c r="N70" i="5"/>
  <c r="O69" i="5"/>
  <c r="T69" i="5" s="1"/>
  <c r="N69" i="5"/>
  <c r="V68" i="5"/>
  <c r="T68" i="5"/>
  <c r="O68" i="5"/>
  <c r="N68" i="5"/>
  <c r="O67" i="5"/>
  <c r="N67" i="5"/>
  <c r="O66" i="5"/>
  <c r="N66" i="5"/>
  <c r="T65" i="5"/>
  <c r="O65" i="5"/>
  <c r="N65" i="5"/>
  <c r="O64" i="5"/>
  <c r="N64" i="5"/>
  <c r="T63" i="5"/>
  <c r="O63" i="5"/>
  <c r="N63" i="5"/>
  <c r="V62" i="5"/>
  <c r="T62" i="5"/>
  <c r="O62" i="5"/>
  <c r="N62" i="5"/>
  <c r="V61" i="5"/>
  <c r="O61" i="5"/>
  <c r="N61" i="5"/>
  <c r="O60" i="5"/>
  <c r="N60" i="5"/>
  <c r="V59" i="5"/>
  <c r="T59" i="5"/>
  <c r="O59" i="5"/>
  <c r="N59" i="5"/>
  <c r="T58" i="5"/>
  <c r="O58" i="5"/>
  <c r="V58" i="5" s="1"/>
  <c r="N58" i="5"/>
  <c r="O57" i="5"/>
  <c r="N57" i="5"/>
  <c r="V56" i="5"/>
  <c r="T56" i="5"/>
  <c r="O56" i="5"/>
  <c r="N56" i="5"/>
  <c r="V55" i="5"/>
  <c r="O55" i="5"/>
  <c r="N55" i="5"/>
  <c r="O54" i="5"/>
  <c r="V54" i="5" s="1"/>
  <c r="N54" i="5"/>
  <c r="V53" i="5"/>
  <c r="O53" i="5"/>
  <c r="T53" i="5" s="1"/>
  <c r="N53" i="5"/>
  <c r="V52" i="5"/>
  <c r="T52" i="5"/>
  <c r="O52" i="5"/>
  <c r="N52" i="5"/>
  <c r="T51" i="5"/>
  <c r="O51" i="5"/>
  <c r="N51" i="5"/>
  <c r="V50" i="5"/>
  <c r="U50" i="5"/>
  <c r="O50" i="5"/>
  <c r="N50" i="5"/>
  <c r="O49" i="5"/>
  <c r="N49" i="5"/>
  <c r="O48" i="5"/>
  <c r="N48" i="5"/>
  <c r="V47" i="5"/>
  <c r="T47" i="5"/>
  <c r="O47" i="5"/>
  <c r="N47" i="5"/>
  <c r="X46" i="5"/>
  <c r="O46" i="5"/>
  <c r="V46" i="5" s="1"/>
  <c r="N46" i="5"/>
  <c r="O45" i="5"/>
  <c r="V45" i="5" s="1"/>
  <c r="N45" i="5"/>
  <c r="O44" i="5"/>
  <c r="N44" i="5"/>
  <c r="T43" i="5"/>
  <c r="O43" i="5"/>
  <c r="N43" i="5"/>
  <c r="V42" i="5"/>
  <c r="T42" i="5"/>
  <c r="O42" i="5"/>
  <c r="N42" i="5"/>
  <c r="O41" i="5"/>
  <c r="N41" i="5"/>
  <c r="U40" i="5"/>
  <c r="O40" i="5"/>
  <c r="N40" i="5"/>
  <c r="O39" i="5"/>
  <c r="V39" i="5" s="1"/>
  <c r="N39" i="5"/>
  <c r="V38" i="5"/>
  <c r="T38" i="5"/>
  <c r="O38" i="5"/>
  <c r="N38" i="5"/>
  <c r="O37" i="5"/>
  <c r="N37" i="5"/>
  <c r="T36" i="5"/>
  <c r="O36" i="5"/>
  <c r="V36" i="5" s="1"/>
  <c r="N36" i="5"/>
  <c r="T35" i="5"/>
  <c r="O35" i="5"/>
  <c r="V35" i="5" s="1"/>
  <c r="N35" i="5"/>
  <c r="V34" i="5"/>
  <c r="T34" i="5"/>
  <c r="O34" i="5"/>
  <c r="N34" i="5"/>
  <c r="O33" i="5"/>
  <c r="N33" i="5"/>
  <c r="V32" i="5"/>
  <c r="T32" i="5"/>
  <c r="O32" i="5"/>
  <c r="N32" i="5"/>
  <c r="X31" i="5"/>
  <c r="O31" i="5"/>
  <c r="V31" i="5" s="1"/>
  <c r="N31" i="5"/>
  <c r="V30" i="5"/>
  <c r="O30" i="5"/>
  <c r="N30" i="5"/>
  <c r="D30" i="5"/>
  <c r="O29" i="5"/>
  <c r="N29" i="5"/>
  <c r="U28" i="5"/>
  <c r="O28" i="5"/>
  <c r="N28" i="5"/>
  <c r="O27" i="5"/>
  <c r="N27" i="5"/>
  <c r="V26" i="5"/>
  <c r="O26" i="5"/>
  <c r="N26" i="5"/>
  <c r="F26" i="5"/>
  <c r="O25" i="5"/>
  <c r="N25" i="5"/>
  <c r="O24" i="5"/>
  <c r="N24" i="5"/>
  <c r="O23" i="5"/>
  <c r="N23" i="5"/>
  <c r="V22" i="5"/>
  <c r="O22" i="5"/>
  <c r="N22" i="5"/>
  <c r="V21" i="5"/>
  <c r="O21" i="5"/>
  <c r="N21" i="5"/>
  <c r="C21" i="5"/>
  <c r="O20" i="5"/>
  <c r="N20" i="5"/>
  <c r="V19" i="5"/>
  <c r="T19" i="5"/>
  <c r="O19" i="5"/>
  <c r="N19" i="5"/>
  <c r="V18" i="5"/>
  <c r="T18" i="5"/>
  <c r="O18" i="5"/>
  <c r="N18" i="5"/>
  <c r="O17" i="5"/>
  <c r="N17" i="5"/>
  <c r="C17" i="5"/>
  <c r="O16" i="5"/>
  <c r="V16" i="5" s="1"/>
  <c r="N16" i="5"/>
  <c r="C16" i="5"/>
  <c r="V15" i="5"/>
  <c r="O15" i="5"/>
  <c r="N15" i="5"/>
  <c r="O14" i="5"/>
  <c r="N14" i="5"/>
  <c r="V13" i="5"/>
  <c r="T13" i="5"/>
  <c r="O13" i="5"/>
  <c r="N13" i="5"/>
  <c r="C13" i="5"/>
  <c r="U18" i="5" s="1"/>
  <c r="X12" i="5"/>
  <c r="V12" i="5"/>
  <c r="O12" i="5"/>
  <c r="N12" i="5"/>
  <c r="C12" i="5"/>
  <c r="U22" i="5" s="1"/>
  <c r="X11" i="5"/>
  <c r="O11" i="5"/>
  <c r="N11" i="5"/>
  <c r="C11" i="5"/>
  <c r="V119" i="5" s="1"/>
  <c r="T10" i="5"/>
  <c r="O10" i="5"/>
  <c r="V10" i="5" s="1"/>
  <c r="N10" i="5"/>
  <c r="C10" i="5"/>
  <c r="V169" i="5" s="1"/>
  <c r="O9" i="5"/>
  <c r="N9" i="5"/>
  <c r="C9" i="5"/>
  <c r="X8" i="5"/>
  <c r="O8" i="5"/>
  <c r="N8" i="5"/>
  <c r="X7" i="5"/>
  <c r="V7" i="5"/>
  <c r="T7" i="5"/>
  <c r="O7" i="5"/>
  <c r="N7" i="5"/>
  <c r="T6" i="5"/>
  <c r="O6" i="5"/>
  <c r="N6" i="5"/>
  <c r="C6" i="5"/>
  <c r="X5" i="5"/>
  <c r="T5" i="5"/>
  <c r="O5" i="5"/>
  <c r="N5" i="5"/>
  <c r="T304" i="4"/>
  <c r="Q304" i="4"/>
  <c r="N304" i="4"/>
  <c r="T303" i="4"/>
  <c r="Q303" i="4"/>
  <c r="N303" i="4"/>
  <c r="T302" i="4"/>
  <c r="Q302" i="4"/>
  <c r="N302" i="4"/>
  <c r="T301" i="4"/>
  <c r="Q301" i="4"/>
  <c r="N301" i="4"/>
  <c r="T300" i="4"/>
  <c r="Q300" i="4"/>
  <c r="N300" i="4"/>
  <c r="T299" i="4"/>
  <c r="Q299" i="4"/>
  <c r="N299" i="4"/>
  <c r="T298" i="4"/>
  <c r="Q298" i="4"/>
  <c r="N298" i="4"/>
  <c r="T297" i="4"/>
  <c r="Q297" i="4"/>
  <c r="N297" i="4"/>
  <c r="T296" i="4"/>
  <c r="Q296" i="4"/>
  <c r="N296" i="4"/>
  <c r="T295" i="4"/>
  <c r="Q295" i="4"/>
  <c r="N295" i="4"/>
  <c r="T294" i="4"/>
  <c r="Q294" i="4"/>
  <c r="N294" i="4"/>
  <c r="T293" i="4"/>
  <c r="Q293" i="4"/>
  <c r="N293" i="4"/>
  <c r="T292" i="4"/>
  <c r="Q292" i="4"/>
  <c r="N292" i="4"/>
  <c r="T291" i="4"/>
  <c r="Q291" i="4"/>
  <c r="N291" i="4"/>
  <c r="T290" i="4"/>
  <c r="Q290" i="4"/>
  <c r="N290" i="4"/>
  <c r="T289" i="4"/>
  <c r="Q289" i="4"/>
  <c r="N289" i="4"/>
  <c r="T288" i="4"/>
  <c r="Q288" i="4"/>
  <c r="N288" i="4"/>
  <c r="T287" i="4"/>
  <c r="Q287" i="4"/>
  <c r="N287" i="4"/>
  <c r="T286" i="4"/>
  <c r="Q286" i="4"/>
  <c r="N286" i="4"/>
  <c r="T285" i="4"/>
  <c r="Q285" i="4"/>
  <c r="N285" i="4"/>
  <c r="T284" i="4"/>
  <c r="Q284" i="4"/>
  <c r="N284" i="4"/>
  <c r="T283" i="4"/>
  <c r="Q283" i="4"/>
  <c r="N283" i="4"/>
  <c r="T282" i="4"/>
  <c r="Q282" i="4"/>
  <c r="N282" i="4"/>
  <c r="T281" i="4"/>
  <c r="Q281" i="4"/>
  <c r="N281" i="4"/>
  <c r="T280" i="4"/>
  <c r="U280" i="4" s="1"/>
  <c r="Q280" i="4"/>
  <c r="N280" i="4"/>
  <c r="T279" i="4"/>
  <c r="Q279" i="4"/>
  <c r="N279" i="4"/>
  <c r="T278" i="4"/>
  <c r="Q278" i="4"/>
  <c r="N278" i="4"/>
  <c r="T277" i="4"/>
  <c r="Q277" i="4"/>
  <c r="N277" i="4"/>
  <c r="T276" i="4"/>
  <c r="Q276" i="4"/>
  <c r="N276" i="4"/>
  <c r="T275" i="4"/>
  <c r="Q275" i="4"/>
  <c r="N275" i="4"/>
  <c r="T274" i="4"/>
  <c r="Q274" i="4"/>
  <c r="N274" i="4"/>
  <c r="T273" i="4"/>
  <c r="Q273" i="4"/>
  <c r="N273" i="4"/>
  <c r="T272" i="4"/>
  <c r="Q272" i="4"/>
  <c r="N272" i="4"/>
  <c r="T271" i="4"/>
  <c r="Q271" i="4"/>
  <c r="N271" i="4"/>
  <c r="T270" i="4"/>
  <c r="Q270" i="4"/>
  <c r="N270" i="4"/>
  <c r="T269" i="4"/>
  <c r="Q269" i="4"/>
  <c r="N269" i="4"/>
  <c r="T268" i="4"/>
  <c r="Q268" i="4"/>
  <c r="N268" i="4"/>
  <c r="T267" i="4"/>
  <c r="Q267" i="4"/>
  <c r="N267" i="4"/>
  <c r="T266" i="4"/>
  <c r="Q266" i="4"/>
  <c r="N266" i="4"/>
  <c r="T265" i="4"/>
  <c r="Q265" i="4"/>
  <c r="N265" i="4"/>
  <c r="T264" i="4"/>
  <c r="Q264" i="4"/>
  <c r="N264" i="4"/>
  <c r="T263" i="4"/>
  <c r="Q263" i="4"/>
  <c r="N263" i="4"/>
  <c r="T262" i="4"/>
  <c r="Q262" i="4"/>
  <c r="N262" i="4"/>
  <c r="T261" i="4"/>
  <c r="Q261" i="4"/>
  <c r="N261" i="4"/>
  <c r="O261" i="4" s="1"/>
  <c r="T260" i="4"/>
  <c r="Q260" i="4"/>
  <c r="N260" i="4"/>
  <c r="T259" i="4"/>
  <c r="Q259" i="4"/>
  <c r="N259" i="4"/>
  <c r="T258" i="4"/>
  <c r="Q258" i="4"/>
  <c r="N258" i="4"/>
  <c r="T257" i="4"/>
  <c r="Q257" i="4"/>
  <c r="N257" i="4"/>
  <c r="T256" i="4"/>
  <c r="Q256" i="4"/>
  <c r="N256" i="4"/>
  <c r="T255" i="4"/>
  <c r="Q255" i="4"/>
  <c r="N255" i="4"/>
  <c r="T254" i="4"/>
  <c r="Q254" i="4"/>
  <c r="N254" i="4"/>
  <c r="T253" i="4"/>
  <c r="Q253" i="4"/>
  <c r="N253" i="4"/>
  <c r="T252" i="4"/>
  <c r="Q252" i="4"/>
  <c r="N252" i="4"/>
  <c r="T251" i="4"/>
  <c r="Q251" i="4"/>
  <c r="N251" i="4"/>
  <c r="T250" i="4"/>
  <c r="Q250" i="4"/>
  <c r="N250" i="4"/>
  <c r="T249" i="4"/>
  <c r="Q249" i="4"/>
  <c r="N249" i="4"/>
  <c r="T248" i="4"/>
  <c r="Q248" i="4"/>
  <c r="N248" i="4"/>
  <c r="T247" i="4"/>
  <c r="Q247" i="4"/>
  <c r="N247" i="4"/>
  <c r="T246" i="4"/>
  <c r="Q246" i="4"/>
  <c r="N246" i="4"/>
  <c r="T245" i="4"/>
  <c r="Q245" i="4"/>
  <c r="N245" i="4"/>
  <c r="T244" i="4"/>
  <c r="Q244" i="4"/>
  <c r="R244" i="4" s="1"/>
  <c r="N244" i="4"/>
  <c r="T243" i="4"/>
  <c r="Q243" i="4"/>
  <c r="N243" i="4"/>
  <c r="T242" i="4"/>
  <c r="Q242" i="4"/>
  <c r="N242" i="4"/>
  <c r="T241" i="4"/>
  <c r="Q241" i="4"/>
  <c r="N241" i="4"/>
  <c r="T240" i="4"/>
  <c r="Q240" i="4"/>
  <c r="N240" i="4"/>
  <c r="T239" i="4"/>
  <c r="Q239" i="4"/>
  <c r="N239" i="4"/>
  <c r="T238" i="4"/>
  <c r="Q238" i="4"/>
  <c r="N238" i="4"/>
  <c r="T237" i="4"/>
  <c r="Q237" i="4"/>
  <c r="N237" i="4"/>
  <c r="T236" i="4"/>
  <c r="U236" i="4" s="1"/>
  <c r="Q236" i="4"/>
  <c r="N236" i="4"/>
  <c r="T235" i="4"/>
  <c r="Q235" i="4"/>
  <c r="N235" i="4"/>
  <c r="T234" i="4"/>
  <c r="Q234" i="4"/>
  <c r="N234" i="4"/>
  <c r="T233" i="4"/>
  <c r="Q233" i="4"/>
  <c r="N233" i="4"/>
  <c r="T232" i="4"/>
  <c r="Q232" i="4"/>
  <c r="N232" i="4"/>
  <c r="T231" i="4"/>
  <c r="Q231" i="4"/>
  <c r="N231" i="4"/>
  <c r="T230" i="4"/>
  <c r="R230" i="4"/>
  <c r="Q230" i="4"/>
  <c r="N230" i="4"/>
  <c r="T229" i="4"/>
  <c r="Q229" i="4"/>
  <c r="N229" i="4"/>
  <c r="T228" i="4"/>
  <c r="Q228" i="4"/>
  <c r="N228" i="4"/>
  <c r="T227" i="4"/>
  <c r="Q227" i="4"/>
  <c r="N227" i="4"/>
  <c r="T226" i="4"/>
  <c r="Q226" i="4"/>
  <c r="N226" i="4"/>
  <c r="T225" i="4"/>
  <c r="Q225" i="4"/>
  <c r="N225" i="4"/>
  <c r="T224" i="4"/>
  <c r="Q224" i="4"/>
  <c r="N224" i="4"/>
  <c r="T223" i="4"/>
  <c r="Q223" i="4"/>
  <c r="N223" i="4"/>
  <c r="T222" i="4"/>
  <c r="Q222" i="4"/>
  <c r="R222" i="4" s="1"/>
  <c r="N222" i="4"/>
  <c r="T221" i="4"/>
  <c r="Q221" i="4"/>
  <c r="N221" i="4"/>
  <c r="T220" i="4"/>
  <c r="Q220" i="4"/>
  <c r="N220" i="4"/>
  <c r="T219" i="4"/>
  <c r="Q219" i="4"/>
  <c r="N219" i="4"/>
  <c r="T218" i="4"/>
  <c r="Q218" i="4"/>
  <c r="N218" i="4"/>
  <c r="T217" i="4"/>
  <c r="Q217" i="4"/>
  <c r="N217" i="4"/>
  <c r="T216" i="4"/>
  <c r="Q216" i="4"/>
  <c r="N216" i="4"/>
  <c r="T215" i="4"/>
  <c r="Q215" i="4"/>
  <c r="N215" i="4"/>
  <c r="T214" i="4"/>
  <c r="R214" i="4"/>
  <c r="Q214" i="4"/>
  <c r="N214" i="4"/>
  <c r="T213" i="4"/>
  <c r="Q213" i="4"/>
  <c r="N213" i="4"/>
  <c r="T212" i="4"/>
  <c r="Q212" i="4"/>
  <c r="N212" i="4"/>
  <c r="T211" i="4"/>
  <c r="U211" i="4" s="1"/>
  <c r="Q211" i="4"/>
  <c r="N211" i="4"/>
  <c r="T210" i="4"/>
  <c r="Q210" i="4"/>
  <c r="N210" i="4"/>
  <c r="T209" i="4"/>
  <c r="Q209" i="4"/>
  <c r="N209" i="4"/>
  <c r="T208" i="4"/>
  <c r="Q208" i="4"/>
  <c r="N208" i="4"/>
  <c r="T207" i="4"/>
  <c r="Q207" i="4"/>
  <c r="N207" i="4"/>
  <c r="T206" i="4"/>
  <c r="Q206" i="4"/>
  <c r="N206" i="4"/>
  <c r="T205" i="4"/>
  <c r="Q205" i="4"/>
  <c r="N205" i="4"/>
  <c r="T204" i="4"/>
  <c r="Q204" i="4"/>
  <c r="N204" i="4"/>
  <c r="T203" i="4"/>
  <c r="Q203" i="4"/>
  <c r="N203" i="4"/>
  <c r="T202" i="4"/>
  <c r="Q202" i="4"/>
  <c r="N202" i="4"/>
  <c r="T201" i="4"/>
  <c r="Q201" i="4"/>
  <c r="N201" i="4"/>
  <c r="T200" i="4"/>
  <c r="Q200" i="4"/>
  <c r="N200" i="4"/>
  <c r="T199" i="4"/>
  <c r="Q199" i="4"/>
  <c r="N199" i="4"/>
  <c r="T198" i="4"/>
  <c r="Q198" i="4"/>
  <c r="N198" i="4"/>
  <c r="T197" i="4"/>
  <c r="Q197" i="4"/>
  <c r="N197" i="4"/>
  <c r="T196" i="4"/>
  <c r="Q196" i="4"/>
  <c r="R196" i="4" s="1"/>
  <c r="N196" i="4"/>
  <c r="T195" i="4"/>
  <c r="Q195" i="4"/>
  <c r="N195" i="4"/>
  <c r="T194" i="4"/>
  <c r="Q194" i="4"/>
  <c r="N194" i="4"/>
  <c r="T193" i="4"/>
  <c r="Q193" i="4"/>
  <c r="N193" i="4"/>
  <c r="T192" i="4"/>
  <c r="Q192" i="4"/>
  <c r="N192" i="4"/>
  <c r="T191" i="4"/>
  <c r="Q191" i="4"/>
  <c r="N191" i="4"/>
  <c r="T190" i="4"/>
  <c r="Q190" i="4"/>
  <c r="N190" i="4"/>
  <c r="T189" i="4"/>
  <c r="Q189" i="4"/>
  <c r="N189" i="4"/>
  <c r="T188" i="4"/>
  <c r="Q188" i="4"/>
  <c r="N188" i="4"/>
  <c r="T187" i="4"/>
  <c r="Q187" i="4"/>
  <c r="N187" i="4"/>
  <c r="T186" i="4"/>
  <c r="Q186" i="4"/>
  <c r="N186" i="4"/>
  <c r="T185" i="4"/>
  <c r="Q185" i="4"/>
  <c r="N185" i="4"/>
  <c r="T184" i="4"/>
  <c r="Q184" i="4"/>
  <c r="N184" i="4"/>
  <c r="T183" i="4"/>
  <c r="Q183" i="4"/>
  <c r="N183" i="4"/>
  <c r="T182" i="4"/>
  <c r="Q182" i="4"/>
  <c r="N182" i="4"/>
  <c r="T181" i="4"/>
  <c r="Q181" i="4"/>
  <c r="N181" i="4"/>
  <c r="T180" i="4"/>
  <c r="Q180" i="4"/>
  <c r="N180" i="4"/>
  <c r="T179" i="4"/>
  <c r="Q179" i="4"/>
  <c r="N179" i="4"/>
  <c r="T178" i="4"/>
  <c r="Q178" i="4"/>
  <c r="N178" i="4"/>
  <c r="T177" i="4"/>
  <c r="Q177" i="4"/>
  <c r="N177" i="4"/>
  <c r="T176" i="4"/>
  <c r="Q176" i="4"/>
  <c r="N176" i="4"/>
  <c r="T175" i="4"/>
  <c r="Q175" i="4"/>
  <c r="N175" i="4"/>
  <c r="T174" i="4"/>
  <c r="Q174" i="4"/>
  <c r="N174" i="4"/>
  <c r="T173" i="4"/>
  <c r="Q173" i="4"/>
  <c r="R173" i="4" s="1"/>
  <c r="N173" i="4"/>
  <c r="T172" i="4"/>
  <c r="Q172" i="4"/>
  <c r="N172" i="4"/>
  <c r="T171" i="4"/>
  <c r="Q171" i="4"/>
  <c r="N171" i="4"/>
  <c r="T170" i="4"/>
  <c r="U170" i="4" s="1"/>
  <c r="Q170" i="4"/>
  <c r="R170" i="4" s="1"/>
  <c r="N170" i="4"/>
  <c r="T169" i="4"/>
  <c r="Q169" i="4"/>
  <c r="N169" i="4"/>
  <c r="T168" i="4"/>
  <c r="Q168" i="4"/>
  <c r="N168" i="4"/>
  <c r="T167" i="4"/>
  <c r="Q167" i="4"/>
  <c r="N167" i="4"/>
  <c r="T166" i="4"/>
  <c r="Q166" i="4"/>
  <c r="N166" i="4"/>
  <c r="T165" i="4"/>
  <c r="Q165" i="4"/>
  <c r="N165" i="4"/>
  <c r="T164" i="4"/>
  <c r="U164" i="4" s="1"/>
  <c r="Q164" i="4"/>
  <c r="N164" i="4"/>
  <c r="T163" i="4"/>
  <c r="Q163" i="4"/>
  <c r="N163" i="4"/>
  <c r="T162" i="4"/>
  <c r="Q162" i="4"/>
  <c r="N162" i="4"/>
  <c r="T161" i="4"/>
  <c r="Q161" i="4"/>
  <c r="N161" i="4"/>
  <c r="T160" i="4"/>
  <c r="U160" i="4" s="1"/>
  <c r="Q160" i="4"/>
  <c r="N160" i="4"/>
  <c r="T159" i="4"/>
  <c r="Q159" i="4"/>
  <c r="N159" i="4"/>
  <c r="T158" i="4"/>
  <c r="Q158" i="4"/>
  <c r="N158" i="4"/>
  <c r="T157" i="4"/>
  <c r="Q157" i="4"/>
  <c r="N157" i="4"/>
  <c r="T156" i="4"/>
  <c r="Q156" i="4"/>
  <c r="N156" i="4"/>
  <c r="T155" i="4"/>
  <c r="Q155" i="4"/>
  <c r="N155" i="4"/>
  <c r="T154" i="4"/>
  <c r="Q154" i="4"/>
  <c r="N154" i="4"/>
  <c r="T153" i="4"/>
  <c r="Q153" i="4"/>
  <c r="N153" i="4"/>
  <c r="T152" i="4"/>
  <c r="Q152" i="4"/>
  <c r="N152" i="4"/>
  <c r="T151" i="4"/>
  <c r="Q151" i="4"/>
  <c r="N151" i="4"/>
  <c r="T150" i="4"/>
  <c r="Q150" i="4"/>
  <c r="N150" i="4"/>
  <c r="T149" i="4"/>
  <c r="Q149" i="4"/>
  <c r="N149" i="4"/>
  <c r="T148" i="4"/>
  <c r="Q148" i="4"/>
  <c r="N148" i="4"/>
  <c r="T147" i="4"/>
  <c r="Q147" i="4"/>
  <c r="N147" i="4"/>
  <c r="T146" i="4"/>
  <c r="Q146" i="4"/>
  <c r="N146" i="4"/>
  <c r="T145" i="4"/>
  <c r="Q145" i="4"/>
  <c r="N145" i="4"/>
  <c r="T144" i="4"/>
  <c r="Q144" i="4"/>
  <c r="N144" i="4"/>
  <c r="T143" i="4"/>
  <c r="Q143" i="4"/>
  <c r="N143" i="4"/>
  <c r="T142" i="4"/>
  <c r="Q142" i="4"/>
  <c r="N142" i="4"/>
  <c r="T141" i="4"/>
  <c r="U141" i="4" s="1"/>
  <c r="Q141" i="4"/>
  <c r="N141" i="4"/>
  <c r="T140" i="4"/>
  <c r="Q140" i="4"/>
  <c r="N140" i="4"/>
  <c r="T139" i="4"/>
  <c r="Q139" i="4"/>
  <c r="N139" i="4"/>
  <c r="T138" i="4"/>
  <c r="Q138" i="4"/>
  <c r="R138" i="4" s="1"/>
  <c r="N138" i="4"/>
  <c r="T137" i="4"/>
  <c r="Q137" i="4"/>
  <c r="N137" i="4"/>
  <c r="T136" i="4"/>
  <c r="Q136" i="4"/>
  <c r="N136" i="4"/>
  <c r="T135" i="4"/>
  <c r="Q135" i="4"/>
  <c r="R135" i="4" s="1"/>
  <c r="N135" i="4"/>
  <c r="T134" i="4"/>
  <c r="Q134" i="4"/>
  <c r="N134" i="4"/>
  <c r="T133" i="4"/>
  <c r="Q133" i="4"/>
  <c r="N133" i="4"/>
  <c r="T132" i="4"/>
  <c r="Q132" i="4"/>
  <c r="R132" i="4" s="1"/>
  <c r="N132" i="4"/>
  <c r="T131" i="4"/>
  <c r="Q131" i="4"/>
  <c r="N131" i="4"/>
  <c r="T130" i="4"/>
  <c r="Q130" i="4"/>
  <c r="N130" i="4"/>
  <c r="T129" i="4"/>
  <c r="Q129" i="4"/>
  <c r="N129" i="4"/>
  <c r="T128" i="4"/>
  <c r="Q128" i="4"/>
  <c r="N128" i="4"/>
  <c r="T127" i="4"/>
  <c r="Q127" i="4"/>
  <c r="N127" i="4"/>
  <c r="T126" i="4"/>
  <c r="Q126" i="4"/>
  <c r="N126" i="4"/>
  <c r="T125" i="4"/>
  <c r="Q125" i="4"/>
  <c r="N125" i="4"/>
  <c r="T124" i="4"/>
  <c r="Q124" i="4"/>
  <c r="N124" i="4"/>
  <c r="T123" i="4"/>
  <c r="Q123" i="4"/>
  <c r="N123" i="4"/>
  <c r="T122" i="4"/>
  <c r="R122" i="4"/>
  <c r="Q122" i="4"/>
  <c r="N122" i="4"/>
  <c r="T121" i="4"/>
  <c r="Q121" i="4"/>
  <c r="N121" i="4"/>
  <c r="T120" i="4"/>
  <c r="Q120" i="4"/>
  <c r="R120" i="4" s="1"/>
  <c r="N120" i="4"/>
  <c r="T119" i="4"/>
  <c r="Q119" i="4"/>
  <c r="R119" i="4" s="1"/>
  <c r="N119" i="4"/>
  <c r="T118" i="4"/>
  <c r="Q118" i="4"/>
  <c r="N118" i="4"/>
  <c r="T117" i="4"/>
  <c r="Q117" i="4"/>
  <c r="N117" i="4"/>
  <c r="T116" i="4"/>
  <c r="Q116" i="4"/>
  <c r="N116" i="4"/>
  <c r="T115" i="4"/>
  <c r="Q115" i="4"/>
  <c r="R115" i="4" s="1"/>
  <c r="N115" i="4"/>
  <c r="T114" i="4"/>
  <c r="Q114" i="4"/>
  <c r="N114" i="4"/>
  <c r="T113" i="4"/>
  <c r="U113" i="4" s="1"/>
  <c r="R113" i="4"/>
  <c r="Q113" i="4"/>
  <c r="N113" i="4"/>
  <c r="T112" i="4"/>
  <c r="Q112" i="4"/>
  <c r="N112" i="4"/>
  <c r="T111" i="4"/>
  <c r="Q111" i="4"/>
  <c r="N111" i="4"/>
  <c r="T110" i="4"/>
  <c r="Q110" i="4"/>
  <c r="N110" i="4"/>
  <c r="T109" i="4"/>
  <c r="Q109" i="4"/>
  <c r="N109" i="4"/>
  <c r="T108" i="4"/>
  <c r="Q108" i="4"/>
  <c r="N108" i="4"/>
  <c r="T107" i="4"/>
  <c r="Q107" i="4"/>
  <c r="N107" i="4"/>
  <c r="T106" i="4"/>
  <c r="Q106" i="4"/>
  <c r="R106" i="4" s="1"/>
  <c r="N106" i="4"/>
  <c r="T105" i="4"/>
  <c r="Q105" i="4"/>
  <c r="N105" i="4"/>
  <c r="T104" i="4"/>
  <c r="Q104" i="4"/>
  <c r="R104" i="4" s="1"/>
  <c r="N104" i="4"/>
  <c r="T103" i="4"/>
  <c r="Q103" i="4"/>
  <c r="R103" i="4" s="1"/>
  <c r="N103" i="4"/>
  <c r="T102" i="4"/>
  <c r="Q102" i="4"/>
  <c r="N102" i="4"/>
  <c r="T101" i="4"/>
  <c r="Q101" i="4"/>
  <c r="N101" i="4"/>
  <c r="T100" i="4"/>
  <c r="Q100" i="4"/>
  <c r="N100" i="4"/>
  <c r="T99" i="4"/>
  <c r="R99" i="4"/>
  <c r="Q99" i="4"/>
  <c r="N99" i="4"/>
  <c r="T98" i="4"/>
  <c r="Q98" i="4"/>
  <c r="N98" i="4"/>
  <c r="T97" i="4"/>
  <c r="U97" i="4" s="1"/>
  <c r="Q97" i="4"/>
  <c r="N97" i="4"/>
  <c r="T96" i="4"/>
  <c r="Q96" i="4"/>
  <c r="N96" i="4"/>
  <c r="T95" i="4"/>
  <c r="Q95" i="4"/>
  <c r="R95" i="4" s="1"/>
  <c r="N95" i="4"/>
  <c r="T94" i="4"/>
  <c r="Q94" i="4"/>
  <c r="R94" i="4" s="1"/>
  <c r="N94" i="4"/>
  <c r="T93" i="4"/>
  <c r="Q93" i="4"/>
  <c r="N93" i="4"/>
  <c r="T92" i="4"/>
  <c r="Q92" i="4"/>
  <c r="N92" i="4"/>
  <c r="T91" i="4"/>
  <c r="Q91" i="4"/>
  <c r="N91" i="4"/>
  <c r="T90" i="4"/>
  <c r="Q90" i="4"/>
  <c r="R90" i="4" s="1"/>
  <c r="N90" i="4"/>
  <c r="T89" i="4"/>
  <c r="Q89" i="4"/>
  <c r="N89" i="4"/>
  <c r="T88" i="4"/>
  <c r="U88" i="4" s="1"/>
  <c r="Q88" i="4"/>
  <c r="N88" i="4"/>
  <c r="T87" i="4"/>
  <c r="Q87" i="4"/>
  <c r="R87" i="4" s="1"/>
  <c r="N87" i="4"/>
  <c r="T86" i="4"/>
  <c r="Q86" i="4"/>
  <c r="N86" i="4"/>
  <c r="T85" i="4"/>
  <c r="Q85" i="4"/>
  <c r="R85" i="4" s="1"/>
  <c r="N85" i="4"/>
  <c r="T84" i="4"/>
  <c r="Q84" i="4"/>
  <c r="R84" i="4" s="1"/>
  <c r="N84" i="4"/>
  <c r="T83" i="4"/>
  <c r="U83" i="4" s="1"/>
  <c r="R83" i="4"/>
  <c r="Q83" i="4"/>
  <c r="N83" i="4"/>
  <c r="T82" i="4"/>
  <c r="U82" i="4" s="1"/>
  <c r="Q82" i="4"/>
  <c r="N82" i="4"/>
  <c r="T81" i="4"/>
  <c r="R81" i="4"/>
  <c r="Q81" i="4"/>
  <c r="N81" i="4"/>
  <c r="T80" i="4"/>
  <c r="Q80" i="4"/>
  <c r="N80" i="4"/>
  <c r="U79" i="4"/>
  <c r="T79" i="4"/>
  <c r="Q79" i="4"/>
  <c r="N79" i="4"/>
  <c r="T78" i="4"/>
  <c r="U78" i="4" s="1"/>
  <c r="Q78" i="4"/>
  <c r="N78" i="4"/>
  <c r="T77" i="4"/>
  <c r="Q77" i="4"/>
  <c r="N77" i="4"/>
  <c r="T76" i="4"/>
  <c r="Q76" i="4"/>
  <c r="N76" i="4"/>
  <c r="T75" i="4"/>
  <c r="Q75" i="4"/>
  <c r="R75" i="4" s="1"/>
  <c r="N75" i="4"/>
  <c r="T74" i="4"/>
  <c r="Q74" i="4"/>
  <c r="R74" i="4" s="1"/>
  <c r="N74" i="4"/>
  <c r="T73" i="4"/>
  <c r="Q73" i="4"/>
  <c r="N73" i="4"/>
  <c r="T72" i="4"/>
  <c r="U72" i="4" s="1"/>
  <c r="R72" i="4"/>
  <c r="Q72" i="4"/>
  <c r="N72" i="4"/>
  <c r="T71" i="4"/>
  <c r="Q71" i="4"/>
  <c r="N71" i="4"/>
  <c r="T70" i="4"/>
  <c r="R70" i="4"/>
  <c r="Q70" i="4"/>
  <c r="N70" i="4"/>
  <c r="T69" i="4"/>
  <c r="Q69" i="4"/>
  <c r="N69" i="4"/>
  <c r="T68" i="4"/>
  <c r="Q68" i="4"/>
  <c r="R68" i="4" s="1"/>
  <c r="N68" i="4"/>
  <c r="T67" i="4"/>
  <c r="Q67" i="4"/>
  <c r="R67" i="4" s="1"/>
  <c r="N67" i="4"/>
  <c r="T66" i="4"/>
  <c r="U66" i="4" s="1"/>
  <c r="Q66" i="4"/>
  <c r="N66" i="4"/>
  <c r="T65" i="4"/>
  <c r="R65" i="4"/>
  <c r="Q65" i="4"/>
  <c r="N65" i="4"/>
  <c r="T64" i="4"/>
  <c r="R64" i="4"/>
  <c r="Q64" i="4"/>
  <c r="N64" i="4"/>
  <c r="T63" i="4"/>
  <c r="Q63" i="4"/>
  <c r="N63" i="4"/>
  <c r="T62" i="4"/>
  <c r="U62" i="4" s="1"/>
  <c r="Q62" i="4"/>
  <c r="N62" i="4"/>
  <c r="T61" i="4"/>
  <c r="U61" i="4" s="1"/>
  <c r="Q61" i="4"/>
  <c r="N61" i="4"/>
  <c r="T60" i="4"/>
  <c r="Q60" i="4"/>
  <c r="N60" i="4"/>
  <c r="T59" i="4"/>
  <c r="Q59" i="4"/>
  <c r="N59" i="4"/>
  <c r="T58" i="4"/>
  <c r="Q58" i="4"/>
  <c r="R58" i="4" s="1"/>
  <c r="N58" i="4"/>
  <c r="T57" i="4"/>
  <c r="Q57" i="4"/>
  <c r="R57" i="4" s="1"/>
  <c r="O57" i="4"/>
  <c r="N57" i="4"/>
  <c r="T56" i="4"/>
  <c r="Q56" i="4"/>
  <c r="R56" i="4" s="1"/>
  <c r="N56" i="4"/>
  <c r="U55" i="4"/>
  <c r="T55" i="4"/>
  <c r="R55" i="4"/>
  <c r="Q55" i="4"/>
  <c r="N55" i="4"/>
  <c r="T54" i="4"/>
  <c r="Q54" i="4"/>
  <c r="N54" i="4"/>
  <c r="T53" i="4"/>
  <c r="Q53" i="4"/>
  <c r="N53" i="4"/>
  <c r="T52" i="4"/>
  <c r="Q52" i="4"/>
  <c r="N52" i="4"/>
  <c r="T51" i="4"/>
  <c r="Q51" i="4"/>
  <c r="R51" i="4" s="1"/>
  <c r="N51" i="4"/>
  <c r="T50" i="4"/>
  <c r="Q50" i="4"/>
  <c r="R50" i="4" s="1"/>
  <c r="N50" i="4"/>
  <c r="O50" i="4" s="1"/>
  <c r="T49" i="4"/>
  <c r="U49" i="4" s="1"/>
  <c r="Q49" i="4"/>
  <c r="N49" i="4"/>
  <c r="T48" i="4"/>
  <c r="Q48" i="4"/>
  <c r="N48" i="4"/>
  <c r="T47" i="4"/>
  <c r="U47" i="4" s="1"/>
  <c r="Q47" i="4"/>
  <c r="R47" i="4" s="1"/>
  <c r="N47" i="4"/>
  <c r="T46" i="4"/>
  <c r="U46" i="4" s="1"/>
  <c r="Q46" i="4"/>
  <c r="R46" i="4" s="1"/>
  <c r="N46" i="4"/>
  <c r="T45" i="4"/>
  <c r="Q45" i="4"/>
  <c r="R45" i="4" s="1"/>
  <c r="N45" i="4"/>
  <c r="O45" i="4" s="1"/>
  <c r="T44" i="4"/>
  <c r="Q44" i="4"/>
  <c r="R44" i="4" s="1"/>
  <c r="N44" i="4"/>
  <c r="T43" i="4"/>
  <c r="U43" i="4" s="1"/>
  <c r="Q43" i="4"/>
  <c r="N43" i="4"/>
  <c r="T42" i="4"/>
  <c r="Q42" i="4"/>
  <c r="N42" i="4"/>
  <c r="T41" i="4"/>
  <c r="Q41" i="4"/>
  <c r="N41" i="4"/>
  <c r="U40" i="4"/>
  <c r="T40" i="4"/>
  <c r="Q40" i="4"/>
  <c r="R40" i="4" s="1"/>
  <c r="N40" i="4"/>
  <c r="T39" i="4"/>
  <c r="R39" i="4"/>
  <c r="Q39" i="4"/>
  <c r="N39" i="4"/>
  <c r="T38" i="4"/>
  <c r="U38" i="4" s="1"/>
  <c r="Q38" i="4"/>
  <c r="R38" i="4" s="1"/>
  <c r="N38" i="4"/>
  <c r="T37" i="4"/>
  <c r="U37" i="4" s="1"/>
  <c r="Q37" i="4"/>
  <c r="R37" i="4" s="1"/>
  <c r="N37" i="4"/>
  <c r="T36" i="4"/>
  <c r="Q36" i="4"/>
  <c r="R36" i="4" s="1"/>
  <c r="N36" i="4"/>
  <c r="U35" i="4"/>
  <c r="T35" i="4"/>
  <c r="Q35" i="4"/>
  <c r="R35" i="4" s="1"/>
  <c r="N35" i="4"/>
  <c r="T34" i="4"/>
  <c r="U34" i="4" s="1"/>
  <c r="R34" i="4"/>
  <c r="Q34" i="4"/>
  <c r="N34" i="4"/>
  <c r="T33" i="4"/>
  <c r="U33" i="4" s="1"/>
  <c r="Q33" i="4"/>
  <c r="R33" i="4" s="1"/>
  <c r="N33" i="4"/>
  <c r="T32" i="4"/>
  <c r="U32" i="4" s="1"/>
  <c r="Q32" i="4"/>
  <c r="N32" i="4"/>
  <c r="T31" i="4"/>
  <c r="Q31" i="4"/>
  <c r="R31" i="4" s="1"/>
  <c r="N31" i="4"/>
  <c r="T30" i="4"/>
  <c r="Q30" i="4"/>
  <c r="R30" i="4" s="1"/>
  <c r="N30" i="4"/>
  <c r="T29" i="4"/>
  <c r="U29" i="4" s="1"/>
  <c r="Q29" i="4"/>
  <c r="R29" i="4" s="1"/>
  <c r="N29" i="4"/>
  <c r="T28" i="4"/>
  <c r="U28" i="4" s="1"/>
  <c r="Q28" i="4"/>
  <c r="R28" i="4" s="1"/>
  <c r="N28" i="4"/>
  <c r="T27" i="4"/>
  <c r="R27" i="4"/>
  <c r="Q27" i="4"/>
  <c r="N27" i="4"/>
  <c r="T26" i="4"/>
  <c r="U26" i="4" s="1"/>
  <c r="Q26" i="4"/>
  <c r="R26" i="4" s="1"/>
  <c r="N26" i="4"/>
  <c r="T25" i="4"/>
  <c r="Q25" i="4"/>
  <c r="R25" i="4" s="1"/>
  <c r="N25" i="4"/>
  <c r="T24" i="4"/>
  <c r="Q24" i="4"/>
  <c r="R24" i="4" s="1"/>
  <c r="N24" i="4"/>
  <c r="T23" i="4"/>
  <c r="Q23" i="4"/>
  <c r="R23" i="4" s="1"/>
  <c r="N23" i="4"/>
  <c r="T22" i="4"/>
  <c r="U22" i="4" s="1"/>
  <c r="Q22" i="4"/>
  <c r="R22" i="4" s="1"/>
  <c r="N22" i="4"/>
  <c r="T21" i="4"/>
  <c r="Q21" i="4"/>
  <c r="R21" i="4" s="1"/>
  <c r="N21" i="4"/>
  <c r="T20" i="4"/>
  <c r="U20" i="4" s="1"/>
  <c r="Q20" i="4"/>
  <c r="N20" i="4"/>
  <c r="T19" i="4"/>
  <c r="Q19" i="4"/>
  <c r="R19" i="4" s="1"/>
  <c r="N19" i="4"/>
  <c r="T18" i="4"/>
  <c r="Q18" i="4"/>
  <c r="R18" i="4" s="1"/>
  <c r="N18" i="4"/>
  <c r="T17" i="4"/>
  <c r="Q17" i="4"/>
  <c r="R17" i="4" s="1"/>
  <c r="N17" i="4"/>
  <c r="D17" i="4"/>
  <c r="T16" i="4"/>
  <c r="Q16" i="4"/>
  <c r="R16" i="4" s="1"/>
  <c r="N16" i="4"/>
  <c r="D16" i="4"/>
  <c r="T15" i="4"/>
  <c r="Q15" i="4"/>
  <c r="R15" i="4" s="1"/>
  <c r="N15" i="4"/>
  <c r="T14" i="4"/>
  <c r="U14" i="4" s="1"/>
  <c r="Q14" i="4"/>
  <c r="N14" i="4"/>
  <c r="T13" i="4"/>
  <c r="Q13" i="4"/>
  <c r="R13" i="4" s="1"/>
  <c r="N13" i="4"/>
  <c r="O13" i="4" s="1"/>
  <c r="T12" i="4"/>
  <c r="Q12" i="4"/>
  <c r="R12" i="4" s="1"/>
  <c r="N12" i="4"/>
  <c r="U11" i="4"/>
  <c r="T11" i="4"/>
  <c r="Q11" i="4"/>
  <c r="R11" i="4" s="1"/>
  <c r="N11" i="4"/>
  <c r="T10" i="4"/>
  <c r="U10" i="4" s="1"/>
  <c r="Q10" i="4"/>
  <c r="R10" i="4" s="1"/>
  <c r="N10" i="4"/>
  <c r="G10" i="4"/>
  <c r="F10" i="4"/>
  <c r="U129" i="4" s="1"/>
  <c r="T9" i="4"/>
  <c r="Q9" i="4"/>
  <c r="R9" i="4" s="1"/>
  <c r="N9" i="4"/>
  <c r="G9" i="4"/>
  <c r="F9" i="4"/>
  <c r="R149" i="4" s="1"/>
  <c r="T8" i="4"/>
  <c r="Q8" i="4"/>
  <c r="R8" i="4" s="1"/>
  <c r="N8" i="4"/>
  <c r="G8" i="4"/>
  <c r="D15" i="4" s="1"/>
  <c r="F8" i="4"/>
  <c r="T7" i="4"/>
  <c r="Q7" i="4"/>
  <c r="R7" i="4" s="1"/>
  <c r="N7" i="4"/>
  <c r="T6" i="4"/>
  <c r="R6" i="4"/>
  <c r="Q6" i="4"/>
  <c r="N6" i="4"/>
  <c r="T5" i="4"/>
  <c r="U5" i="4" s="1"/>
  <c r="Q5" i="4"/>
  <c r="R5" i="4" s="1"/>
  <c r="N5" i="4"/>
  <c r="O5" i="4" s="1"/>
  <c r="M5" i="4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M261" i="4" s="1"/>
  <c r="M262" i="4" s="1"/>
  <c r="M263" i="4" s="1"/>
  <c r="M264" i="4" s="1"/>
  <c r="M265" i="4" s="1"/>
  <c r="M266" i="4" s="1"/>
  <c r="M267" i="4" s="1"/>
  <c r="M268" i="4" s="1"/>
  <c r="M269" i="4" s="1"/>
  <c r="M270" i="4" s="1"/>
  <c r="M271" i="4" s="1"/>
  <c r="M272" i="4" s="1"/>
  <c r="M273" i="4" s="1"/>
  <c r="M274" i="4" s="1"/>
  <c r="M275" i="4" s="1"/>
  <c r="M276" i="4" s="1"/>
  <c r="M277" i="4" s="1"/>
  <c r="M278" i="4" s="1"/>
  <c r="M279" i="4" s="1"/>
  <c r="M280" i="4" s="1"/>
  <c r="M281" i="4" s="1"/>
  <c r="M282" i="4" s="1"/>
  <c r="M283" i="4" s="1"/>
  <c r="M284" i="4" s="1"/>
  <c r="M285" i="4" s="1"/>
  <c r="M286" i="4" s="1"/>
  <c r="M287" i="4" s="1"/>
  <c r="M288" i="4" s="1"/>
  <c r="M289" i="4" s="1"/>
  <c r="M290" i="4" s="1"/>
  <c r="M291" i="4" s="1"/>
  <c r="M292" i="4" s="1"/>
  <c r="M293" i="4" s="1"/>
  <c r="M294" i="4" s="1"/>
  <c r="M295" i="4" s="1"/>
  <c r="M296" i="4" s="1"/>
  <c r="M297" i="4" s="1"/>
  <c r="M298" i="4" s="1"/>
  <c r="M299" i="4" s="1"/>
  <c r="M300" i="4" s="1"/>
  <c r="M301" i="4" s="1"/>
  <c r="M302" i="4" s="1"/>
  <c r="M303" i="4" s="1"/>
  <c r="M304" i="4" s="1"/>
  <c r="V94" i="3"/>
  <c r="V93" i="3"/>
  <c r="V92" i="3"/>
  <c r="V91" i="3"/>
  <c r="V90" i="3"/>
  <c r="T90" i="3"/>
  <c r="V89" i="3"/>
  <c r="V88" i="3"/>
  <c r="V87" i="3"/>
  <c r="V86" i="3"/>
  <c r="T86" i="3"/>
  <c r="V85" i="3"/>
  <c r="V84" i="3"/>
  <c r="V83" i="3"/>
  <c r="V82" i="3"/>
  <c r="V81" i="3"/>
  <c r="V80" i="3"/>
  <c r="V79" i="3"/>
  <c r="O79" i="3"/>
  <c r="V78" i="3"/>
  <c r="V77" i="3"/>
  <c r="T77" i="3"/>
  <c r="V76" i="3"/>
  <c r="V75" i="3"/>
  <c r="V74" i="3"/>
  <c r="V73" i="3"/>
  <c r="O73" i="3"/>
  <c r="V72" i="3"/>
  <c r="V71" i="3"/>
  <c r="T71" i="3"/>
  <c r="V70" i="3"/>
  <c r="V69" i="3"/>
  <c r="O69" i="3"/>
  <c r="V68" i="3"/>
  <c r="V67" i="3"/>
  <c r="T67" i="3"/>
  <c r="V66" i="3"/>
  <c r="O66" i="3"/>
  <c r="V65" i="3"/>
  <c r="V64" i="3"/>
  <c r="V63" i="3"/>
  <c r="V62" i="3"/>
  <c r="T62" i="3"/>
  <c r="V61" i="3"/>
  <c r="O61" i="3"/>
  <c r="V60" i="3"/>
  <c r="T60" i="3"/>
  <c r="V59" i="3"/>
  <c r="T59" i="3"/>
  <c r="V58" i="3"/>
  <c r="O58" i="3"/>
  <c r="V57" i="3"/>
  <c r="V56" i="3"/>
  <c r="V55" i="3"/>
  <c r="T55" i="3"/>
  <c r="O55" i="3"/>
  <c r="V54" i="3"/>
  <c r="V53" i="3"/>
  <c r="T53" i="3"/>
  <c r="V52" i="3"/>
  <c r="T52" i="3"/>
  <c r="O52" i="3"/>
  <c r="V51" i="3"/>
  <c r="O51" i="3"/>
  <c r="V50" i="3"/>
  <c r="T50" i="3"/>
  <c r="V49" i="3"/>
  <c r="O49" i="3"/>
  <c r="V48" i="3"/>
  <c r="T48" i="3"/>
  <c r="V47" i="3"/>
  <c r="T47" i="3"/>
  <c r="V46" i="3"/>
  <c r="T46" i="3"/>
  <c r="O46" i="3"/>
  <c r="V45" i="3"/>
  <c r="V44" i="3"/>
  <c r="T44" i="3"/>
  <c r="V43" i="3"/>
  <c r="T43" i="3"/>
  <c r="V42" i="3"/>
  <c r="V41" i="3"/>
  <c r="V40" i="3"/>
  <c r="V39" i="3"/>
  <c r="T39" i="3"/>
  <c r="V38" i="3"/>
  <c r="O38" i="3"/>
  <c r="V37" i="3"/>
  <c r="T37" i="3"/>
  <c r="V36" i="3"/>
  <c r="O36" i="3"/>
  <c r="V35" i="3"/>
  <c r="T35" i="3"/>
  <c r="O35" i="3"/>
  <c r="V34" i="3"/>
  <c r="V33" i="3"/>
  <c r="V32" i="3"/>
  <c r="T32" i="3"/>
  <c r="V31" i="3"/>
  <c r="O31" i="3"/>
  <c r="V30" i="3"/>
  <c r="V29" i="3"/>
  <c r="T29" i="3"/>
  <c r="V28" i="3"/>
  <c r="T28" i="3"/>
  <c r="O28" i="3"/>
  <c r="V27" i="3"/>
  <c r="V26" i="3"/>
  <c r="V25" i="3"/>
  <c r="T25" i="3"/>
  <c r="V24" i="3"/>
  <c r="T24" i="3"/>
  <c r="O24" i="3"/>
  <c r="V23" i="3"/>
  <c r="O23" i="3"/>
  <c r="V22" i="3"/>
  <c r="T22" i="3"/>
  <c r="D22" i="3"/>
  <c r="T9" i="3" s="1"/>
  <c r="V21" i="3"/>
  <c r="O21" i="3"/>
  <c r="D21" i="3"/>
  <c r="T87" i="3" s="1"/>
  <c r="V20" i="3"/>
  <c r="T20" i="3"/>
  <c r="O20" i="3"/>
  <c r="V19" i="3"/>
  <c r="T19" i="3"/>
  <c r="O19" i="3"/>
  <c r="V18" i="3"/>
  <c r="T18" i="3"/>
  <c r="O18" i="3"/>
  <c r="V17" i="3"/>
  <c r="O17" i="3"/>
  <c r="D17" i="3"/>
  <c r="V16" i="3"/>
  <c r="O16" i="3"/>
  <c r="D16" i="3"/>
  <c r="V15" i="3"/>
  <c r="T15" i="3"/>
  <c r="D15" i="3"/>
  <c r="O48" i="3" s="1"/>
  <c r="V14" i="3"/>
  <c r="T14" i="3"/>
  <c r="O14" i="3"/>
  <c r="D14" i="3"/>
  <c r="V13" i="3"/>
  <c r="T13" i="3"/>
  <c r="O13" i="3"/>
  <c r="V12" i="3"/>
  <c r="T12" i="3"/>
  <c r="V11" i="3"/>
  <c r="T11" i="3"/>
  <c r="O11" i="3"/>
  <c r="V10" i="3"/>
  <c r="T10" i="3"/>
  <c r="O10" i="3"/>
  <c r="V9" i="3"/>
  <c r="O9" i="3"/>
  <c r="V8" i="3"/>
  <c r="T8" i="3"/>
  <c r="V7" i="3"/>
  <c r="T7" i="3"/>
  <c r="O7" i="3"/>
  <c r="V6" i="3"/>
  <c r="O6" i="3"/>
  <c r="V5" i="3"/>
  <c r="T5" i="3"/>
  <c r="O5" i="3"/>
  <c r="M5" i="3"/>
  <c r="N5" i="3" s="1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B27" i="2"/>
  <c r="N26" i="2"/>
  <c r="N25" i="2"/>
  <c r="N24" i="2"/>
  <c r="N23" i="2"/>
  <c r="N22" i="2"/>
  <c r="N21" i="2"/>
  <c r="N20" i="2"/>
  <c r="E20" i="2"/>
  <c r="C20" i="2"/>
  <c r="N19" i="2"/>
  <c r="C19" i="2"/>
  <c r="N18" i="2"/>
  <c r="E18" i="2"/>
  <c r="C18" i="2"/>
  <c r="N17" i="2"/>
  <c r="E17" i="2"/>
  <c r="C17" i="2"/>
  <c r="N16" i="2"/>
  <c r="E16" i="2"/>
  <c r="N15" i="2"/>
  <c r="E15" i="2"/>
  <c r="N14" i="2"/>
  <c r="D14" i="2"/>
  <c r="D15" i="2" s="1"/>
  <c r="C14" i="2"/>
  <c r="N13" i="2"/>
  <c r="N12" i="2"/>
  <c r="N11" i="2"/>
  <c r="N10" i="2"/>
  <c r="C10" i="2"/>
  <c r="E21" i="2" s="1"/>
  <c r="N9" i="2"/>
  <c r="N8" i="2"/>
  <c r="N7" i="2"/>
  <c r="N6" i="2"/>
  <c r="S5" i="2"/>
  <c r="R5" i="2"/>
  <c r="Q5" i="2"/>
  <c r="P5" i="2"/>
  <c r="O5" i="2"/>
  <c r="N5" i="2"/>
  <c r="M5" i="2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S47" i="6" l="1"/>
  <c r="S63" i="6"/>
  <c r="S72" i="6"/>
  <c r="S191" i="6"/>
  <c r="S211" i="6"/>
  <c r="T5" i="2"/>
  <c r="S14" i="6"/>
  <c r="S146" i="6"/>
  <c r="S155" i="6"/>
  <c r="S197" i="6"/>
  <c r="S268" i="6"/>
  <c r="S281" i="6"/>
  <c r="S283" i="6"/>
  <c r="S285" i="6"/>
  <c r="S287" i="6"/>
  <c r="S291" i="6"/>
  <c r="S310" i="6"/>
  <c r="S365" i="6"/>
  <c r="S396" i="6"/>
  <c r="S398" i="6"/>
  <c r="S418" i="6"/>
  <c r="S476" i="6"/>
  <c r="S498" i="6"/>
  <c r="T48" i="7"/>
  <c r="T144" i="7"/>
  <c r="T160" i="7"/>
  <c r="T207" i="7"/>
  <c r="T223" i="7"/>
  <c r="T239" i="7"/>
  <c r="T301" i="7"/>
  <c r="S6" i="6"/>
  <c r="S16" i="6"/>
  <c r="S31" i="6"/>
  <c r="S34" i="6"/>
  <c r="S116" i="6"/>
  <c r="S123" i="6"/>
  <c r="S179" i="6"/>
  <c r="S181" i="6"/>
  <c r="S224" i="6"/>
  <c r="S226" i="6"/>
  <c r="S257" i="6"/>
  <c r="S261" i="6"/>
  <c r="S297" i="6"/>
  <c r="S299" i="6"/>
  <c r="S301" i="6"/>
  <c r="S420" i="6"/>
  <c r="S429" i="6"/>
  <c r="S431" i="6"/>
  <c r="S480" i="6"/>
  <c r="S502" i="6"/>
  <c r="T58" i="7"/>
  <c r="T122" i="7"/>
  <c r="T138" i="7"/>
  <c r="T154" i="7"/>
  <c r="T170" i="7"/>
  <c r="T195" i="7"/>
  <c r="T198" i="7"/>
  <c r="T217" i="7"/>
  <c r="T233" i="7"/>
  <c r="T23" i="7"/>
  <c r="T71" i="7"/>
  <c r="T87" i="7"/>
  <c r="T103" i="7"/>
  <c r="T119" i="7"/>
  <c r="T135" i="7"/>
  <c r="T151" i="7"/>
  <c r="T167" i="7"/>
  <c r="T304" i="7"/>
  <c r="S23" i="6"/>
  <c r="S52" i="6"/>
  <c r="S98" i="6"/>
  <c r="S107" i="6"/>
  <c r="S159" i="6"/>
  <c r="S274" i="6"/>
  <c r="S276" i="6"/>
  <c r="S303" i="6"/>
  <c r="S305" i="6"/>
  <c r="S318" i="6"/>
  <c r="S329" i="6"/>
  <c r="S338" i="6"/>
  <c r="S349" i="6"/>
  <c r="S353" i="6"/>
  <c r="S378" i="6"/>
  <c r="S404" i="6"/>
  <c r="S422" i="6"/>
  <c r="S444" i="6"/>
  <c r="S462" i="6"/>
  <c r="T52" i="7"/>
  <c r="T68" i="7"/>
  <c r="T84" i="7"/>
  <c r="T100" i="7"/>
  <c r="T116" i="7"/>
  <c r="T132" i="7"/>
  <c r="T148" i="7"/>
  <c r="T164" i="7"/>
  <c r="T183" i="7"/>
  <c r="T186" i="7"/>
  <c r="T192" i="7"/>
  <c r="T211" i="7"/>
  <c r="T227" i="7"/>
  <c r="T243" i="7"/>
  <c r="T294" i="7"/>
  <c r="S30" i="6"/>
  <c r="S120" i="6"/>
  <c r="S143" i="6"/>
  <c r="S163" i="6"/>
  <c r="S165" i="6"/>
  <c r="S210" i="6"/>
  <c r="S212" i="6"/>
  <c r="S239" i="6"/>
  <c r="S241" i="6"/>
  <c r="S245" i="6"/>
  <c r="S362" i="6"/>
  <c r="S435" i="6"/>
  <c r="S448" i="6"/>
  <c r="S466" i="6"/>
  <c r="S484" i="6"/>
  <c r="S493" i="6"/>
  <c r="S8" i="6"/>
  <c r="S39" i="6"/>
  <c r="S84" i="6"/>
  <c r="S91" i="6"/>
  <c r="S214" i="6"/>
  <c r="S267" i="6"/>
  <c r="S309" i="6"/>
  <c r="S324" i="6"/>
  <c r="S342" i="6"/>
  <c r="S355" i="6"/>
  <c r="S382" i="6"/>
  <c r="S384" i="6"/>
  <c r="S413" i="6"/>
  <c r="S417" i="6"/>
  <c r="S450" i="6"/>
  <c r="S468" i="6"/>
  <c r="S495" i="6"/>
  <c r="T19" i="7"/>
  <c r="T27" i="7"/>
  <c r="T59" i="7"/>
  <c r="T289" i="7"/>
  <c r="T88" i="7"/>
  <c r="T104" i="7"/>
  <c r="T120" i="7"/>
  <c r="T136" i="7"/>
  <c r="T152" i="7"/>
  <c r="T168" i="7"/>
  <c r="T215" i="7"/>
  <c r="T231" i="7"/>
  <c r="S5" i="6"/>
  <c r="S66" i="6"/>
  <c r="S111" i="6"/>
  <c r="S129" i="6"/>
  <c r="S131" i="6"/>
  <c r="S133" i="6"/>
  <c r="S176" i="6"/>
  <c r="S216" i="6"/>
  <c r="S292" i="6"/>
  <c r="S313" i="6"/>
  <c r="S366" i="6"/>
  <c r="S375" i="6"/>
  <c r="S388" i="6"/>
  <c r="S428" i="6"/>
  <c r="S452" i="6"/>
  <c r="S479" i="6"/>
  <c r="S75" i="6"/>
  <c r="S271" i="6"/>
  <c r="S294" i="6"/>
  <c r="S298" i="6"/>
  <c r="S300" i="6"/>
  <c r="S326" i="6"/>
  <c r="S368" i="6"/>
  <c r="S430" i="6"/>
  <c r="T98" i="7"/>
  <c r="T114" i="7"/>
  <c r="T130" i="7"/>
  <c r="T146" i="7"/>
  <c r="T162" i="7"/>
  <c r="T178" i="7"/>
  <c r="T209" i="7"/>
  <c r="T225" i="7"/>
  <c r="T241" i="7"/>
  <c r="S17" i="6"/>
  <c r="S25" i="6"/>
  <c r="S29" i="6"/>
  <c r="S317" i="6"/>
  <c r="T13" i="7"/>
  <c r="F23" i="6"/>
  <c r="G23" i="6" s="1"/>
  <c r="S32" i="6"/>
  <c r="S38" i="6"/>
  <c r="S171" i="6"/>
  <c r="S218" i="6"/>
  <c r="S352" i="6"/>
  <c r="S405" i="6"/>
  <c r="S465" i="6"/>
  <c r="T7" i="7"/>
  <c r="T11" i="7"/>
  <c r="T60" i="7"/>
  <c r="T124" i="7"/>
  <c r="T140" i="7"/>
  <c r="T156" i="7"/>
  <c r="T172" i="7"/>
  <c r="T219" i="7"/>
  <c r="T235" i="7"/>
  <c r="S12" i="6"/>
  <c r="S184" i="6"/>
  <c r="S213" i="6"/>
  <c r="S240" i="6"/>
  <c r="S242" i="6"/>
  <c r="S244" i="6"/>
  <c r="S279" i="6"/>
  <c r="S306" i="6"/>
  <c r="S308" i="6"/>
  <c r="S354" i="6"/>
  <c r="S372" i="6"/>
  <c r="S381" i="6"/>
  <c r="S436" i="6"/>
  <c r="S449" i="6"/>
  <c r="T166" i="7"/>
  <c r="T191" i="7"/>
  <c r="T213" i="7"/>
  <c r="T229" i="7"/>
  <c r="S9" i="6"/>
  <c r="S85" i="6"/>
  <c r="S103" i="6"/>
  <c r="S166" i="6"/>
  <c r="S193" i="6"/>
  <c r="S246" i="6"/>
  <c r="S323" i="6"/>
  <c r="S343" i="6"/>
  <c r="S356" i="6"/>
  <c r="S383" i="6"/>
  <c r="S414" i="6"/>
  <c r="S467" i="6"/>
  <c r="S494" i="6"/>
  <c r="S496" i="6"/>
  <c r="T30" i="7"/>
  <c r="T293" i="7"/>
  <c r="Q6" i="2"/>
  <c r="R6" i="2"/>
  <c r="P6" i="2"/>
  <c r="D16" i="2"/>
  <c r="D17" i="2" s="1"/>
  <c r="D18" i="2" s="1"/>
  <c r="D19" i="2" s="1"/>
  <c r="D20" i="2" s="1"/>
  <c r="D21" i="2" s="1"/>
  <c r="C15" i="2"/>
  <c r="F15" i="2" s="1"/>
  <c r="D27" i="2" s="1"/>
  <c r="P5" i="3"/>
  <c r="R5" i="3" s="1"/>
  <c r="E14" i="2"/>
  <c r="C16" i="2"/>
  <c r="E19" i="2"/>
  <c r="C21" i="2"/>
  <c r="F21" i="2" s="1"/>
  <c r="G21" i="2" s="1"/>
  <c r="H21" i="2" s="1"/>
  <c r="I21" i="2" s="1"/>
  <c r="O297" i="4"/>
  <c r="O281" i="4"/>
  <c r="O265" i="4"/>
  <c r="O249" i="4"/>
  <c r="O255" i="4"/>
  <c r="O221" i="4"/>
  <c r="O303" i="4"/>
  <c r="O217" i="4"/>
  <c r="O284" i="4"/>
  <c r="O271" i="4"/>
  <c r="O238" i="4"/>
  <c r="O202" i="4"/>
  <c r="O197" i="4"/>
  <c r="O264" i="4"/>
  <c r="O223" i="4"/>
  <c r="O215" i="4"/>
  <c r="O187" i="4"/>
  <c r="O171" i="4"/>
  <c r="O139" i="4"/>
  <c r="O123" i="4"/>
  <c r="O107" i="4"/>
  <c r="O91" i="4"/>
  <c r="O75" i="4"/>
  <c r="O59" i="4"/>
  <c r="O266" i="4"/>
  <c r="O225" i="4"/>
  <c r="O290" i="4"/>
  <c r="O250" i="4"/>
  <c r="O233" i="4"/>
  <c r="O237" i="4"/>
  <c r="O229" i="4"/>
  <c r="O298" i="4"/>
  <c r="O296" i="4"/>
  <c r="O183" i="4"/>
  <c r="O167" i="4"/>
  <c r="O201" i="4"/>
  <c r="O258" i="4"/>
  <c r="O282" i="4"/>
  <c r="O280" i="4"/>
  <c r="O184" i="4"/>
  <c r="O168" i="4"/>
  <c r="O154" i="4"/>
  <c r="O148" i="4"/>
  <c r="O132" i="4"/>
  <c r="O116" i="4"/>
  <c r="O100" i="4"/>
  <c r="O287" i="4"/>
  <c r="O247" i="4"/>
  <c r="O173" i="4"/>
  <c r="O144" i="4"/>
  <c r="O124" i="4"/>
  <c r="O115" i="4"/>
  <c r="O108" i="4"/>
  <c r="O99" i="4"/>
  <c r="O83" i="4"/>
  <c r="O48" i="4"/>
  <c r="O25" i="4"/>
  <c r="O283" i="4"/>
  <c r="O206" i="4"/>
  <c r="O189" i="4"/>
  <c r="O239" i="4"/>
  <c r="O199" i="4"/>
  <c r="O141" i="4"/>
  <c r="O62" i="4"/>
  <c r="O60" i="4"/>
  <c r="O32" i="4"/>
  <c r="O14" i="4"/>
  <c r="O172" i="4"/>
  <c r="O126" i="4"/>
  <c r="O110" i="4"/>
  <c r="O92" i="4"/>
  <c r="O90" i="4"/>
  <c r="O73" i="4"/>
  <c r="O51" i="4"/>
  <c r="O46" i="4"/>
  <c r="O38" i="4"/>
  <c r="O29" i="4"/>
  <c r="O11" i="4"/>
  <c r="O228" i="4"/>
  <c r="O188" i="4"/>
  <c r="O121" i="4"/>
  <c r="O119" i="4"/>
  <c r="O105" i="4"/>
  <c r="O103" i="4"/>
  <c r="O178" i="4"/>
  <c r="O151" i="4"/>
  <c r="O274" i="4"/>
  <c r="O156" i="4"/>
  <c r="O94" i="4"/>
  <c r="O71" i="4"/>
  <c r="O49" i="4"/>
  <c r="O41" i="4"/>
  <c r="O231" i="4"/>
  <c r="O194" i="4"/>
  <c r="O181" i="4"/>
  <c r="O159" i="4"/>
  <c r="O96" i="4"/>
  <c r="O67" i="4"/>
  <c r="O44" i="4"/>
  <c r="O33" i="4"/>
  <c r="O293" i="4"/>
  <c r="O245" i="4"/>
  <c r="O212" i="4"/>
  <c r="O135" i="4"/>
  <c r="O165" i="4"/>
  <c r="O162" i="4"/>
  <c r="O137" i="4"/>
  <c r="O125" i="4"/>
  <c r="O109" i="4"/>
  <c r="O65" i="4"/>
  <c r="O61" i="4"/>
  <c r="O27" i="4"/>
  <c r="O78" i="4"/>
  <c r="O304" i="4"/>
  <c r="O222" i="4"/>
  <c r="O122" i="4"/>
  <c r="O106" i="4"/>
  <c r="O87" i="4"/>
  <c r="O31" i="4"/>
  <c r="O21" i="4"/>
  <c r="O9" i="4"/>
  <c r="O89" i="4"/>
  <c r="O218" i="4"/>
  <c r="O17" i="4"/>
  <c r="O147" i="4"/>
  <c r="O142" i="4"/>
  <c r="O20" i="4"/>
  <c r="O28" i="4"/>
  <c r="O35" i="4"/>
  <c r="O150" i="4"/>
  <c r="O16" i="4"/>
  <c r="O37" i="4"/>
  <c r="O8" i="3"/>
  <c r="O47" i="3"/>
  <c r="O12" i="3"/>
  <c r="O89" i="3"/>
  <c r="O54" i="3"/>
  <c r="O91" i="3"/>
  <c r="O39" i="3"/>
  <c r="O32" i="3"/>
  <c r="O90" i="3"/>
  <c r="O65" i="3"/>
  <c r="O59" i="3"/>
  <c r="O42" i="3"/>
  <c r="O226" i="4"/>
  <c r="O62" i="3"/>
  <c r="O75" i="3"/>
  <c r="O86" i="3"/>
  <c r="O79" i="4"/>
  <c r="O74" i="4"/>
  <c r="O45" i="3"/>
  <c r="O26" i="4"/>
  <c r="O190" i="4"/>
  <c r="O27" i="3"/>
  <c r="O81" i="3"/>
  <c r="O10" i="4"/>
  <c r="O42" i="4"/>
  <c r="O43" i="3"/>
  <c r="O71" i="3"/>
  <c r="O155" i="4"/>
  <c r="O207" i="4"/>
  <c r="T63" i="3"/>
  <c r="T92" i="3"/>
  <c r="O22" i="4"/>
  <c r="O200" i="4"/>
  <c r="O131" i="4"/>
  <c r="O256" i="4"/>
  <c r="T33" i="3"/>
  <c r="T40" i="3"/>
  <c r="T56" i="3"/>
  <c r="O8" i="4"/>
  <c r="O23" i="4"/>
  <c r="O58" i="4"/>
  <c r="O127" i="4"/>
  <c r="U251" i="4"/>
  <c r="T75" i="3"/>
  <c r="T79" i="3"/>
  <c r="T93" i="3"/>
  <c r="O6" i="4"/>
  <c r="O39" i="4"/>
  <c r="T21" i="3"/>
  <c r="T36" i="3"/>
  <c r="T49" i="3"/>
  <c r="U8" i="4"/>
  <c r="U50" i="4"/>
  <c r="O55" i="4"/>
  <c r="O80" i="4"/>
  <c r="O84" i="4"/>
  <c r="O93" i="4"/>
  <c r="O128" i="4"/>
  <c r="U186" i="4"/>
  <c r="O63" i="4"/>
  <c r="U247" i="4"/>
  <c r="T91" i="3"/>
  <c r="O36" i="4"/>
  <c r="O72" i="4"/>
  <c r="O76" i="4"/>
  <c r="U147" i="4"/>
  <c r="O83" i="3"/>
  <c r="O67" i="3"/>
  <c r="O80" i="3"/>
  <c r="O64" i="3"/>
  <c r="O93" i="3"/>
  <c r="O77" i="3"/>
  <c r="O87" i="3"/>
  <c r="O84" i="3"/>
  <c r="O68" i="3"/>
  <c r="O88" i="3"/>
  <c r="O72" i="3"/>
  <c r="O82" i="3"/>
  <c r="T17" i="3"/>
  <c r="O26" i="3"/>
  <c r="O30" i="3"/>
  <c r="O34" i="3"/>
  <c r="O41" i="3"/>
  <c r="T42" i="3"/>
  <c r="O57" i="3"/>
  <c r="T58" i="3"/>
  <c r="T64" i="3"/>
  <c r="O70" i="3"/>
  <c r="O76" i="3"/>
  <c r="O78" i="3"/>
  <c r="U6" i="4"/>
  <c r="U17" i="4"/>
  <c r="O24" i="4"/>
  <c r="U39" i="4"/>
  <c r="O47" i="4"/>
  <c r="U63" i="4"/>
  <c r="O68" i="4"/>
  <c r="O81" i="4"/>
  <c r="O111" i="4"/>
  <c r="O138" i="4"/>
  <c r="U167" i="4"/>
  <c r="U233" i="4"/>
  <c r="U243" i="4"/>
  <c r="O44" i="3"/>
  <c r="T45" i="3"/>
  <c r="O60" i="3"/>
  <c r="T61" i="3"/>
  <c r="O63" i="3"/>
  <c r="O74" i="3"/>
  <c r="O94" i="3"/>
  <c r="O15" i="4"/>
  <c r="O18" i="4"/>
  <c r="O30" i="4"/>
  <c r="O52" i="4"/>
  <c r="O64" i="4"/>
  <c r="O158" i="4"/>
  <c r="O7" i="4"/>
  <c r="O77" i="4"/>
  <c r="T6" i="3"/>
  <c r="O15" i="3"/>
  <c r="O50" i="3"/>
  <c r="T51" i="3"/>
  <c r="T74" i="3"/>
  <c r="T82" i="3"/>
  <c r="O92" i="3"/>
  <c r="O34" i="4"/>
  <c r="U68" i="4"/>
  <c r="U85" i="4"/>
  <c r="U94" i="4"/>
  <c r="O112" i="4"/>
  <c r="O300" i="4"/>
  <c r="T16" i="3"/>
  <c r="O22" i="3"/>
  <c r="T23" i="3"/>
  <c r="T27" i="3"/>
  <c r="T31" i="3"/>
  <c r="O37" i="3"/>
  <c r="T38" i="3"/>
  <c r="O53" i="3"/>
  <c r="T54" i="3"/>
  <c r="T66" i="3"/>
  <c r="T72" i="3"/>
  <c r="T76" i="3"/>
  <c r="T80" i="3"/>
  <c r="U9" i="4"/>
  <c r="O12" i="4"/>
  <c r="U18" i="4"/>
  <c r="U24" i="4"/>
  <c r="U64" i="4"/>
  <c r="U77" i="4"/>
  <c r="U134" i="4"/>
  <c r="U183" i="4"/>
  <c r="T84" i="3"/>
  <c r="T68" i="3"/>
  <c r="T81" i="3"/>
  <c r="T65" i="3"/>
  <c r="T94" i="3"/>
  <c r="T78" i="3"/>
  <c r="T88" i="3"/>
  <c r="T85" i="3"/>
  <c r="T69" i="3"/>
  <c r="T89" i="3"/>
  <c r="T73" i="3"/>
  <c r="T83" i="3"/>
  <c r="O25" i="3"/>
  <c r="T26" i="3"/>
  <c r="O29" i="3"/>
  <c r="T30" i="3"/>
  <c r="O33" i="3"/>
  <c r="T34" i="3"/>
  <c r="O40" i="3"/>
  <c r="T41" i="3"/>
  <c r="O56" i="3"/>
  <c r="T57" i="3"/>
  <c r="T70" i="3"/>
  <c r="O85" i="3"/>
  <c r="P5" i="4"/>
  <c r="S5" i="4" s="1"/>
  <c r="V5" i="4" s="1"/>
  <c r="W5" i="4" s="1"/>
  <c r="U268" i="4"/>
  <c r="U287" i="4"/>
  <c r="U256" i="4"/>
  <c r="U252" i="4"/>
  <c r="U215" i="4"/>
  <c r="U266" i="4"/>
  <c r="U205" i="4"/>
  <c r="U250" i="4"/>
  <c r="U227" i="4"/>
  <c r="U203" i="4"/>
  <c r="U193" i="4"/>
  <c r="U177" i="4"/>
  <c r="U161" i="4"/>
  <c r="U281" i="4"/>
  <c r="U279" i="4"/>
  <c r="U231" i="4"/>
  <c r="U188" i="4"/>
  <c r="U172" i="4"/>
  <c r="U137" i="4"/>
  <c r="U121" i="4"/>
  <c r="U105" i="4"/>
  <c r="U73" i="4"/>
  <c r="U57" i="4"/>
  <c r="U285" i="4"/>
  <c r="U222" i="4"/>
  <c r="U218" i="4"/>
  <c r="U304" i="4"/>
  <c r="U300" i="4"/>
  <c r="U272" i="4"/>
  <c r="U263" i="4"/>
  <c r="U241" i="4"/>
  <c r="U245" i="4"/>
  <c r="U199" i="4"/>
  <c r="U295" i="4"/>
  <c r="U271" i="4"/>
  <c r="U301" i="4"/>
  <c r="U284" i="4"/>
  <c r="U262" i="4"/>
  <c r="U219" i="4"/>
  <c r="U187" i="4"/>
  <c r="U171" i="4"/>
  <c r="U290" i="4"/>
  <c r="U288" i="4"/>
  <c r="U255" i="4"/>
  <c r="U242" i="4"/>
  <c r="U225" i="4"/>
  <c r="U213" i="4"/>
  <c r="U209" i="4"/>
  <c r="U207" i="4"/>
  <c r="U158" i="4"/>
  <c r="U155" i="4"/>
  <c r="U146" i="4"/>
  <c r="U130" i="4"/>
  <c r="U114" i="4"/>
  <c r="U303" i="4"/>
  <c r="U232" i="4"/>
  <c r="U182" i="4"/>
  <c r="U157" i="4"/>
  <c r="U58" i="4"/>
  <c r="U23" i="4"/>
  <c r="U19" i="4"/>
  <c r="U15" i="4"/>
  <c r="U7" i="4"/>
  <c r="U202" i="4"/>
  <c r="U195" i="4"/>
  <c r="U166" i="4"/>
  <c r="U151" i="4"/>
  <c r="U92" i="4"/>
  <c r="U71" i="4"/>
  <c r="U278" i="4"/>
  <c r="U135" i="4"/>
  <c r="U133" i="4"/>
  <c r="U69" i="4"/>
  <c r="U56" i="4"/>
  <c r="U44" i="4"/>
  <c r="U36" i="4"/>
  <c r="U30" i="4"/>
  <c r="U16" i="4"/>
  <c r="U12" i="4"/>
  <c r="U181" i="4"/>
  <c r="U123" i="4"/>
  <c r="U107" i="4"/>
  <c r="U65" i="4"/>
  <c r="U27" i="4"/>
  <c r="U293" i="4"/>
  <c r="U238" i="4"/>
  <c r="U165" i="4"/>
  <c r="U140" i="4"/>
  <c r="U98" i="4"/>
  <c r="U297" i="4"/>
  <c r="U234" i="4"/>
  <c r="U223" i="4"/>
  <c r="U174" i="4"/>
  <c r="U145" i="4"/>
  <c r="U76" i="4"/>
  <c r="U74" i="4"/>
  <c r="U59" i="4"/>
  <c r="U42" i="4"/>
  <c r="U142" i="4"/>
  <c r="U91" i="4"/>
  <c r="U45" i="4"/>
  <c r="U31" i="4"/>
  <c r="U13" i="4"/>
  <c r="U190" i="4"/>
  <c r="U87" i="4"/>
  <c r="U122" i="4"/>
  <c r="U120" i="4"/>
  <c r="U106" i="4"/>
  <c r="U104" i="4"/>
  <c r="U48" i="4"/>
  <c r="U25" i="4"/>
  <c r="U200" i="4"/>
  <c r="U173" i="4"/>
  <c r="U139" i="4"/>
  <c r="U189" i="4"/>
  <c r="U176" i="4"/>
  <c r="U152" i="4"/>
  <c r="U124" i="4"/>
  <c r="U108" i="4"/>
  <c r="U192" i="4"/>
  <c r="U149" i="4"/>
  <c r="U136" i="4"/>
  <c r="U126" i="4"/>
  <c r="U119" i="4"/>
  <c r="U117" i="4"/>
  <c r="U110" i="4"/>
  <c r="U103" i="4"/>
  <c r="U101" i="4"/>
  <c r="U90" i="4"/>
  <c r="U75" i="4"/>
  <c r="U60" i="4"/>
  <c r="U53" i="4"/>
  <c r="O19" i="4"/>
  <c r="U21" i="4"/>
  <c r="U81" i="4"/>
  <c r="U144" i="4"/>
  <c r="O70" i="4"/>
  <c r="O95" i="4"/>
  <c r="R97" i="4"/>
  <c r="R108" i="4"/>
  <c r="R124" i="4"/>
  <c r="R129" i="4"/>
  <c r="O134" i="4"/>
  <c r="R152" i="4"/>
  <c r="O161" i="4"/>
  <c r="O196" i="4"/>
  <c r="O203" i="4"/>
  <c r="U206" i="4"/>
  <c r="R236" i="4"/>
  <c r="R251" i="4"/>
  <c r="O268" i="4"/>
  <c r="R287" i="4"/>
  <c r="R291" i="4"/>
  <c r="R48" i="4"/>
  <c r="U95" i="4"/>
  <c r="U99" i="4"/>
  <c r="O104" i="4"/>
  <c r="U115" i="4"/>
  <c r="O120" i="4"/>
  <c r="R134" i="4"/>
  <c r="R144" i="4"/>
  <c r="R147" i="4"/>
  <c r="R167" i="4"/>
  <c r="R183" i="4"/>
  <c r="R186" i="4"/>
  <c r="O193" i="4"/>
  <c r="R211" i="4"/>
  <c r="U214" i="4"/>
  <c r="R233" i="4"/>
  <c r="O244" i="4"/>
  <c r="O252" i="4"/>
  <c r="O288" i="4"/>
  <c r="O292" i="4"/>
  <c r="O54" i="4"/>
  <c r="U70" i="4"/>
  <c r="R91" i="4"/>
  <c r="R93" i="4"/>
  <c r="O102" i="4"/>
  <c r="R111" i="4"/>
  <c r="O118" i="4"/>
  <c r="R127" i="4"/>
  <c r="O145" i="4"/>
  <c r="O177" i="4"/>
  <c r="R218" i="4"/>
  <c r="R226" i="4"/>
  <c r="O241" i="4"/>
  <c r="O248" i="4"/>
  <c r="U296" i="4"/>
  <c r="R42" i="4"/>
  <c r="R52" i="4"/>
  <c r="R59" i="4"/>
  <c r="R89" i="4"/>
  <c r="U111" i="4"/>
  <c r="U127" i="4"/>
  <c r="O130" i="4"/>
  <c r="R142" i="4"/>
  <c r="R145" i="4"/>
  <c r="R150" i="4"/>
  <c r="O153" i="4"/>
  <c r="O174" i="4"/>
  <c r="U180" i="4"/>
  <c r="R197" i="4"/>
  <c r="O208" i="4"/>
  <c r="U226" i="4"/>
  <c r="U261" i="4"/>
  <c r="R265" i="4"/>
  <c r="U269" i="4"/>
  <c r="R76" i="4"/>
  <c r="O82" i="4"/>
  <c r="U89" i="4"/>
  <c r="U93" i="4"/>
  <c r="O98" i="4"/>
  <c r="R102" i="4"/>
  <c r="R118" i="4"/>
  <c r="U132" i="4"/>
  <c r="R137" i="4"/>
  <c r="U150" i="4"/>
  <c r="U197" i="4"/>
  <c r="R204" i="4"/>
  <c r="U265" i="4"/>
  <c r="O277" i="4"/>
  <c r="U52" i="4"/>
  <c r="R54" i="4"/>
  <c r="O56" i="4"/>
  <c r="R61" i="4"/>
  <c r="R63" i="4"/>
  <c r="O69" i="4"/>
  <c r="R78" i="4"/>
  <c r="R82" i="4"/>
  <c r="R100" i="4"/>
  <c r="U102" i="4"/>
  <c r="R109" i="4"/>
  <c r="O114" i="4"/>
  <c r="R116" i="4"/>
  <c r="U118" i="4"/>
  <c r="R125" i="4"/>
  <c r="O140" i="4"/>
  <c r="R153" i="4"/>
  <c r="R162" i="4"/>
  <c r="R165" i="4"/>
  <c r="R168" i="4"/>
  <c r="R184" i="4"/>
  <c r="U204" i="4"/>
  <c r="R234" i="4"/>
  <c r="O86" i="4"/>
  <c r="O133" i="4"/>
  <c r="R140" i="4"/>
  <c r="R148" i="4"/>
  <c r="U153" i="4"/>
  <c r="R159" i="4"/>
  <c r="U168" i="4"/>
  <c r="R181" i="4"/>
  <c r="O191" i="4"/>
  <c r="R194" i="4"/>
  <c r="R201" i="4"/>
  <c r="R231" i="4"/>
  <c r="U253" i="4"/>
  <c r="U277" i="4"/>
  <c r="U54" i="4"/>
  <c r="R69" i="4"/>
  <c r="R80" i="4"/>
  <c r="O88" i="4"/>
  <c r="U100" i="4"/>
  <c r="U109" i="4"/>
  <c r="U116" i="4"/>
  <c r="U125" i="4"/>
  <c r="R156" i="4"/>
  <c r="U159" i="4"/>
  <c r="U201" i="4"/>
  <c r="O205" i="4"/>
  <c r="O213" i="4"/>
  <c r="O242" i="4"/>
  <c r="R249" i="4"/>
  <c r="O263" i="4"/>
  <c r="O302" i="4"/>
  <c r="P154" i="5"/>
  <c r="P158" i="5"/>
  <c r="P136" i="5"/>
  <c r="P116" i="5"/>
  <c r="H39" i="5"/>
  <c r="P129" i="5"/>
  <c r="P126" i="5"/>
  <c r="P120" i="5"/>
  <c r="P104" i="5"/>
  <c r="P140" i="5"/>
  <c r="P137" i="5"/>
  <c r="P38" i="5"/>
  <c r="P22" i="5"/>
  <c r="D29" i="5"/>
  <c r="C30" i="5" s="1"/>
  <c r="E30" i="5" s="1"/>
  <c r="G30" i="5" s="1"/>
  <c r="D25" i="5"/>
  <c r="C26" i="5" s="1"/>
  <c r="E26" i="5" s="1"/>
  <c r="G26" i="5" s="1"/>
  <c r="P125" i="5"/>
  <c r="D26" i="5"/>
  <c r="C27" i="5" s="1"/>
  <c r="P128" i="5"/>
  <c r="P73" i="5"/>
  <c r="P28" i="5"/>
  <c r="D35" i="5"/>
  <c r="F35" i="5" s="1"/>
  <c r="P58" i="5"/>
  <c r="D28" i="5"/>
  <c r="C29" i="5" s="1"/>
  <c r="E29" i="5" s="1"/>
  <c r="G29" i="5" s="1"/>
  <c r="D24" i="5"/>
  <c r="C25" i="5" s="1"/>
  <c r="P18" i="5"/>
  <c r="D22" i="5"/>
  <c r="C23" i="5" s="1"/>
  <c r="E23" i="5" s="1"/>
  <c r="P52" i="5"/>
  <c r="P42" i="5"/>
  <c r="P25" i="5"/>
  <c r="D21" i="5"/>
  <c r="C22" i="5" s="1"/>
  <c r="P50" i="5"/>
  <c r="D27" i="5"/>
  <c r="C28" i="5" s="1"/>
  <c r="D23" i="5"/>
  <c r="C24" i="5" s="1"/>
  <c r="E24" i="5" s="1"/>
  <c r="P40" i="5"/>
  <c r="R96" i="4"/>
  <c r="R133" i="4"/>
  <c r="O143" i="4"/>
  <c r="O146" i="4"/>
  <c r="U148" i="4"/>
  <c r="U156" i="4"/>
  <c r="O160" i="4"/>
  <c r="O163" i="4"/>
  <c r="O175" i="4"/>
  <c r="R178" i="4"/>
  <c r="R191" i="4"/>
  <c r="R198" i="4"/>
  <c r="O220" i="4"/>
  <c r="U249" i="4"/>
  <c r="O254" i="4"/>
  <c r="U258" i="4"/>
  <c r="O267" i="4"/>
  <c r="R274" i="4"/>
  <c r="R302" i="4"/>
  <c r="R20" i="4"/>
  <c r="R41" i="4"/>
  <c r="R49" i="4"/>
  <c r="O53" i="4"/>
  <c r="U67" i="4"/>
  <c r="R71" i="4"/>
  <c r="U80" i="4"/>
  <c r="U84" i="4"/>
  <c r="R86" i="4"/>
  <c r="R88" i="4"/>
  <c r="R143" i="4"/>
  <c r="R151" i="4"/>
  <c r="O157" i="4"/>
  <c r="R160" i="4"/>
  <c r="R163" i="4"/>
  <c r="O166" i="4"/>
  <c r="O169" i="4"/>
  <c r="O185" i="4"/>
  <c r="R188" i="4"/>
  <c r="U191" i="4"/>
  <c r="O195" i="4"/>
  <c r="U198" i="4"/>
  <c r="R216" i="4"/>
  <c r="R228" i="4"/>
  <c r="O235" i="4"/>
  <c r="R254" i="4"/>
  <c r="O259" i="4"/>
  <c r="U274" i="4"/>
  <c r="U282" i="4"/>
  <c r="O43" i="4"/>
  <c r="U86" i="4"/>
  <c r="R92" i="4"/>
  <c r="U96" i="4"/>
  <c r="O101" i="4"/>
  <c r="R105" i="4"/>
  <c r="R112" i="4"/>
  <c r="O117" i="4"/>
  <c r="R121" i="4"/>
  <c r="R128" i="4"/>
  <c r="U143" i="4"/>
  <c r="O149" i="4"/>
  <c r="R157" i="4"/>
  <c r="U163" i="4"/>
  <c r="R169" i="4"/>
  <c r="R172" i="4"/>
  <c r="R175" i="4"/>
  <c r="O182" i="4"/>
  <c r="R185" i="4"/>
  <c r="O192" i="4"/>
  <c r="R202" i="4"/>
  <c r="U216" i="4"/>
  <c r="U220" i="4"/>
  <c r="U228" i="4"/>
  <c r="U246" i="4"/>
  <c r="R259" i="4"/>
  <c r="R263" i="4"/>
  <c r="R271" i="4"/>
  <c r="R294" i="4"/>
  <c r="U41" i="4"/>
  <c r="R53" i="4"/>
  <c r="R73" i="4"/>
  <c r="O97" i="4"/>
  <c r="R110" i="4"/>
  <c r="R126" i="4"/>
  <c r="U128" i="4"/>
  <c r="O136" i="4"/>
  <c r="R154" i="4"/>
  <c r="U169" i="4"/>
  <c r="U175" i="4"/>
  <c r="O179" i="4"/>
  <c r="U185" i="4"/>
  <c r="R192" i="4"/>
  <c r="O210" i="4"/>
  <c r="R224" i="4"/>
  <c r="R232" i="4"/>
  <c r="O243" i="4"/>
  <c r="R267" i="4"/>
  <c r="U294" i="4"/>
  <c r="U298" i="4"/>
  <c r="O40" i="4"/>
  <c r="R60" i="4"/>
  <c r="O66" i="4"/>
  <c r="R101" i="4"/>
  <c r="U112" i="4"/>
  <c r="R117" i="4"/>
  <c r="O129" i="4"/>
  <c r="R131" i="4"/>
  <c r="R136" i="4"/>
  <c r="U138" i="4"/>
  <c r="O176" i="4"/>
  <c r="R179" i="4"/>
  <c r="R210" i="4"/>
  <c r="O260" i="4"/>
  <c r="O279" i="4"/>
  <c r="O295" i="4"/>
  <c r="R304" i="4"/>
  <c r="R288" i="4"/>
  <c r="R272" i="4"/>
  <c r="R256" i="4"/>
  <c r="R297" i="4"/>
  <c r="R264" i="4"/>
  <c r="R303" i="4"/>
  <c r="R190" i="4"/>
  <c r="R174" i="4"/>
  <c r="R275" i="4"/>
  <c r="R248" i="4"/>
  <c r="R240" i="4"/>
  <c r="R200" i="4"/>
  <c r="R195" i="4"/>
  <c r="R182" i="4"/>
  <c r="R166" i="4"/>
  <c r="R290" i="4"/>
  <c r="R255" i="4"/>
  <c r="R213" i="4"/>
  <c r="R158" i="4"/>
  <c r="R146" i="4"/>
  <c r="R130" i="4"/>
  <c r="R114" i="4"/>
  <c r="R98" i="4"/>
  <c r="R257" i="4"/>
  <c r="R246" i="4"/>
  <c r="R235" i="4"/>
  <c r="R227" i="4"/>
  <c r="R203" i="4"/>
  <c r="R296" i="4"/>
  <c r="R281" i="4"/>
  <c r="R270" i="4"/>
  <c r="R229" i="4"/>
  <c r="R180" i="4"/>
  <c r="R164" i="4"/>
  <c r="R220" i="4"/>
  <c r="R289" i="4"/>
  <c r="R212" i="4"/>
  <c r="R208" i="4"/>
  <c r="R258" i="4"/>
  <c r="R245" i="4"/>
  <c r="R199" i="4"/>
  <c r="R295" i="4"/>
  <c r="R280" i="4"/>
  <c r="R299" i="4"/>
  <c r="R286" i="4"/>
  <c r="R273" i="4"/>
  <c r="R219" i="4"/>
  <c r="R215" i="4"/>
  <c r="R139" i="4"/>
  <c r="R123" i="4"/>
  <c r="R107" i="4"/>
  <c r="R14" i="4"/>
  <c r="R32" i="4"/>
  <c r="R43" i="4"/>
  <c r="U51" i="4"/>
  <c r="R62" i="4"/>
  <c r="R66" i="4"/>
  <c r="R77" i="4"/>
  <c r="R79" i="4"/>
  <c r="O85" i="4"/>
  <c r="O113" i="4"/>
  <c r="U131" i="4"/>
  <c r="R141" i="4"/>
  <c r="O152" i="4"/>
  <c r="U154" i="4"/>
  <c r="R176" i="4"/>
  <c r="U179" i="4"/>
  <c r="R189" i="4"/>
  <c r="R206" i="4"/>
  <c r="R217" i="4"/>
  <c r="U221" i="4"/>
  <c r="U229" i="4"/>
  <c r="R279" i="4"/>
  <c r="R283" i="4"/>
  <c r="O204" i="4"/>
  <c r="O232" i="4"/>
  <c r="O234" i="4"/>
  <c r="R238" i="4"/>
  <c r="U240" i="4"/>
  <c r="U275" i="4"/>
  <c r="O170" i="4"/>
  <c r="O186" i="4"/>
  <c r="U217" i="4"/>
  <c r="U273" i="4"/>
  <c r="O276" i="4"/>
  <c r="R278" i="4"/>
  <c r="R282" i="4"/>
  <c r="U286" i="4"/>
  <c r="O291" i="4"/>
  <c r="U8" i="5"/>
  <c r="P8" i="5" s="1"/>
  <c r="T8" i="5"/>
  <c r="V8" i="5"/>
  <c r="U10" i="5"/>
  <c r="P10" i="5" s="1"/>
  <c r="T25" i="5"/>
  <c r="V25" i="5"/>
  <c r="U25" i="5"/>
  <c r="U184" i="4"/>
  <c r="O216" i="4"/>
  <c r="O224" i="4"/>
  <c r="U230" i="4"/>
  <c r="R243" i="4"/>
  <c r="R247" i="4"/>
  <c r="O289" i="4"/>
  <c r="V128" i="5"/>
  <c r="U128" i="5"/>
  <c r="T128" i="5"/>
  <c r="O164" i="4"/>
  <c r="O180" i="4"/>
  <c r="O198" i="4"/>
  <c r="U267" i="4"/>
  <c r="O272" i="4"/>
  <c r="O285" i="4"/>
  <c r="R300" i="4"/>
  <c r="X197" i="5"/>
  <c r="X181" i="5"/>
  <c r="X165" i="5"/>
  <c r="X149" i="5"/>
  <c r="X194" i="5"/>
  <c r="Q183" i="5"/>
  <c r="X178" i="5"/>
  <c r="X162" i="5"/>
  <c r="X146" i="5"/>
  <c r="X130" i="5"/>
  <c r="X191" i="5"/>
  <c r="X175" i="5"/>
  <c r="X159" i="5"/>
  <c r="X204" i="5"/>
  <c r="X188" i="5"/>
  <c r="X172" i="5"/>
  <c r="X156" i="5"/>
  <c r="X140" i="5"/>
  <c r="X201" i="5"/>
  <c r="X185" i="5"/>
  <c r="X169" i="5"/>
  <c r="X153" i="5"/>
  <c r="X137" i="5"/>
  <c r="X198" i="5"/>
  <c r="X182" i="5"/>
  <c r="X166" i="5"/>
  <c r="X150" i="5"/>
  <c r="X195" i="5"/>
  <c r="X192" i="5"/>
  <c r="X176" i="5"/>
  <c r="X160" i="5"/>
  <c r="X144" i="5"/>
  <c r="Q194" i="5"/>
  <c r="X189" i="5"/>
  <c r="X173" i="5"/>
  <c r="X157" i="5"/>
  <c r="X141" i="5"/>
  <c r="X202" i="5"/>
  <c r="X186" i="5"/>
  <c r="X170" i="5"/>
  <c r="X154" i="5"/>
  <c r="X138" i="5"/>
  <c r="X199" i="5"/>
  <c r="X183" i="5"/>
  <c r="X167" i="5"/>
  <c r="X151" i="5"/>
  <c r="X135" i="5"/>
  <c r="X196" i="5"/>
  <c r="X180" i="5"/>
  <c r="X164" i="5"/>
  <c r="X148" i="5"/>
  <c r="X190" i="5"/>
  <c r="X174" i="5"/>
  <c r="X158" i="5"/>
  <c r="X142" i="5"/>
  <c r="X203" i="5"/>
  <c r="X187" i="5"/>
  <c r="X171" i="5"/>
  <c r="X155" i="5"/>
  <c r="X139" i="5"/>
  <c r="X200" i="5"/>
  <c r="X184" i="5"/>
  <c r="X168" i="5"/>
  <c r="X127" i="5"/>
  <c r="X124" i="5"/>
  <c r="X108" i="5"/>
  <c r="X92" i="5"/>
  <c r="X76" i="5"/>
  <c r="X60" i="5"/>
  <c r="Q51" i="5"/>
  <c r="X121" i="5"/>
  <c r="X105" i="5"/>
  <c r="X89" i="5"/>
  <c r="X73" i="5"/>
  <c r="X57" i="5"/>
  <c r="X45" i="5"/>
  <c r="X30" i="5"/>
  <c r="X29" i="5"/>
  <c r="X28" i="5"/>
  <c r="X27" i="5"/>
  <c r="X26" i="5"/>
  <c r="X25" i="5"/>
  <c r="X24" i="5"/>
  <c r="X23" i="5"/>
  <c r="X22" i="5"/>
  <c r="X21" i="5"/>
  <c r="X20" i="5"/>
  <c r="Q11" i="5"/>
  <c r="X118" i="5"/>
  <c r="X102" i="5"/>
  <c r="X86" i="5"/>
  <c r="X70" i="5"/>
  <c r="X54" i="5"/>
  <c r="Q40" i="5"/>
  <c r="X17" i="5"/>
  <c r="X13" i="5"/>
  <c r="X9" i="5"/>
  <c r="Q120" i="5"/>
  <c r="X115" i="5"/>
  <c r="X99" i="5"/>
  <c r="X83" i="5"/>
  <c r="X67" i="5"/>
  <c r="X179" i="5"/>
  <c r="X133" i="5"/>
  <c r="Q117" i="5"/>
  <c r="X112" i="5"/>
  <c r="X96" i="5"/>
  <c r="X80" i="5"/>
  <c r="X64" i="5"/>
  <c r="X147" i="5"/>
  <c r="X128" i="5"/>
  <c r="X125" i="5"/>
  <c r="X109" i="5"/>
  <c r="Q98" i="5"/>
  <c r="X93" i="5"/>
  <c r="X77" i="5"/>
  <c r="X61" i="5"/>
  <c r="X49" i="5"/>
  <c r="X42" i="5"/>
  <c r="X38" i="5"/>
  <c r="X34" i="5"/>
  <c r="X163" i="5"/>
  <c r="X143" i="5"/>
  <c r="X122" i="5"/>
  <c r="X106" i="5"/>
  <c r="X90" i="5"/>
  <c r="X74" i="5"/>
  <c r="X58" i="5"/>
  <c r="X131" i="5"/>
  <c r="X119" i="5"/>
  <c r="Q108" i="5"/>
  <c r="X103" i="5"/>
  <c r="X87" i="5"/>
  <c r="X116" i="5"/>
  <c r="X100" i="5"/>
  <c r="X84" i="5"/>
  <c r="X68" i="5"/>
  <c r="X113" i="5"/>
  <c r="X193" i="5"/>
  <c r="X110" i="5"/>
  <c r="X94" i="5"/>
  <c r="X177" i="5"/>
  <c r="X134" i="5"/>
  <c r="X129" i="5"/>
  <c r="X126" i="5"/>
  <c r="X123" i="5"/>
  <c r="X107" i="5"/>
  <c r="X91" i="5"/>
  <c r="X75" i="5"/>
  <c r="X59" i="5"/>
  <c r="X52" i="5"/>
  <c r="X47" i="5"/>
  <c r="X40" i="5"/>
  <c r="X36" i="5"/>
  <c r="X32" i="5"/>
  <c r="X111" i="5"/>
  <c r="X95" i="5"/>
  <c r="X79" i="5"/>
  <c r="X63" i="5"/>
  <c r="X101" i="5"/>
  <c r="X97" i="5"/>
  <c r="X39" i="5"/>
  <c r="X152" i="5"/>
  <c r="X117" i="5"/>
  <c r="X71" i="5"/>
  <c r="X65" i="5"/>
  <c r="X41" i="5"/>
  <c r="F29" i="5"/>
  <c r="F25" i="5"/>
  <c r="Q22" i="5"/>
  <c r="X145" i="5"/>
  <c r="X104" i="5"/>
  <c r="X62" i="5"/>
  <c r="X35" i="5"/>
  <c r="X37" i="5"/>
  <c r="F21" i="5"/>
  <c r="X120" i="5"/>
  <c r="X82" i="5"/>
  <c r="Q71" i="5"/>
  <c r="X50" i="5"/>
  <c r="X88" i="5"/>
  <c r="X85" i="5"/>
  <c r="X56" i="5"/>
  <c r="X44" i="5"/>
  <c r="X10" i="5"/>
  <c r="X132" i="5"/>
  <c r="X81" i="5"/>
  <c r="D39" i="5"/>
  <c r="F27" i="5"/>
  <c r="F23" i="5"/>
  <c r="Q50" i="5"/>
  <c r="X161" i="5"/>
  <c r="X114" i="5"/>
  <c r="X72" i="5"/>
  <c r="X98" i="5"/>
  <c r="Q122" i="5"/>
  <c r="X55" i="5"/>
  <c r="X43" i="5"/>
  <c r="X19" i="5"/>
  <c r="Q18" i="5"/>
  <c r="X14" i="5"/>
  <c r="X6" i="5"/>
  <c r="F24" i="5"/>
  <c r="X15" i="5"/>
  <c r="X69" i="5"/>
  <c r="Q39" i="5"/>
  <c r="F22" i="5"/>
  <c r="X33" i="5"/>
  <c r="X78" i="5"/>
  <c r="Q42" i="5"/>
  <c r="X48" i="5"/>
  <c r="X51" i="5"/>
  <c r="Q58" i="5"/>
  <c r="X136" i="5"/>
  <c r="X18" i="5"/>
  <c r="X16" i="5"/>
  <c r="Q10" i="5"/>
  <c r="X66" i="5"/>
  <c r="O294" i="4"/>
  <c r="U17" i="5"/>
  <c r="P17" i="5" s="1"/>
  <c r="W17" i="5"/>
  <c r="T17" i="5"/>
  <c r="U162" i="4"/>
  <c r="U178" i="4"/>
  <c r="U194" i="4"/>
  <c r="U208" i="4"/>
  <c r="U210" i="4"/>
  <c r="R239" i="4"/>
  <c r="R252" i="4"/>
  <c r="R261" i="4"/>
  <c r="U289" i="4"/>
  <c r="U9" i="5"/>
  <c r="P9" i="5" s="1"/>
  <c r="T9" i="5"/>
  <c r="V37" i="5"/>
  <c r="U37" i="5"/>
  <c r="P37" i="5" s="1"/>
  <c r="U196" i="4"/>
  <c r="U224" i="4"/>
  <c r="O227" i="4"/>
  <c r="U239" i="4"/>
  <c r="U254" i="4"/>
  <c r="O257" i="4"/>
  <c r="R298" i="4"/>
  <c r="V14" i="5"/>
  <c r="U14" i="5"/>
  <c r="P14" i="5" s="1"/>
  <c r="V17" i="5"/>
  <c r="O211" i="4"/>
  <c r="R237" i="4"/>
  <c r="R268" i="4"/>
  <c r="R292" i="4"/>
  <c r="U302" i="4"/>
  <c r="V9" i="5"/>
  <c r="U200" i="5"/>
  <c r="P200" i="5" s="1"/>
  <c r="U184" i="5"/>
  <c r="P184" i="5" s="1"/>
  <c r="U168" i="5"/>
  <c r="P168" i="5" s="1"/>
  <c r="U194" i="5"/>
  <c r="P194" i="5" s="1"/>
  <c r="U178" i="5"/>
  <c r="P178" i="5" s="1"/>
  <c r="U162" i="5"/>
  <c r="P162" i="5" s="1"/>
  <c r="U146" i="5"/>
  <c r="P146" i="5" s="1"/>
  <c r="U191" i="5"/>
  <c r="P191" i="5" s="1"/>
  <c r="U175" i="5"/>
  <c r="P175" i="5" s="1"/>
  <c r="U198" i="5"/>
  <c r="P198" i="5" s="1"/>
  <c r="U182" i="5"/>
  <c r="P182" i="5" s="1"/>
  <c r="U166" i="5"/>
  <c r="P166" i="5" s="1"/>
  <c r="U150" i="5"/>
  <c r="P150" i="5" s="1"/>
  <c r="U195" i="5"/>
  <c r="P195" i="5" s="1"/>
  <c r="U192" i="5"/>
  <c r="P192" i="5" s="1"/>
  <c r="U173" i="5"/>
  <c r="P173" i="5" s="1"/>
  <c r="U157" i="5"/>
  <c r="P157" i="5" s="1"/>
  <c r="U199" i="5"/>
  <c r="P199" i="5" s="1"/>
  <c r="U183" i="5"/>
  <c r="P183" i="5" s="1"/>
  <c r="U167" i="5"/>
  <c r="P167" i="5" s="1"/>
  <c r="U151" i="5"/>
  <c r="P151" i="5" s="1"/>
  <c r="U141" i="5"/>
  <c r="P141" i="5" s="1"/>
  <c r="U132" i="5"/>
  <c r="P132" i="5" s="1"/>
  <c r="U69" i="5"/>
  <c r="P69" i="5" s="1"/>
  <c r="U53" i="5"/>
  <c r="P53" i="5" s="1"/>
  <c r="U202" i="5"/>
  <c r="P202" i="5" s="1"/>
  <c r="U130" i="5"/>
  <c r="P130" i="5" s="1"/>
  <c r="U135" i="5"/>
  <c r="P135" i="5" s="1"/>
  <c r="U154" i="5"/>
  <c r="U133" i="5"/>
  <c r="P133" i="5" s="1"/>
  <c r="U188" i="5"/>
  <c r="P188" i="5" s="1"/>
  <c r="U143" i="5"/>
  <c r="P143" i="5" s="1"/>
  <c r="U137" i="5"/>
  <c r="U122" i="5"/>
  <c r="P122" i="5" s="1"/>
  <c r="U131" i="5"/>
  <c r="P131" i="5" s="1"/>
  <c r="U119" i="5"/>
  <c r="P119" i="5" s="1"/>
  <c r="U103" i="5"/>
  <c r="P103" i="5" s="1"/>
  <c r="Q103" i="5" s="1"/>
  <c r="U116" i="5"/>
  <c r="U100" i="5"/>
  <c r="P100" i="5" s="1"/>
  <c r="U84" i="5"/>
  <c r="P84" i="5" s="1"/>
  <c r="U68" i="5"/>
  <c r="P68" i="5" s="1"/>
  <c r="U170" i="5"/>
  <c r="P170" i="5" s="1"/>
  <c r="U156" i="5"/>
  <c r="P156" i="5" s="1"/>
  <c r="U152" i="5"/>
  <c r="P152" i="5" s="1"/>
  <c r="U120" i="5"/>
  <c r="U104" i="5"/>
  <c r="U88" i="5"/>
  <c r="P88" i="5" s="1"/>
  <c r="U72" i="5"/>
  <c r="P72" i="5" s="1"/>
  <c r="U126" i="5"/>
  <c r="U51" i="5"/>
  <c r="P51" i="5" s="1"/>
  <c r="U47" i="5"/>
  <c r="P47" i="5" s="1"/>
  <c r="U97" i="5"/>
  <c r="P97" i="5" s="1"/>
  <c r="Q97" i="5" s="1"/>
  <c r="U74" i="5"/>
  <c r="P74" i="5" s="1"/>
  <c r="U55" i="5"/>
  <c r="P55" i="5" s="1"/>
  <c r="Q55" i="5" s="1"/>
  <c r="U43" i="5"/>
  <c r="P43" i="5" s="1"/>
  <c r="U19" i="5"/>
  <c r="P19" i="5" s="1"/>
  <c r="U145" i="5"/>
  <c r="P145" i="5" s="1"/>
  <c r="U134" i="5"/>
  <c r="P134" i="5" s="1"/>
  <c r="U71" i="5"/>
  <c r="P71" i="5" s="1"/>
  <c r="U65" i="5"/>
  <c r="P65" i="5" s="1"/>
  <c r="U186" i="5"/>
  <c r="P186" i="5" s="1"/>
  <c r="U62" i="5"/>
  <c r="P62" i="5" s="1"/>
  <c r="U129" i="5"/>
  <c r="U59" i="5"/>
  <c r="P59" i="5" s="1"/>
  <c r="U107" i="5"/>
  <c r="P107" i="5" s="1"/>
  <c r="U106" i="5"/>
  <c r="P106" i="5" s="1"/>
  <c r="U136" i="5"/>
  <c r="U123" i="5"/>
  <c r="P123" i="5" s="1"/>
  <c r="U81" i="5"/>
  <c r="P81" i="5" s="1"/>
  <c r="U58" i="5"/>
  <c r="U78" i="5"/>
  <c r="P78" i="5" s="1"/>
  <c r="U75" i="5"/>
  <c r="P75" i="5" s="1"/>
  <c r="U161" i="5"/>
  <c r="P161" i="5" s="1"/>
  <c r="U94" i="5"/>
  <c r="P94" i="5" s="1"/>
  <c r="U90" i="5"/>
  <c r="P90" i="5" s="1"/>
  <c r="U87" i="5"/>
  <c r="P87" i="5" s="1"/>
  <c r="U113" i="5"/>
  <c r="P113" i="5" s="1"/>
  <c r="U60" i="5"/>
  <c r="P60" i="5" s="1"/>
  <c r="U56" i="5"/>
  <c r="P56" i="5" s="1"/>
  <c r="U36" i="5"/>
  <c r="P36" i="5" s="1"/>
  <c r="U31" i="5"/>
  <c r="P31" i="5" s="1"/>
  <c r="Q31" i="5" s="1"/>
  <c r="U52" i="5"/>
  <c r="U35" i="5"/>
  <c r="P35" i="5" s="1"/>
  <c r="U32" i="5"/>
  <c r="P32" i="5" s="1"/>
  <c r="Q32" i="5" s="1"/>
  <c r="U26" i="5"/>
  <c r="P26" i="5" s="1"/>
  <c r="U110" i="5"/>
  <c r="P110" i="5" s="1"/>
  <c r="U91" i="5"/>
  <c r="P91" i="5" s="1"/>
  <c r="U46" i="5"/>
  <c r="P46" i="5" s="1"/>
  <c r="T37" i="5"/>
  <c r="R161" i="4"/>
  <c r="R177" i="4"/>
  <c r="R193" i="4"/>
  <c r="O209" i="4"/>
  <c r="U237" i="4"/>
  <c r="O240" i="4"/>
  <c r="U259" i="4"/>
  <c r="U270" i="4"/>
  <c r="C14" i="5"/>
  <c r="W128" i="5" s="1"/>
  <c r="C15" i="5"/>
  <c r="W9" i="5"/>
  <c r="T14" i="5"/>
  <c r="F30" i="5"/>
  <c r="R205" i="4"/>
  <c r="R250" i="4"/>
  <c r="O275" i="4"/>
  <c r="R277" i="4"/>
  <c r="W14" i="5"/>
  <c r="U20" i="5"/>
  <c r="P20" i="5" s="1"/>
  <c r="R155" i="4"/>
  <c r="R207" i="4"/>
  <c r="R209" i="4"/>
  <c r="O219" i="4"/>
  <c r="R225" i="4"/>
  <c r="U235" i="4"/>
  <c r="R242" i="4"/>
  <c r="U244" i="4"/>
  <c r="R266" i="4"/>
  <c r="O273" i="4"/>
  <c r="O299" i="4"/>
  <c r="Q5" i="5"/>
  <c r="U7" i="5"/>
  <c r="P7" i="5" s="1"/>
  <c r="E21" i="5"/>
  <c r="G21" i="5" s="1"/>
  <c r="U257" i="4"/>
  <c r="O262" i="4"/>
  <c r="U30" i="5"/>
  <c r="P30" i="5" s="1"/>
  <c r="R171" i="4"/>
  <c r="R187" i="4"/>
  <c r="O236" i="4"/>
  <c r="U248" i="4"/>
  <c r="O251" i="4"/>
  <c r="R262" i="4"/>
  <c r="U264" i="4"/>
  <c r="O269" i="4"/>
  <c r="R284" i="4"/>
  <c r="U5" i="5"/>
  <c r="P5" i="5" s="1"/>
  <c r="W24" i="5"/>
  <c r="T24" i="5"/>
  <c r="V24" i="5"/>
  <c r="U24" i="5"/>
  <c r="P24" i="5" s="1"/>
  <c r="Q24" i="5" s="1"/>
  <c r="F28" i="5"/>
  <c r="X53" i="5"/>
  <c r="V40" i="5"/>
  <c r="T40" i="5"/>
  <c r="W115" i="5"/>
  <c r="V115" i="5"/>
  <c r="U115" i="5"/>
  <c r="P115" i="5" s="1"/>
  <c r="T115" i="5"/>
  <c r="W149" i="5"/>
  <c r="U12" i="5"/>
  <c r="P12" i="5" s="1"/>
  <c r="T12" i="5"/>
  <c r="W28" i="5"/>
  <c r="T28" i="5"/>
  <c r="W40" i="5"/>
  <c r="V6" i="5"/>
  <c r="U6" i="5"/>
  <c r="P6" i="5" s="1"/>
  <c r="T44" i="5"/>
  <c r="V44" i="5"/>
  <c r="V41" i="5"/>
  <c r="U41" i="5"/>
  <c r="P41" i="5" s="1"/>
  <c r="T41" i="5"/>
  <c r="T21" i="5"/>
  <c r="V28" i="5"/>
  <c r="U44" i="5"/>
  <c r="P44" i="5" s="1"/>
  <c r="W48" i="5"/>
  <c r="V48" i="5"/>
  <c r="T48" i="5"/>
  <c r="U48" i="5"/>
  <c r="P48" i="5" s="1"/>
  <c r="Q48" i="5" s="1"/>
  <c r="W78" i="5"/>
  <c r="W33" i="5"/>
  <c r="V33" i="5"/>
  <c r="T33" i="5"/>
  <c r="V73" i="5"/>
  <c r="U73" i="5"/>
  <c r="T73" i="5"/>
  <c r="U15" i="5"/>
  <c r="P15" i="5" s="1"/>
  <c r="W23" i="5"/>
  <c r="T23" i="5"/>
  <c r="V23" i="5"/>
  <c r="U23" i="5"/>
  <c r="P23" i="5" s="1"/>
  <c r="R241" i="4"/>
  <c r="R260" i="4"/>
  <c r="O270" i="4"/>
  <c r="U283" i="4"/>
  <c r="R293" i="4"/>
  <c r="O301" i="4"/>
  <c r="U21" i="5"/>
  <c r="P21" i="5" s="1"/>
  <c r="W29" i="5"/>
  <c r="T29" i="5"/>
  <c r="V29" i="5"/>
  <c r="U33" i="5"/>
  <c r="P33" i="5" s="1"/>
  <c r="W95" i="5"/>
  <c r="W27" i="5"/>
  <c r="T27" i="5"/>
  <c r="V27" i="5"/>
  <c r="U27" i="5"/>
  <c r="P27" i="5" s="1"/>
  <c r="U49" i="5"/>
  <c r="P49" i="5" s="1"/>
  <c r="W64" i="5"/>
  <c r="V64" i="5"/>
  <c r="T64" i="5"/>
  <c r="U212" i="4"/>
  <c r="O278" i="4"/>
  <c r="U291" i="4"/>
  <c r="T11" i="5"/>
  <c r="V11" i="5"/>
  <c r="T15" i="5"/>
  <c r="T20" i="5"/>
  <c r="V20" i="5"/>
  <c r="U64" i="5"/>
  <c r="P64" i="5" s="1"/>
  <c r="R221" i="4"/>
  <c r="R223" i="4"/>
  <c r="O253" i="4"/>
  <c r="R276" i="4"/>
  <c r="O286" i="4"/>
  <c r="U299" i="4"/>
  <c r="U11" i="5"/>
  <c r="P11" i="5" s="1"/>
  <c r="U29" i="5"/>
  <c r="P29" i="5" s="1"/>
  <c r="Q29" i="5" s="1"/>
  <c r="U260" i="4"/>
  <c r="U276" i="4"/>
  <c r="U292" i="4"/>
  <c r="U42" i="5"/>
  <c r="V66" i="5"/>
  <c r="U66" i="5"/>
  <c r="P66" i="5" s="1"/>
  <c r="T66" i="5"/>
  <c r="W66" i="5"/>
  <c r="W94" i="5"/>
  <c r="W153" i="5"/>
  <c r="W50" i="5"/>
  <c r="W61" i="5"/>
  <c r="U61" i="5"/>
  <c r="P61" i="5" s="1"/>
  <c r="W106" i="5"/>
  <c r="V67" i="5"/>
  <c r="U67" i="5"/>
  <c r="P67" i="5" s="1"/>
  <c r="W110" i="5"/>
  <c r="W127" i="5"/>
  <c r="U142" i="5"/>
  <c r="P142" i="5" s="1"/>
  <c r="T142" i="5"/>
  <c r="W142" i="5"/>
  <c r="V142" i="5"/>
  <c r="W99" i="5"/>
  <c r="V99" i="5"/>
  <c r="U99" i="5"/>
  <c r="P99" i="5" s="1"/>
  <c r="Q99" i="5" s="1"/>
  <c r="T99" i="5"/>
  <c r="W198" i="5"/>
  <c r="O230" i="4"/>
  <c r="W42" i="5"/>
  <c r="T46" i="5"/>
  <c r="T61" i="5"/>
  <c r="T67" i="5"/>
  <c r="U85" i="5"/>
  <c r="P85" i="5" s="1"/>
  <c r="W76" i="5"/>
  <c r="V76" i="5"/>
  <c r="U76" i="5"/>
  <c r="P76" i="5" s="1"/>
  <c r="T76" i="5"/>
  <c r="W79" i="5"/>
  <c r="W96" i="5"/>
  <c r="V96" i="5"/>
  <c r="U96" i="5"/>
  <c r="P96" i="5" s="1"/>
  <c r="T96" i="5"/>
  <c r="R253" i="4"/>
  <c r="R269" i="4"/>
  <c r="R285" i="4"/>
  <c r="R301" i="4"/>
  <c r="T31" i="5"/>
  <c r="W46" i="5"/>
  <c r="W71" i="5"/>
  <c r="W111" i="5"/>
  <c r="W124" i="5"/>
  <c r="W157" i="5"/>
  <c r="W55" i="5"/>
  <c r="W62" i="5"/>
  <c r="W92" i="5"/>
  <c r="V92" i="5"/>
  <c r="U92" i="5"/>
  <c r="P92" i="5" s="1"/>
  <c r="T92" i="5"/>
  <c r="W57" i="5"/>
  <c r="U57" i="5"/>
  <c r="P57" i="5" s="1"/>
  <c r="T57" i="5"/>
  <c r="U77" i="5"/>
  <c r="P77" i="5" s="1"/>
  <c r="Q77" i="5" s="1"/>
  <c r="W89" i="5"/>
  <c r="W112" i="5"/>
  <c r="V112" i="5"/>
  <c r="U112" i="5"/>
  <c r="P112" i="5" s="1"/>
  <c r="T112" i="5"/>
  <c r="W125" i="5"/>
  <c r="V125" i="5"/>
  <c r="U125" i="5"/>
  <c r="T125" i="5"/>
  <c r="W186" i="5"/>
  <c r="W45" i="5"/>
  <c r="T45" i="5"/>
  <c r="W80" i="5"/>
  <c r="V80" i="5"/>
  <c r="T80" i="5"/>
  <c r="V83" i="5"/>
  <c r="U83" i="5"/>
  <c r="P83" i="5" s="1"/>
  <c r="T83" i="5"/>
  <c r="W93" i="5"/>
  <c r="V93" i="5"/>
  <c r="U93" i="5"/>
  <c r="P93" i="5" s="1"/>
  <c r="U16" i="5"/>
  <c r="P16" i="5" s="1"/>
  <c r="T16" i="5"/>
  <c r="W22" i="5"/>
  <c r="T22" i="5"/>
  <c r="U34" i="5"/>
  <c r="P34" i="5" s="1"/>
  <c r="W35" i="5"/>
  <c r="T39" i="5"/>
  <c r="U117" i="5"/>
  <c r="P117" i="5" s="1"/>
  <c r="V5" i="5"/>
  <c r="W26" i="5"/>
  <c r="T26" i="5"/>
  <c r="W30" i="5"/>
  <c r="T30" i="5"/>
  <c r="U39" i="5"/>
  <c r="P39" i="5" s="1"/>
  <c r="T49" i="5"/>
  <c r="V57" i="5"/>
  <c r="U101" i="5"/>
  <c r="P101" i="5" s="1"/>
  <c r="W108" i="5"/>
  <c r="O214" i="4"/>
  <c r="O246" i="4"/>
  <c r="U13" i="5"/>
  <c r="P13" i="5" s="1"/>
  <c r="U38" i="5"/>
  <c r="V49" i="5"/>
  <c r="W60" i="5"/>
  <c r="V60" i="5"/>
  <c r="T60" i="5"/>
  <c r="T77" i="5"/>
  <c r="T93" i="5"/>
  <c r="W122" i="5"/>
  <c r="U45" i="5"/>
  <c r="P45" i="5" s="1"/>
  <c r="Q45" i="5" s="1"/>
  <c r="W49" i="5"/>
  <c r="W63" i="5"/>
  <c r="V77" i="5"/>
  <c r="U80" i="5"/>
  <c r="P80" i="5" s="1"/>
  <c r="W105" i="5"/>
  <c r="W109" i="5"/>
  <c r="V109" i="5"/>
  <c r="U109" i="5"/>
  <c r="P109" i="5" s="1"/>
  <c r="T109" i="5"/>
  <c r="V69" i="5"/>
  <c r="W82" i="5"/>
  <c r="V85" i="5"/>
  <c r="T91" i="5"/>
  <c r="W98" i="5"/>
  <c r="V101" i="5"/>
  <c r="T107" i="5"/>
  <c r="W114" i="5"/>
  <c r="V117" i="5"/>
  <c r="T123" i="5"/>
  <c r="T131" i="5"/>
  <c r="V132" i="5"/>
  <c r="T161" i="5"/>
  <c r="W176" i="5"/>
  <c r="W181" i="5"/>
  <c r="V43" i="5"/>
  <c r="T50" i="5"/>
  <c r="V51" i="5"/>
  <c r="T55" i="5"/>
  <c r="V65" i="5"/>
  <c r="T71" i="5"/>
  <c r="V81" i="5"/>
  <c r="V97" i="5"/>
  <c r="V113" i="5"/>
  <c r="W133" i="5"/>
  <c r="T139" i="5"/>
  <c r="T157" i="5"/>
  <c r="V187" i="5"/>
  <c r="T193" i="5"/>
  <c r="W199" i="5"/>
  <c r="V100" i="5"/>
  <c r="T106" i="5"/>
  <c r="V116" i="5"/>
  <c r="T122" i="5"/>
  <c r="T137" i="5"/>
  <c r="T150" i="5"/>
  <c r="V153" i="5"/>
  <c r="W167" i="5"/>
  <c r="W172" i="5"/>
  <c r="V172" i="5"/>
  <c r="T172" i="5"/>
  <c r="V199" i="5"/>
  <c r="V131" i="5"/>
  <c r="T135" i="5"/>
  <c r="W143" i="5"/>
  <c r="U158" i="5"/>
  <c r="T158" i="5"/>
  <c r="W158" i="5"/>
  <c r="V167" i="5"/>
  <c r="U172" i="5"/>
  <c r="P172" i="5" s="1"/>
  <c r="Q172" i="5" s="1"/>
  <c r="T178" i="5"/>
  <c r="V106" i="5"/>
  <c r="V122" i="5"/>
  <c r="W131" i="5"/>
  <c r="W140" i="5"/>
  <c r="T140" i="5"/>
  <c r="T143" i="5"/>
  <c r="W154" i="5"/>
  <c r="V158" i="5"/>
  <c r="W163" i="5"/>
  <c r="W183" i="5"/>
  <c r="W188" i="5"/>
  <c r="V188" i="5"/>
  <c r="T188" i="5"/>
  <c r="V194" i="5"/>
  <c r="W200" i="5"/>
  <c r="W147" i="5"/>
  <c r="V147" i="5"/>
  <c r="U147" i="5"/>
  <c r="P147" i="5" s="1"/>
  <c r="T147" i="5"/>
  <c r="W168" i="5"/>
  <c r="W173" i="5"/>
  <c r="V183" i="5"/>
  <c r="T54" i="5"/>
  <c r="T70" i="5"/>
  <c r="T86" i="5"/>
  <c r="T102" i="5"/>
  <c r="T118" i="5"/>
  <c r="V137" i="5"/>
  <c r="U140" i="5"/>
  <c r="T151" i="5"/>
  <c r="W159" i="5"/>
  <c r="T173" i="5"/>
  <c r="W179" i="5"/>
  <c r="W195" i="5"/>
  <c r="W201" i="5"/>
  <c r="U54" i="5"/>
  <c r="P54" i="5" s="1"/>
  <c r="U70" i="5"/>
  <c r="P70" i="5" s="1"/>
  <c r="U86" i="5"/>
  <c r="P86" i="5" s="1"/>
  <c r="T89" i="5"/>
  <c r="U102" i="5"/>
  <c r="P102" i="5" s="1"/>
  <c r="T105" i="5"/>
  <c r="U118" i="5"/>
  <c r="P118" i="5" s="1"/>
  <c r="Q118" i="5" s="1"/>
  <c r="T121" i="5"/>
  <c r="V133" i="5"/>
  <c r="V140" i="5"/>
  <c r="T159" i="5"/>
  <c r="W184" i="5"/>
  <c r="V189" i="5"/>
  <c r="U89" i="5"/>
  <c r="P89" i="5" s="1"/>
  <c r="U105" i="5"/>
  <c r="P105" i="5" s="1"/>
  <c r="T108" i="5"/>
  <c r="U121" i="5"/>
  <c r="P121" i="5" s="1"/>
  <c r="T124" i="5"/>
  <c r="T127" i="5"/>
  <c r="T130" i="5"/>
  <c r="V135" i="5"/>
  <c r="W144" i="5"/>
  <c r="V155" i="5"/>
  <c r="V164" i="5"/>
  <c r="W169" i="5"/>
  <c r="U174" i="5"/>
  <c r="P174" i="5" s="1"/>
  <c r="T174" i="5"/>
  <c r="W174" i="5"/>
  <c r="V174" i="5"/>
  <c r="T189" i="5"/>
  <c r="V89" i="5"/>
  <c r="T95" i="5"/>
  <c r="V105" i="5"/>
  <c r="U108" i="5"/>
  <c r="P108" i="5" s="1"/>
  <c r="T111" i="5"/>
  <c r="V121" i="5"/>
  <c r="U124" i="5"/>
  <c r="P124" i="5" s="1"/>
  <c r="T126" i="5"/>
  <c r="U127" i="5"/>
  <c r="P127" i="5" s="1"/>
  <c r="W138" i="5"/>
  <c r="T138" i="5"/>
  <c r="W141" i="5"/>
  <c r="V148" i="5"/>
  <c r="V151" i="5"/>
  <c r="W160" i="5"/>
  <c r="V196" i="5"/>
  <c r="W202" i="5"/>
  <c r="U63" i="5"/>
  <c r="P63" i="5" s="1"/>
  <c r="U79" i="5"/>
  <c r="P79" i="5" s="1"/>
  <c r="T82" i="5"/>
  <c r="U95" i="5"/>
  <c r="P95" i="5" s="1"/>
  <c r="T98" i="5"/>
  <c r="V108" i="5"/>
  <c r="U111" i="5"/>
  <c r="P111" i="5" s="1"/>
  <c r="T114" i="5"/>
  <c r="V124" i="5"/>
  <c r="V127" i="5"/>
  <c r="V130" i="5"/>
  <c r="T134" i="5"/>
  <c r="W175" i="5"/>
  <c r="U180" i="5"/>
  <c r="P180" i="5" s="1"/>
  <c r="W185" i="5"/>
  <c r="U190" i="5"/>
  <c r="P190" i="5" s="1"/>
  <c r="V197" i="5"/>
  <c r="V181" i="5"/>
  <c r="V165" i="5"/>
  <c r="V178" i="5"/>
  <c r="V162" i="5"/>
  <c r="V146" i="5"/>
  <c r="V191" i="5"/>
  <c r="T162" i="5"/>
  <c r="T146" i="5"/>
  <c r="V198" i="5"/>
  <c r="V166" i="5"/>
  <c r="V150" i="5"/>
  <c r="V192" i="5"/>
  <c r="V176" i="5"/>
  <c r="V180" i="5"/>
  <c r="V63" i="5"/>
  <c r="V79" i="5"/>
  <c r="U82" i="5"/>
  <c r="P82" i="5" s="1"/>
  <c r="T85" i="5"/>
  <c r="V95" i="5"/>
  <c r="U98" i="5"/>
  <c r="P98" i="5" s="1"/>
  <c r="T101" i="5"/>
  <c r="V111" i="5"/>
  <c r="U114" i="5"/>
  <c r="P114" i="5" s="1"/>
  <c r="T117" i="5"/>
  <c r="T132" i="5"/>
  <c r="W136" i="5"/>
  <c r="U138" i="5"/>
  <c r="P138" i="5" s="1"/>
  <c r="T141" i="5"/>
  <c r="T148" i="5"/>
  <c r="W152" i="5"/>
  <c r="W165" i="5"/>
  <c r="T175" i="5"/>
  <c r="T72" i="5"/>
  <c r="T88" i="5"/>
  <c r="T104" i="5"/>
  <c r="T120" i="5"/>
  <c r="V138" i="5"/>
  <c r="T145" i="5"/>
  <c r="W156" i="5"/>
  <c r="V156" i="5"/>
  <c r="T156" i="5"/>
  <c r="W170" i="5"/>
  <c r="V185" i="5"/>
  <c r="T191" i="5"/>
  <c r="W197" i="5"/>
  <c r="V203" i="5"/>
  <c r="T164" i="5"/>
  <c r="W171" i="5"/>
  <c r="U177" i="5"/>
  <c r="P177" i="5" s="1"/>
  <c r="T180" i="5"/>
  <c r="W187" i="5"/>
  <c r="V190" i="5"/>
  <c r="U193" i="5"/>
  <c r="P193" i="5" s="1"/>
  <c r="T196" i="5"/>
  <c r="W203" i="5"/>
  <c r="P73" i="6"/>
  <c r="P121" i="6"/>
  <c r="P133" i="6"/>
  <c r="P179" i="6"/>
  <c r="P246" i="6"/>
  <c r="P289" i="6"/>
  <c r="P304" i="6"/>
  <c r="P315" i="6"/>
  <c r="P470" i="6"/>
  <c r="V145" i="5"/>
  <c r="U148" i="5"/>
  <c r="P148" i="5" s="1"/>
  <c r="V161" i="5"/>
  <c r="U164" i="5"/>
  <c r="P164" i="5" s="1"/>
  <c r="T167" i="5"/>
  <c r="V177" i="5"/>
  <c r="T183" i="5"/>
  <c r="W190" i="5"/>
  <c r="V193" i="5"/>
  <c r="U196" i="5"/>
  <c r="P196" i="5" s="1"/>
  <c r="T199" i="5"/>
  <c r="P12" i="6"/>
  <c r="P43" i="6"/>
  <c r="P46" i="6"/>
  <c r="P65" i="6"/>
  <c r="S71" i="6"/>
  <c r="S79" i="6"/>
  <c r="S119" i="6"/>
  <c r="S136" i="6"/>
  <c r="P138" i="6"/>
  <c r="S148" i="6"/>
  <c r="P169" i="6"/>
  <c r="P262" i="6"/>
  <c r="S303" i="7"/>
  <c r="S301" i="7"/>
  <c r="S299" i="7"/>
  <c r="S297" i="7"/>
  <c r="S295" i="7"/>
  <c r="S293" i="7"/>
  <c r="S291" i="7"/>
  <c r="S289" i="7"/>
  <c r="S287" i="7"/>
  <c r="S285" i="7"/>
  <c r="S283" i="7"/>
  <c r="S281" i="7"/>
  <c r="S279" i="7"/>
  <c r="S277" i="7"/>
  <c r="S275" i="7"/>
  <c r="S273" i="7"/>
  <c r="S271" i="7"/>
  <c r="S269" i="7"/>
  <c r="S267" i="7"/>
  <c r="S265" i="7"/>
  <c r="S263" i="7"/>
  <c r="S261" i="7"/>
  <c r="S259" i="7"/>
  <c r="S257" i="7"/>
  <c r="S255" i="7"/>
  <c r="S253" i="7"/>
  <c r="S251" i="7"/>
  <c r="S249" i="7"/>
  <c r="S247" i="7"/>
  <c r="S245" i="7"/>
  <c r="S243" i="7"/>
  <c r="S241" i="7"/>
  <c r="S239" i="7"/>
  <c r="S237" i="7"/>
  <c r="S235" i="7"/>
  <c r="S233" i="7"/>
  <c r="S231" i="7"/>
  <c r="S229" i="7"/>
  <c r="S227" i="7"/>
  <c r="S225" i="7"/>
  <c r="S223" i="7"/>
  <c r="S221" i="7"/>
  <c r="S219" i="7"/>
  <c r="S217" i="7"/>
  <c r="S215" i="7"/>
  <c r="S213" i="7"/>
  <c r="S211" i="7"/>
  <c r="S209" i="7"/>
  <c r="S207" i="7"/>
  <c r="S196" i="7"/>
  <c r="S181" i="7"/>
  <c r="S298" i="7"/>
  <c r="S282" i="7"/>
  <c r="S266" i="7"/>
  <c r="S200" i="7"/>
  <c r="S185" i="7"/>
  <c r="S300" i="7"/>
  <c r="S284" i="7"/>
  <c r="S268" i="7"/>
  <c r="S204" i="7"/>
  <c r="S189" i="7"/>
  <c r="S302" i="7"/>
  <c r="S286" i="7"/>
  <c r="S270" i="7"/>
  <c r="S254" i="7"/>
  <c r="S193" i="7"/>
  <c r="S176" i="7"/>
  <c r="S304" i="7"/>
  <c r="S288" i="7"/>
  <c r="S272" i="7"/>
  <c r="S256" i="7"/>
  <c r="S197" i="7"/>
  <c r="S180" i="7"/>
  <c r="S290" i="7"/>
  <c r="S201" i="7"/>
  <c r="S184" i="7"/>
  <c r="S292" i="7"/>
  <c r="S276" i="7"/>
  <c r="S205" i="7"/>
  <c r="S188" i="7"/>
  <c r="S41" i="7"/>
  <c r="S294" i="7"/>
  <c r="S278" i="7"/>
  <c r="S262" i="7"/>
  <c r="S192" i="7"/>
  <c r="S177" i="7"/>
  <c r="S296" i="7"/>
  <c r="S280" i="7"/>
  <c r="S264" i="7"/>
  <c r="S248" i="7"/>
  <c r="S216" i="7"/>
  <c r="S183" i="7"/>
  <c r="S178" i="7"/>
  <c r="S173" i="7"/>
  <c r="S157" i="7"/>
  <c r="S141" i="7"/>
  <c r="S125" i="7"/>
  <c r="S109" i="7"/>
  <c r="S93" i="7"/>
  <c r="S77" i="7"/>
  <c r="S61" i="7"/>
  <c r="S39" i="7"/>
  <c r="S22" i="7"/>
  <c r="S10" i="7"/>
  <c r="S258" i="7"/>
  <c r="S238" i="7"/>
  <c r="S206" i="7"/>
  <c r="S166" i="7"/>
  <c r="S150" i="7"/>
  <c r="S134" i="7"/>
  <c r="S118" i="7"/>
  <c r="S102" i="7"/>
  <c r="S86" i="7"/>
  <c r="S70" i="7"/>
  <c r="S228" i="7"/>
  <c r="S175" i="7"/>
  <c r="S159" i="7"/>
  <c r="S143" i="7"/>
  <c r="S127" i="7"/>
  <c r="S111" i="7"/>
  <c r="S95" i="7"/>
  <c r="S79" i="7"/>
  <c r="S63" i="7"/>
  <c r="S55" i="7"/>
  <c r="S44" i="7"/>
  <c r="S32" i="7"/>
  <c r="S28" i="7"/>
  <c r="S24" i="7"/>
  <c r="S250" i="7"/>
  <c r="S218" i="7"/>
  <c r="S203" i="7"/>
  <c r="S198" i="7"/>
  <c r="S168" i="7"/>
  <c r="S152" i="7"/>
  <c r="S136" i="7"/>
  <c r="S120" i="7"/>
  <c r="S104" i="7"/>
  <c r="S88" i="7"/>
  <c r="S72" i="7"/>
  <c r="S52" i="7"/>
  <c r="S36" i="7"/>
  <c r="S33" i="7"/>
  <c r="S260" i="7"/>
  <c r="S240" i="7"/>
  <c r="S208" i="7"/>
  <c r="S161" i="7"/>
  <c r="S145" i="7"/>
  <c r="S129" i="7"/>
  <c r="S113" i="7"/>
  <c r="S97" i="7"/>
  <c r="S81" i="7"/>
  <c r="S65" i="7"/>
  <c r="S49" i="7"/>
  <c r="S45" i="7"/>
  <c r="S14" i="7"/>
  <c r="S230" i="7"/>
  <c r="S195" i="7"/>
  <c r="S190" i="7"/>
  <c r="S170" i="7"/>
  <c r="S154" i="7"/>
  <c r="S138" i="7"/>
  <c r="S122" i="7"/>
  <c r="S106" i="7"/>
  <c r="S90" i="7"/>
  <c r="S74" i="7"/>
  <c r="S58" i="7"/>
  <c r="S46" i="7"/>
  <c r="S40" i="7"/>
  <c r="S37" i="7"/>
  <c r="X26" i="7"/>
  <c r="X27" i="7" s="1"/>
  <c r="X28" i="7" s="1"/>
  <c r="X29" i="7" s="1"/>
  <c r="X30" i="7" s="1"/>
  <c r="X31" i="7" s="1"/>
  <c r="X32" i="7" s="1"/>
  <c r="X33" i="7" s="1"/>
  <c r="X34" i="7" s="1"/>
  <c r="X35" i="7" s="1"/>
  <c r="X36" i="7" s="1"/>
  <c r="X37" i="7" s="1"/>
  <c r="X38" i="7" s="1"/>
  <c r="X39" i="7" s="1"/>
  <c r="X40" i="7" s="1"/>
  <c r="X41" i="7" s="1"/>
  <c r="X42" i="7" s="1"/>
  <c r="X43" i="7" s="1"/>
  <c r="X44" i="7" s="1"/>
  <c r="X45" i="7" s="1"/>
  <c r="S11" i="7"/>
  <c r="S252" i="7"/>
  <c r="S220" i="7"/>
  <c r="S163" i="7"/>
  <c r="S147" i="7"/>
  <c r="S131" i="7"/>
  <c r="S115" i="7"/>
  <c r="S99" i="7"/>
  <c r="S83" i="7"/>
  <c r="S67" i="7"/>
  <c r="S242" i="7"/>
  <c r="S210" i="7"/>
  <c r="S187" i="7"/>
  <c r="S182" i="7"/>
  <c r="S172" i="7"/>
  <c r="S156" i="7"/>
  <c r="S140" i="7"/>
  <c r="S124" i="7"/>
  <c r="S108" i="7"/>
  <c r="S92" i="7"/>
  <c r="S76" i="7"/>
  <c r="S60" i="7"/>
  <c r="S56" i="7"/>
  <c r="S232" i="7"/>
  <c r="S165" i="7"/>
  <c r="S149" i="7"/>
  <c r="S133" i="7"/>
  <c r="S117" i="7"/>
  <c r="S101" i="7"/>
  <c r="S85" i="7"/>
  <c r="S69" i="7"/>
  <c r="S53" i="7"/>
  <c r="S34" i="7"/>
  <c r="S30" i="7"/>
  <c r="S26" i="7"/>
  <c r="S222" i="7"/>
  <c r="S179" i="7"/>
  <c r="S174" i="7"/>
  <c r="S158" i="7"/>
  <c r="S142" i="7"/>
  <c r="S244" i="7"/>
  <c r="S212" i="7"/>
  <c r="S202" i="7"/>
  <c r="S167" i="7"/>
  <c r="S151" i="7"/>
  <c r="S135" i="7"/>
  <c r="S119" i="7"/>
  <c r="S103" i="7"/>
  <c r="S87" i="7"/>
  <c r="S234" i="7"/>
  <c r="S160" i="7"/>
  <c r="S144" i="7"/>
  <c r="S128" i="7"/>
  <c r="S112" i="7"/>
  <c r="S96" i="7"/>
  <c r="S80" i="7"/>
  <c r="S64" i="7"/>
  <c r="S224" i="7"/>
  <c r="S199" i="7"/>
  <c r="S194" i="7"/>
  <c r="S169" i="7"/>
  <c r="S153" i="7"/>
  <c r="S137" i="7"/>
  <c r="S121" i="7"/>
  <c r="S105" i="7"/>
  <c r="S89" i="7"/>
  <c r="S73" i="7"/>
  <c r="S57" i="7"/>
  <c r="S6" i="7"/>
  <c r="S246" i="7"/>
  <c r="S214" i="7"/>
  <c r="S162" i="7"/>
  <c r="S146" i="7"/>
  <c r="S130" i="7"/>
  <c r="S114" i="7"/>
  <c r="S98" i="7"/>
  <c r="S82" i="7"/>
  <c r="S66" i="7"/>
  <c r="S54" i="7"/>
  <c r="S31" i="7"/>
  <c r="S27" i="7"/>
  <c r="S19" i="7"/>
  <c r="S236" i="7"/>
  <c r="S191" i="7"/>
  <c r="S186" i="7"/>
  <c r="S171" i="7"/>
  <c r="S155" i="7"/>
  <c r="S139" i="7"/>
  <c r="S123" i="7"/>
  <c r="S107" i="7"/>
  <c r="S91" i="7"/>
  <c r="S75" i="7"/>
  <c r="S59" i="7"/>
  <c r="S51" i="7"/>
  <c r="S42" i="7"/>
  <c r="S35" i="7"/>
  <c r="S20" i="7"/>
  <c r="S16" i="7"/>
  <c r="S274" i="7"/>
  <c r="S226" i="7"/>
  <c r="S164" i="7"/>
  <c r="S148" i="7"/>
  <c r="S132" i="7"/>
  <c r="S116" i="7"/>
  <c r="S100" i="7"/>
  <c r="S84" i="7"/>
  <c r="S68" i="7"/>
  <c r="S48" i="7"/>
  <c r="S21" i="7"/>
  <c r="S13" i="7"/>
  <c r="S7" i="7"/>
  <c r="S71" i="7"/>
  <c r="S62" i="7"/>
  <c r="S43" i="7"/>
  <c r="S23" i="7"/>
  <c r="S17" i="7"/>
  <c r="S126" i="7"/>
  <c r="S110" i="7"/>
  <c r="S50" i="7"/>
  <c r="S29" i="7"/>
  <c r="S15" i="7"/>
  <c r="S8" i="7"/>
  <c r="S94" i="7"/>
  <c r="S47" i="7"/>
  <c r="S38" i="7"/>
  <c r="S25" i="7"/>
  <c r="S78" i="7"/>
  <c r="S18" i="7"/>
  <c r="S9" i="7"/>
  <c r="W145" i="5"/>
  <c r="T154" i="5"/>
  <c r="W161" i="5"/>
  <c r="T170" i="5"/>
  <c r="W177" i="5"/>
  <c r="T186" i="5"/>
  <c r="W193" i="5"/>
  <c r="T202" i="5"/>
  <c r="F18" i="6"/>
  <c r="P19" i="6"/>
  <c r="S36" i="6"/>
  <c r="P50" i="6"/>
  <c r="S55" i="6"/>
  <c r="P57" i="6"/>
  <c r="S68" i="6"/>
  <c r="P70" i="6"/>
  <c r="S99" i="6"/>
  <c r="P106" i="6"/>
  <c r="S114" i="6"/>
  <c r="P118" i="6"/>
  <c r="P162" i="6"/>
  <c r="P195" i="6"/>
  <c r="S228" i="6"/>
  <c r="S302" i="6"/>
  <c r="S322" i="6"/>
  <c r="P326" i="6"/>
  <c r="P353" i="6"/>
  <c r="P434" i="6"/>
  <c r="T14" i="7"/>
  <c r="P23" i="6"/>
  <c r="P54" i="6"/>
  <c r="P78" i="6"/>
  <c r="P83" i="6"/>
  <c r="P103" i="6"/>
  <c r="P135" i="6"/>
  <c r="P183" i="6"/>
  <c r="P271" i="6"/>
  <c r="P280" i="6"/>
  <c r="P295" i="6"/>
  <c r="P400" i="6"/>
  <c r="P501" i="6"/>
  <c r="T144" i="5"/>
  <c r="V154" i="5"/>
  <c r="T160" i="5"/>
  <c r="V170" i="5"/>
  <c r="T176" i="5"/>
  <c r="V186" i="5"/>
  <c r="U189" i="5"/>
  <c r="P189" i="5" s="1"/>
  <c r="V202" i="5"/>
  <c r="F14" i="6"/>
  <c r="P85" i="6"/>
  <c r="P113" i="6"/>
  <c r="P166" i="6"/>
  <c r="P211" i="6"/>
  <c r="S260" i="6"/>
  <c r="S351" i="6"/>
  <c r="V141" i="5"/>
  <c r="U144" i="5"/>
  <c r="P144" i="5" s="1"/>
  <c r="V157" i="5"/>
  <c r="U160" i="5"/>
  <c r="P160" i="5" s="1"/>
  <c r="Q160" i="5" s="1"/>
  <c r="T163" i="5"/>
  <c r="V173" i="5"/>
  <c r="U176" i="5"/>
  <c r="P176" i="5" s="1"/>
  <c r="Q176" i="5" s="1"/>
  <c r="T179" i="5"/>
  <c r="T195" i="5"/>
  <c r="P25" i="6"/>
  <c r="P503" i="6"/>
  <c r="P487" i="6"/>
  <c r="P471" i="6"/>
  <c r="P455" i="6"/>
  <c r="P439" i="6"/>
  <c r="P423" i="6"/>
  <c r="P407" i="6"/>
  <c r="P391" i="6"/>
  <c r="P375" i="6"/>
  <c r="P359" i="6"/>
  <c r="P343" i="6"/>
  <c r="P327" i="6"/>
  <c r="P497" i="6"/>
  <c r="P481" i="6"/>
  <c r="P465" i="6"/>
  <c r="P449" i="6"/>
  <c r="P491" i="6"/>
  <c r="P475" i="6"/>
  <c r="P459" i="6"/>
  <c r="P443" i="6"/>
  <c r="P427" i="6"/>
  <c r="P411" i="6"/>
  <c r="P395" i="6"/>
  <c r="P379" i="6"/>
  <c r="P363" i="6"/>
  <c r="P347" i="6"/>
  <c r="P331" i="6"/>
  <c r="P504" i="6"/>
  <c r="P488" i="6"/>
  <c r="P472" i="6"/>
  <c r="P456" i="6"/>
  <c r="P440" i="6"/>
  <c r="P424" i="6"/>
  <c r="P408" i="6"/>
  <c r="P392" i="6"/>
  <c r="P376" i="6"/>
  <c r="P360" i="6"/>
  <c r="P344" i="6"/>
  <c r="P499" i="6"/>
  <c r="P483" i="6"/>
  <c r="P467" i="6"/>
  <c r="P451" i="6"/>
  <c r="P435" i="6"/>
  <c r="P419" i="6"/>
  <c r="P403" i="6"/>
  <c r="P387" i="6"/>
  <c r="P371" i="6"/>
  <c r="P355" i="6"/>
  <c r="P339" i="6"/>
  <c r="P323" i="6"/>
  <c r="P307" i="6"/>
  <c r="P291" i="6"/>
  <c r="P275" i="6"/>
  <c r="P493" i="6"/>
  <c r="P477" i="6"/>
  <c r="P461" i="6"/>
  <c r="P445" i="6"/>
  <c r="P429" i="6"/>
  <c r="P413" i="6"/>
  <c r="P397" i="6"/>
  <c r="P381" i="6"/>
  <c r="P365" i="6"/>
  <c r="P349" i="6"/>
  <c r="P333" i="6"/>
  <c r="P317" i="6"/>
  <c r="P490" i="6"/>
  <c r="P474" i="6"/>
  <c r="P458" i="6"/>
  <c r="P442" i="6"/>
  <c r="P426" i="6"/>
  <c r="P410" i="6"/>
  <c r="P394" i="6"/>
  <c r="P378" i="6"/>
  <c r="P362" i="6"/>
  <c r="P346" i="6"/>
  <c r="P330" i="6"/>
  <c r="P314" i="6"/>
  <c r="P298" i="6"/>
  <c r="P282" i="6"/>
  <c r="P266" i="6"/>
  <c r="P480" i="6"/>
  <c r="P457" i="6"/>
  <c r="P444" i="6"/>
  <c r="P436" i="6"/>
  <c r="P402" i="6"/>
  <c r="P389" i="6"/>
  <c r="P342" i="6"/>
  <c r="P334" i="6"/>
  <c r="P312" i="6"/>
  <c r="P309" i="6"/>
  <c r="P306" i="6"/>
  <c r="P303" i="6"/>
  <c r="P297" i="6"/>
  <c r="P294" i="6"/>
  <c r="P288" i="6"/>
  <c r="P285" i="6"/>
  <c r="P276" i="6"/>
  <c r="P267" i="6"/>
  <c r="P261" i="6"/>
  <c r="P245" i="6"/>
  <c r="P229" i="6"/>
  <c r="P213" i="6"/>
  <c r="P197" i="6"/>
  <c r="P181" i="6"/>
  <c r="P165" i="6"/>
  <c r="P496" i="6"/>
  <c r="P478" i="6"/>
  <c r="P418" i="6"/>
  <c r="P405" i="6"/>
  <c r="P384" i="6"/>
  <c r="P358" i="6"/>
  <c r="P345" i="6"/>
  <c r="P337" i="6"/>
  <c r="P329" i="6"/>
  <c r="P255" i="6"/>
  <c r="P239" i="6"/>
  <c r="P223" i="6"/>
  <c r="P207" i="6"/>
  <c r="P191" i="6"/>
  <c r="P175" i="6"/>
  <c r="P159" i="6"/>
  <c r="P143" i="6"/>
  <c r="P127" i="6"/>
  <c r="P111" i="6"/>
  <c r="P95" i="6"/>
  <c r="P79" i="6"/>
  <c r="P63" i="6"/>
  <c r="P53" i="6"/>
  <c r="P35" i="6"/>
  <c r="P473" i="6"/>
  <c r="P460" i="6"/>
  <c r="P452" i="6"/>
  <c r="P447" i="6"/>
  <c r="P366" i="6"/>
  <c r="P321" i="6"/>
  <c r="P252" i="6"/>
  <c r="P236" i="6"/>
  <c r="P220" i="6"/>
  <c r="P204" i="6"/>
  <c r="P188" i="6"/>
  <c r="P172" i="6"/>
  <c r="P156" i="6"/>
  <c r="P140" i="6"/>
  <c r="P124" i="6"/>
  <c r="P108" i="6"/>
  <c r="P92" i="6"/>
  <c r="P76" i="6"/>
  <c r="P60" i="6"/>
  <c r="P48" i="6"/>
  <c r="P44" i="6"/>
  <c r="P502" i="6"/>
  <c r="P489" i="6"/>
  <c r="P476" i="6"/>
  <c r="P468" i="6"/>
  <c r="P463" i="6"/>
  <c r="P437" i="6"/>
  <c r="P416" i="6"/>
  <c r="P398" i="6"/>
  <c r="P377" i="6"/>
  <c r="P369" i="6"/>
  <c r="P450" i="6"/>
  <c r="P406" i="6"/>
  <c r="P393" i="6"/>
  <c r="P385" i="6"/>
  <c r="P364" i="6"/>
  <c r="P356" i="6"/>
  <c r="P335" i="6"/>
  <c r="P256" i="6"/>
  <c r="P240" i="6"/>
  <c r="P224" i="6"/>
  <c r="P208" i="6"/>
  <c r="P192" i="6"/>
  <c r="P176" i="6"/>
  <c r="P160" i="6"/>
  <c r="P144" i="6"/>
  <c r="P128" i="6"/>
  <c r="P112" i="6"/>
  <c r="P96" i="6"/>
  <c r="P80" i="6"/>
  <c r="P64" i="6"/>
  <c r="P432" i="6"/>
  <c r="P414" i="6"/>
  <c r="P351" i="6"/>
  <c r="P319" i="6"/>
  <c r="P253" i="6"/>
  <c r="P237" i="6"/>
  <c r="P221" i="6"/>
  <c r="P205" i="6"/>
  <c r="P189" i="6"/>
  <c r="P173" i="6"/>
  <c r="P157" i="6"/>
  <c r="P141" i="6"/>
  <c r="P125" i="6"/>
  <c r="P109" i="6"/>
  <c r="P93" i="6"/>
  <c r="P77" i="6"/>
  <c r="P61" i="6"/>
  <c r="P45" i="6"/>
  <c r="P492" i="6"/>
  <c r="P484" i="6"/>
  <c r="P479" i="6"/>
  <c r="P453" i="6"/>
  <c r="P422" i="6"/>
  <c r="P409" i="6"/>
  <c r="P401" i="6"/>
  <c r="P380" i="6"/>
  <c r="P372" i="6"/>
  <c r="P338" i="6"/>
  <c r="P250" i="6"/>
  <c r="P234" i="6"/>
  <c r="P218" i="6"/>
  <c r="P202" i="6"/>
  <c r="P186" i="6"/>
  <c r="P466" i="6"/>
  <c r="P448" i="6"/>
  <c r="P430" i="6"/>
  <c r="P396" i="6"/>
  <c r="P388" i="6"/>
  <c r="P367" i="6"/>
  <c r="P322" i="6"/>
  <c r="P311" i="6"/>
  <c r="P305" i="6"/>
  <c r="P281" i="6"/>
  <c r="P278" i="6"/>
  <c r="P272" i="6"/>
  <c r="P269" i="6"/>
  <c r="P263" i="6"/>
  <c r="P247" i="6"/>
  <c r="P231" i="6"/>
  <c r="P500" i="6"/>
  <c r="P495" i="6"/>
  <c r="P438" i="6"/>
  <c r="P425" i="6"/>
  <c r="P417" i="6"/>
  <c r="P383" i="6"/>
  <c r="P354" i="6"/>
  <c r="P341" i="6"/>
  <c r="P308" i="6"/>
  <c r="P302" i="6"/>
  <c r="P296" i="6"/>
  <c r="P293" i="6"/>
  <c r="P290" i="6"/>
  <c r="P287" i="6"/>
  <c r="P284" i="6"/>
  <c r="P260" i="6"/>
  <c r="P244" i="6"/>
  <c r="P228" i="6"/>
  <c r="P212" i="6"/>
  <c r="P196" i="6"/>
  <c r="P180" i="6"/>
  <c r="P164" i="6"/>
  <c r="P148" i="6"/>
  <c r="P132" i="6"/>
  <c r="P116" i="6"/>
  <c r="P100" i="6"/>
  <c r="P84" i="6"/>
  <c r="P469" i="6"/>
  <c r="P446" i="6"/>
  <c r="P412" i="6"/>
  <c r="P404" i="6"/>
  <c r="P325" i="6"/>
  <c r="P299" i="6"/>
  <c r="P257" i="6"/>
  <c r="P241" i="6"/>
  <c r="P225" i="6"/>
  <c r="P209" i="6"/>
  <c r="P193" i="6"/>
  <c r="P177" i="6"/>
  <c r="P161" i="6"/>
  <c r="P145" i="6"/>
  <c r="P129" i="6"/>
  <c r="P482" i="6"/>
  <c r="P464" i="6"/>
  <c r="P441" i="6"/>
  <c r="P433" i="6"/>
  <c r="P399" i="6"/>
  <c r="P370" i="6"/>
  <c r="P357" i="6"/>
  <c r="P336" i="6"/>
  <c r="P328" i="6"/>
  <c r="P254" i="6"/>
  <c r="P238" i="6"/>
  <c r="P222" i="6"/>
  <c r="P206" i="6"/>
  <c r="P190" i="6"/>
  <c r="P174" i="6"/>
  <c r="P158" i="6"/>
  <c r="P142" i="6"/>
  <c r="P126" i="6"/>
  <c r="P110" i="6"/>
  <c r="P454" i="6"/>
  <c r="P428" i="6"/>
  <c r="P420" i="6"/>
  <c r="P386" i="6"/>
  <c r="P320" i="6"/>
  <c r="P251" i="6"/>
  <c r="P235" i="6"/>
  <c r="P219" i="6"/>
  <c r="P203" i="6"/>
  <c r="P187" i="6"/>
  <c r="P171" i="6"/>
  <c r="P155" i="6"/>
  <c r="P139" i="6"/>
  <c r="P123" i="6"/>
  <c r="P107" i="6"/>
  <c r="P91" i="6"/>
  <c r="P75" i="6"/>
  <c r="P59" i="6"/>
  <c r="P39" i="6"/>
  <c r="P498" i="6"/>
  <c r="P485" i="6"/>
  <c r="P462" i="6"/>
  <c r="P415" i="6"/>
  <c r="P373" i="6"/>
  <c r="P352" i="6"/>
  <c r="P279" i="6"/>
  <c r="P273" i="6"/>
  <c r="P270" i="6"/>
  <c r="P264" i="6"/>
  <c r="P248" i="6"/>
  <c r="P232" i="6"/>
  <c r="P216" i="6"/>
  <c r="P200" i="6"/>
  <c r="P184" i="6"/>
  <c r="P168" i="6"/>
  <c r="P152" i="6"/>
  <c r="P136" i="6"/>
  <c r="P120" i="6"/>
  <c r="P104" i="6"/>
  <c r="P88" i="6"/>
  <c r="P72" i="6"/>
  <c r="P62" i="6"/>
  <c r="P67" i="6"/>
  <c r="P98" i="6"/>
  <c r="P147" i="6"/>
  <c r="P199" i="6"/>
  <c r="P301" i="6"/>
  <c r="V144" i="5"/>
  <c r="V160" i="5"/>
  <c r="U163" i="5"/>
  <c r="P163" i="5" s="1"/>
  <c r="U179" i="5"/>
  <c r="P179" i="5" s="1"/>
  <c r="T182" i="5"/>
  <c r="T198" i="5"/>
  <c r="F10" i="6"/>
  <c r="P130" i="6"/>
  <c r="P137" i="6"/>
  <c r="P149" i="6"/>
  <c r="P185" i="6"/>
  <c r="S195" i="6"/>
  <c r="P227" i="6"/>
  <c r="S269" i="6"/>
  <c r="S278" i="6"/>
  <c r="S293" i="6"/>
  <c r="S333" i="6"/>
  <c r="S416" i="6"/>
  <c r="S461" i="6"/>
  <c r="S499" i="6"/>
  <c r="S12" i="7"/>
  <c r="T153" i="5"/>
  <c r="V163" i="5"/>
  <c r="T169" i="5"/>
  <c r="V179" i="5"/>
  <c r="T185" i="5"/>
  <c r="V195" i="5"/>
  <c r="T201" i="5"/>
  <c r="P42" i="6"/>
  <c r="P49" i="6"/>
  <c r="P56" i="6"/>
  <c r="P69" i="6"/>
  <c r="S70" i="6"/>
  <c r="S83" i="6"/>
  <c r="P105" i="6"/>
  <c r="P115" i="6"/>
  <c r="S118" i="6"/>
  <c r="S152" i="6"/>
  <c r="P154" i="6"/>
  <c r="S164" i="6"/>
  <c r="P178" i="6"/>
  <c r="P215" i="6"/>
  <c r="P243" i="6"/>
  <c r="P286" i="6"/>
  <c r="S295" i="6"/>
  <c r="P348" i="6"/>
  <c r="P382" i="6"/>
  <c r="P431" i="6"/>
  <c r="P494" i="6"/>
  <c r="U153" i="5"/>
  <c r="P153" i="5" s="1"/>
  <c r="U169" i="5"/>
  <c r="P169" i="5" s="1"/>
  <c r="U185" i="5"/>
  <c r="P185" i="5" s="1"/>
  <c r="U201" i="5"/>
  <c r="P201" i="5" s="1"/>
  <c r="T204" i="5"/>
  <c r="P7" i="6"/>
  <c r="P21" i="6"/>
  <c r="P28" i="6"/>
  <c r="P90" i="6"/>
  <c r="P117" i="6"/>
  <c r="P201" i="6"/>
  <c r="P259" i="6"/>
  <c r="P268" i="6"/>
  <c r="P277" i="6"/>
  <c r="P350" i="6"/>
  <c r="T22" i="7"/>
  <c r="V201" i="5"/>
  <c r="U204" i="5"/>
  <c r="P204" i="5" s="1"/>
  <c r="U159" i="5"/>
  <c r="P159" i="5" s="1"/>
  <c r="T194" i="5"/>
  <c r="V204" i="5"/>
  <c r="S100" i="6"/>
  <c r="S199" i="6"/>
  <c r="S227" i="6"/>
  <c r="S284" i="6"/>
  <c r="S474" i="6"/>
  <c r="T133" i="5"/>
  <c r="V143" i="5"/>
  <c r="T149" i="5"/>
  <c r="V159" i="5"/>
  <c r="T165" i="5"/>
  <c r="V175" i="5"/>
  <c r="T181" i="5"/>
  <c r="T197" i="5"/>
  <c r="S42" i="6"/>
  <c r="S49" i="6"/>
  <c r="S115" i="6"/>
  <c r="S132" i="6"/>
  <c r="S243" i="6"/>
  <c r="S266" i="6"/>
  <c r="S275" i="6"/>
  <c r="S286" i="6"/>
  <c r="T136" i="5"/>
  <c r="U149" i="5"/>
  <c r="P149" i="5" s="1"/>
  <c r="Q149" i="5" s="1"/>
  <c r="T152" i="5"/>
  <c r="U165" i="5"/>
  <c r="P165" i="5" s="1"/>
  <c r="T168" i="5"/>
  <c r="U181" i="5"/>
  <c r="P181" i="5" s="1"/>
  <c r="T184" i="5"/>
  <c r="U197" i="5"/>
  <c r="P197" i="5" s="1"/>
  <c r="T200" i="5"/>
  <c r="P6" i="6"/>
  <c r="P13" i="6"/>
  <c r="P32" i="6"/>
  <c r="P37" i="6"/>
  <c r="P38" i="6"/>
  <c r="P71" i="6"/>
  <c r="P119" i="6"/>
  <c r="P146" i="6"/>
  <c r="P153" i="6"/>
  <c r="S168" i="6"/>
  <c r="P170" i="6"/>
  <c r="S180" i="6"/>
  <c r="S215" i="6"/>
  <c r="P249" i="6"/>
  <c r="S259" i="6"/>
  <c r="S290" i="6"/>
  <c r="P300" i="6"/>
  <c r="P361" i="6"/>
  <c r="P390" i="6"/>
  <c r="S5" i="7"/>
  <c r="T155" i="5"/>
  <c r="T171" i="5"/>
  <c r="T187" i="5"/>
  <c r="T203" i="5"/>
  <c r="P33" i="6"/>
  <c r="P36" i="6"/>
  <c r="P55" i="6"/>
  <c r="P58" i="6"/>
  <c r="P89" i="6"/>
  <c r="P214" i="6"/>
  <c r="P226" i="6"/>
  <c r="P265" i="6"/>
  <c r="V136" i="5"/>
  <c r="U139" i="5"/>
  <c r="P139" i="5" s="1"/>
  <c r="V152" i="5"/>
  <c r="U155" i="5"/>
  <c r="P155" i="5" s="1"/>
  <c r="V168" i="5"/>
  <c r="U171" i="5"/>
  <c r="P171" i="5" s="1"/>
  <c r="V184" i="5"/>
  <c r="U187" i="5"/>
  <c r="P187" i="5" s="1"/>
  <c r="T190" i="5"/>
  <c r="V200" i="5"/>
  <c r="U203" i="5"/>
  <c r="P203" i="5" s="1"/>
  <c r="P9" i="6"/>
  <c r="P34" i="6"/>
  <c r="P47" i="6"/>
  <c r="P68" i="6"/>
  <c r="S82" i="6"/>
  <c r="S87" i="6"/>
  <c r="P99" i="6"/>
  <c r="S102" i="6"/>
  <c r="P114" i="6"/>
  <c r="S134" i="6"/>
  <c r="S151" i="6"/>
  <c r="P167" i="6"/>
  <c r="S196" i="6"/>
  <c r="P242" i="6"/>
  <c r="S247" i="6"/>
  <c r="P274" i="6"/>
  <c r="P283" i="6"/>
  <c r="S307" i="6"/>
  <c r="P313" i="6"/>
  <c r="S316" i="6"/>
  <c r="P421" i="6"/>
  <c r="P51" i="6"/>
  <c r="P81" i="6"/>
  <c r="P86" i="6"/>
  <c r="P94" i="6"/>
  <c r="P101" i="6"/>
  <c r="P131" i="6"/>
  <c r="P150" i="6"/>
  <c r="P230" i="6"/>
  <c r="P258" i="6"/>
  <c r="S263" i="6"/>
  <c r="P324" i="6"/>
  <c r="P340" i="6"/>
  <c r="P374" i="6"/>
  <c r="P486" i="6"/>
  <c r="M29" i="7"/>
  <c r="M88" i="7"/>
  <c r="S337" i="6"/>
  <c r="S442" i="6"/>
  <c r="F33" i="7"/>
  <c r="T8" i="7"/>
  <c r="M58" i="7"/>
  <c r="M64" i="7"/>
  <c r="M17" i="7"/>
  <c r="M33" i="7"/>
  <c r="S282" i="6"/>
  <c r="S402" i="6"/>
  <c r="S415" i="6"/>
  <c r="M201" i="7"/>
  <c r="M184" i="7"/>
  <c r="M205" i="7"/>
  <c r="M188" i="7"/>
  <c r="M192" i="7"/>
  <c r="M177" i="7"/>
  <c r="M43" i="7"/>
  <c r="M196" i="7"/>
  <c r="M181" i="7"/>
  <c r="M200" i="7"/>
  <c r="M185" i="7"/>
  <c r="M204" i="7"/>
  <c r="M189" i="7"/>
  <c r="M193" i="7"/>
  <c r="M176" i="7"/>
  <c r="M197" i="7"/>
  <c r="M180" i="7"/>
  <c r="M244" i="7"/>
  <c r="M239" i="7"/>
  <c r="M212" i="7"/>
  <c r="M207" i="7"/>
  <c r="M202" i="7"/>
  <c r="M167" i="7"/>
  <c r="M151" i="7"/>
  <c r="M135" i="7"/>
  <c r="M119" i="7"/>
  <c r="M103" i="7"/>
  <c r="M87" i="7"/>
  <c r="M71" i="7"/>
  <c r="M47" i="7"/>
  <c r="M38" i="7"/>
  <c r="M12" i="7"/>
  <c r="M234" i="7"/>
  <c r="M229" i="7"/>
  <c r="M160" i="7"/>
  <c r="M144" i="7"/>
  <c r="M128" i="7"/>
  <c r="M112" i="7"/>
  <c r="M96" i="7"/>
  <c r="M80" i="7"/>
  <c r="M224" i="7"/>
  <c r="M219" i="7"/>
  <c r="M199" i="7"/>
  <c r="M194" i="7"/>
  <c r="M169" i="7"/>
  <c r="M153" i="7"/>
  <c r="M137" i="7"/>
  <c r="M121" i="7"/>
  <c r="M105" i="7"/>
  <c r="M89" i="7"/>
  <c r="M73" i="7"/>
  <c r="M57" i="7"/>
  <c r="M6" i="7"/>
  <c r="M241" i="7"/>
  <c r="M214" i="7"/>
  <c r="M209" i="7"/>
  <c r="M162" i="7"/>
  <c r="M146" i="7"/>
  <c r="M130" i="7"/>
  <c r="M114" i="7"/>
  <c r="M98" i="7"/>
  <c r="M82" i="7"/>
  <c r="M66" i="7"/>
  <c r="M54" i="7"/>
  <c r="M31" i="7"/>
  <c r="M236" i="7"/>
  <c r="M231" i="7"/>
  <c r="M191" i="7"/>
  <c r="M186" i="7"/>
  <c r="M171" i="7"/>
  <c r="M155" i="7"/>
  <c r="M139" i="7"/>
  <c r="M123" i="7"/>
  <c r="M107" i="7"/>
  <c r="M91" i="7"/>
  <c r="M75" i="7"/>
  <c r="M59" i="7"/>
  <c r="M51" i="7"/>
  <c r="M42" i="7"/>
  <c r="M35" i="7"/>
  <c r="M20" i="7"/>
  <c r="M16" i="7"/>
  <c r="M226" i="7"/>
  <c r="M221" i="7"/>
  <c r="M164" i="7"/>
  <c r="M148" i="7"/>
  <c r="M132" i="7"/>
  <c r="M116" i="7"/>
  <c r="M100" i="7"/>
  <c r="M84" i="7"/>
  <c r="M68" i="7"/>
  <c r="M48" i="7"/>
  <c r="M21" i="7"/>
  <c r="M13" i="7"/>
  <c r="M243" i="7"/>
  <c r="M216" i="7"/>
  <c r="M211" i="7"/>
  <c r="M183" i="7"/>
  <c r="M178" i="7"/>
  <c r="M173" i="7"/>
  <c r="M157" i="7"/>
  <c r="M141" i="7"/>
  <c r="M125" i="7"/>
  <c r="M109" i="7"/>
  <c r="M93" i="7"/>
  <c r="M77" i="7"/>
  <c r="M61" i="7"/>
  <c r="M39" i="7"/>
  <c r="M22" i="7"/>
  <c r="M238" i="7"/>
  <c r="M233" i="7"/>
  <c r="M206" i="7"/>
  <c r="M166" i="7"/>
  <c r="M150" i="7"/>
  <c r="M134" i="7"/>
  <c r="M118" i="7"/>
  <c r="M102" i="7"/>
  <c r="M86" i="7"/>
  <c r="M70" i="7"/>
  <c r="M23" i="7"/>
  <c r="M228" i="7"/>
  <c r="M223" i="7"/>
  <c r="M175" i="7"/>
  <c r="M159" i="7"/>
  <c r="M143" i="7"/>
  <c r="M127" i="7"/>
  <c r="M111" i="7"/>
  <c r="M95" i="7"/>
  <c r="M79" i="7"/>
  <c r="M63" i="7"/>
  <c r="M55" i="7"/>
  <c r="M44" i="7"/>
  <c r="M32" i="7"/>
  <c r="M28" i="7"/>
  <c r="M24" i="7"/>
  <c r="M218" i="7"/>
  <c r="M213" i="7"/>
  <c r="M203" i="7"/>
  <c r="M198" i="7"/>
  <c r="M168" i="7"/>
  <c r="M152" i="7"/>
  <c r="M240" i="7"/>
  <c r="M235" i="7"/>
  <c r="M208" i="7"/>
  <c r="M161" i="7"/>
  <c r="M145" i="7"/>
  <c r="M129" i="7"/>
  <c r="M113" i="7"/>
  <c r="M97" i="7"/>
  <c r="M230" i="7"/>
  <c r="M225" i="7"/>
  <c r="M195" i="7"/>
  <c r="M190" i="7"/>
  <c r="M170" i="7"/>
  <c r="M154" i="7"/>
  <c r="M138" i="7"/>
  <c r="M122" i="7"/>
  <c r="M106" i="7"/>
  <c r="M90" i="7"/>
  <c r="M74" i="7"/>
  <c r="M220" i="7"/>
  <c r="M215" i="7"/>
  <c r="M163" i="7"/>
  <c r="M147" i="7"/>
  <c r="M131" i="7"/>
  <c r="M115" i="7"/>
  <c r="M99" i="7"/>
  <c r="M83" i="7"/>
  <c r="M67" i="7"/>
  <c r="M8" i="7"/>
  <c r="M242" i="7"/>
  <c r="M237" i="7"/>
  <c r="M210" i="7"/>
  <c r="M187" i="7"/>
  <c r="M182" i="7"/>
  <c r="M172" i="7"/>
  <c r="M156" i="7"/>
  <c r="M140" i="7"/>
  <c r="M124" i="7"/>
  <c r="M108" i="7"/>
  <c r="M92" i="7"/>
  <c r="M76" i="7"/>
  <c r="M60" i="7"/>
  <c r="M56" i="7"/>
  <c r="M232" i="7"/>
  <c r="M227" i="7"/>
  <c r="M165" i="7"/>
  <c r="M149" i="7"/>
  <c r="M133" i="7"/>
  <c r="M117" i="7"/>
  <c r="M101" i="7"/>
  <c r="M85" i="7"/>
  <c r="M69" i="7"/>
  <c r="M53" i="7"/>
  <c r="M34" i="7"/>
  <c r="M30" i="7"/>
  <c r="M26" i="7"/>
  <c r="M18" i="7"/>
  <c r="M222" i="7"/>
  <c r="M217" i="7"/>
  <c r="M179" i="7"/>
  <c r="M174" i="7"/>
  <c r="M158" i="7"/>
  <c r="M142" i="7"/>
  <c r="M126" i="7"/>
  <c r="M110" i="7"/>
  <c r="M94" i="7"/>
  <c r="M78" i="7"/>
  <c r="M62" i="7"/>
  <c r="M50" i="7"/>
  <c r="M15" i="7"/>
  <c r="M37" i="7"/>
  <c r="M41" i="7"/>
  <c r="M120" i="7"/>
  <c r="M10" i="7"/>
  <c r="S386" i="6"/>
  <c r="S399" i="6"/>
  <c r="S433" i="6"/>
  <c r="B37" i="7"/>
  <c r="M46" i="7"/>
  <c r="M136" i="7"/>
  <c r="S370" i="6"/>
  <c r="S394" i="6"/>
  <c r="T10" i="7"/>
  <c r="M14" i="7"/>
  <c r="F37" i="7"/>
  <c r="M7" i="7"/>
  <c r="M65" i="7"/>
  <c r="E25" i="7"/>
  <c r="M49" i="7"/>
  <c r="M36" i="7"/>
  <c r="S330" i="6"/>
  <c r="S346" i="6"/>
  <c r="M25" i="7"/>
  <c r="M40" i="7"/>
  <c r="M45" i="7"/>
  <c r="M81" i="7"/>
  <c r="S463" i="6"/>
  <c r="M27" i="7"/>
  <c r="M72" i="7"/>
  <c r="B33" i="7"/>
  <c r="B29" i="7"/>
  <c r="M11" i="7"/>
  <c r="F29" i="7"/>
  <c r="M52" i="7"/>
  <c r="S289" i="6"/>
  <c r="T64" i="7"/>
  <c r="T80" i="7"/>
  <c r="T96" i="7"/>
  <c r="T112" i="7"/>
  <c r="T128" i="7"/>
  <c r="T38" i="7"/>
  <c r="T47" i="7"/>
  <c r="T34" i="7"/>
  <c r="T53" i="7"/>
  <c r="T76" i="7"/>
  <c r="T92" i="7"/>
  <c r="T108" i="7"/>
  <c r="T55" i="7"/>
  <c r="T70" i="7"/>
  <c r="T86" i="7"/>
  <c r="T102" i="7"/>
  <c r="T118" i="7"/>
  <c r="T42" i="7"/>
  <c r="T51" i="7"/>
  <c r="T201" i="7"/>
  <c r="T197" i="7"/>
  <c r="M8" i="8"/>
  <c r="N8" i="8" s="1"/>
  <c r="O8" i="8" s="1"/>
  <c r="M5" i="8"/>
  <c r="M44" i="8"/>
  <c r="N44" i="8" s="1"/>
  <c r="O44" i="8" s="1"/>
  <c r="M30" i="8"/>
  <c r="N30" i="8" s="1"/>
  <c r="O30" i="8" s="1"/>
  <c r="T193" i="7"/>
  <c r="M14" i="8"/>
  <c r="N14" i="8" s="1"/>
  <c r="O14" i="8" s="1"/>
  <c r="T189" i="7"/>
  <c r="T185" i="7"/>
  <c r="Q5" i="8"/>
  <c r="P301" i="8"/>
  <c r="Q301" i="8" s="1"/>
  <c r="P285" i="8"/>
  <c r="Q285" i="8" s="1"/>
  <c r="P269" i="8"/>
  <c r="Q269" i="8" s="1"/>
  <c r="P253" i="8"/>
  <c r="Q253" i="8" s="1"/>
  <c r="P237" i="8"/>
  <c r="Q237" i="8" s="1"/>
  <c r="P221" i="8"/>
  <c r="Q221" i="8" s="1"/>
  <c r="P205" i="8"/>
  <c r="Q205" i="8" s="1"/>
  <c r="P189" i="8"/>
  <c r="Q189" i="8" s="1"/>
  <c r="P173" i="8"/>
  <c r="Q173" i="8" s="1"/>
  <c r="P157" i="8"/>
  <c r="Q157" i="8" s="1"/>
  <c r="P141" i="8"/>
  <c r="Q141" i="8" s="1"/>
  <c r="P125" i="8"/>
  <c r="Q125" i="8" s="1"/>
  <c r="P109" i="8"/>
  <c r="Q109" i="8" s="1"/>
  <c r="P93" i="8"/>
  <c r="Q93" i="8" s="1"/>
  <c r="P304" i="8"/>
  <c r="Q304" i="8" s="1"/>
  <c r="P288" i="8"/>
  <c r="Q288" i="8" s="1"/>
  <c r="P272" i="8"/>
  <c r="Q272" i="8" s="1"/>
  <c r="P256" i="8"/>
  <c r="Q256" i="8" s="1"/>
  <c r="P240" i="8"/>
  <c r="Q240" i="8" s="1"/>
  <c r="P224" i="8"/>
  <c r="Q224" i="8" s="1"/>
  <c r="P208" i="8"/>
  <c r="Q208" i="8" s="1"/>
  <c r="P192" i="8"/>
  <c r="Q192" i="8" s="1"/>
  <c r="P176" i="8"/>
  <c r="Q176" i="8" s="1"/>
  <c r="P160" i="8"/>
  <c r="Q160" i="8" s="1"/>
  <c r="P144" i="8"/>
  <c r="Q144" i="8" s="1"/>
  <c r="P128" i="8"/>
  <c r="Q128" i="8" s="1"/>
  <c r="P112" i="8"/>
  <c r="Q112" i="8" s="1"/>
  <c r="P96" i="8"/>
  <c r="Q96" i="8" s="1"/>
  <c r="P80" i="8"/>
  <c r="Q80" i="8" s="1"/>
  <c r="P65" i="8"/>
  <c r="Q65" i="8" s="1"/>
  <c r="P291" i="8"/>
  <c r="Q291" i="8" s="1"/>
  <c r="P275" i="8"/>
  <c r="Q275" i="8" s="1"/>
  <c r="P259" i="8"/>
  <c r="Q259" i="8" s="1"/>
  <c r="P243" i="8"/>
  <c r="Q243" i="8" s="1"/>
  <c r="P227" i="8"/>
  <c r="Q227" i="8" s="1"/>
  <c r="P211" i="8"/>
  <c r="Q211" i="8" s="1"/>
  <c r="P195" i="8"/>
  <c r="Q195" i="8" s="1"/>
  <c r="P179" i="8"/>
  <c r="Q179" i="8" s="1"/>
  <c r="P163" i="8"/>
  <c r="Q163" i="8" s="1"/>
  <c r="P147" i="8"/>
  <c r="Q147" i="8" s="1"/>
  <c r="P131" i="8"/>
  <c r="Q131" i="8" s="1"/>
  <c r="P115" i="8"/>
  <c r="Q115" i="8" s="1"/>
  <c r="P99" i="8"/>
  <c r="Q99" i="8" s="1"/>
  <c r="P83" i="8"/>
  <c r="Q83" i="8" s="1"/>
  <c r="P77" i="8"/>
  <c r="Q77" i="8" s="1"/>
  <c r="P68" i="8"/>
  <c r="Q68" i="8" s="1"/>
  <c r="P294" i="8"/>
  <c r="Q294" i="8" s="1"/>
  <c r="P278" i="8"/>
  <c r="Q278" i="8" s="1"/>
  <c r="P262" i="8"/>
  <c r="Q262" i="8" s="1"/>
  <c r="P246" i="8"/>
  <c r="Q246" i="8" s="1"/>
  <c r="P230" i="8"/>
  <c r="Q230" i="8" s="1"/>
  <c r="P214" i="8"/>
  <c r="Q214" i="8" s="1"/>
  <c r="P198" i="8"/>
  <c r="Q198" i="8" s="1"/>
  <c r="P182" i="8"/>
  <c r="Q182" i="8" s="1"/>
  <c r="P166" i="8"/>
  <c r="Q166" i="8" s="1"/>
  <c r="P150" i="8"/>
  <c r="Q150" i="8" s="1"/>
  <c r="P134" i="8"/>
  <c r="Q134" i="8" s="1"/>
  <c r="P118" i="8"/>
  <c r="Q118" i="8" s="1"/>
  <c r="P102" i="8"/>
  <c r="Q102" i="8" s="1"/>
  <c r="P86" i="8"/>
  <c r="Q86" i="8" s="1"/>
  <c r="P71" i="8"/>
  <c r="Q71" i="8" s="1"/>
  <c r="P55" i="8"/>
  <c r="Q55" i="8" s="1"/>
  <c r="P297" i="8"/>
  <c r="Q297" i="8" s="1"/>
  <c r="P281" i="8"/>
  <c r="Q281" i="8" s="1"/>
  <c r="P265" i="8"/>
  <c r="Q265" i="8" s="1"/>
  <c r="P249" i="8"/>
  <c r="Q249" i="8" s="1"/>
  <c r="P233" i="8"/>
  <c r="Q233" i="8" s="1"/>
  <c r="P217" i="8"/>
  <c r="Q217" i="8" s="1"/>
  <c r="P201" i="8"/>
  <c r="Q201" i="8" s="1"/>
  <c r="P185" i="8"/>
  <c r="Q185" i="8" s="1"/>
  <c r="P169" i="8"/>
  <c r="Q169" i="8" s="1"/>
  <c r="P153" i="8"/>
  <c r="Q153" i="8" s="1"/>
  <c r="P137" i="8"/>
  <c r="Q137" i="8" s="1"/>
  <c r="P121" i="8"/>
  <c r="Q121" i="8" s="1"/>
  <c r="P105" i="8"/>
  <c r="Q105" i="8" s="1"/>
  <c r="P89" i="8"/>
  <c r="Q89" i="8" s="1"/>
  <c r="P74" i="8"/>
  <c r="Q74" i="8" s="1"/>
  <c r="P58" i="8"/>
  <c r="Q58" i="8" s="1"/>
  <c r="P300" i="8"/>
  <c r="Q300" i="8" s="1"/>
  <c r="P284" i="8"/>
  <c r="Q284" i="8" s="1"/>
  <c r="P268" i="8"/>
  <c r="Q268" i="8" s="1"/>
  <c r="P252" i="8"/>
  <c r="Q252" i="8" s="1"/>
  <c r="P236" i="8"/>
  <c r="Q236" i="8" s="1"/>
  <c r="P220" i="8"/>
  <c r="Q220" i="8" s="1"/>
  <c r="P204" i="8"/>
  <c r="Q204" i="8" s="1"/>
  <c r="P188" i="8"/>
  <c r="Q188" i="8" s="1"/>
  <c r="P172" i="8"/>
  <c r="Q172" i="8" s="1"/>
  <c r="P156" i="8"/>
  <c r="Q156" i="8" s="1"/>
  <c r="P140" i="8"/>
  <c r="Q140" i="8" s="1"/>
  <c r="P124" i="8"/>
  <c r="Q124" i="8" s="1"/>
  <c r="P108" i="8"/>
  <c r="Q108" i="8" s="1"/>
  <c r="P92" i="8"/>
  <c r="Q92" i="8" s="1"/>
  <c r="P61" i="8"/>
  <c r="Q61" i="8" s="1"/>
  <c r="P303" i="8"/>
  <c r="Q303" i="8" s="1"/>
  <c r="P287" i="8"/>
  <c r="Q287" i="8" s="1"/>
  <c r="P271" i="8"/>
  <c r="Q271" i="8" s="1"/>
  <c r="P255" i="8"/>
  <c r="Q255" i="8" s="1"/>
  <c r="P239" i="8"/>
  <c r="Q239" i="8" s="1"/>
  <c r="P223" i="8"/>
  <c r="Q223" i="8" s="1"/>
  <c r="P207" i="8"/>
  <c r="Q207" i="8" s="1"/>
  <c r="P191" i="8"/>
  <c r="Q191" i="8" s="1"/>
  <c r="P175" i="8"/>
  <c r="Q175" i="8" s="1"/>
  <c r="P159" i="8"/>
  <c r="Q159" i="8" s="1"/>
  <c r="P143" i="8"/>
  <c r="Q143" i="8" s="1"/>
  <c r="P127" i="8"/>
  <c r="Q127" i="8" s="1"/>
  <c r="P111" i="8"/>
  <c r="Q111" i="8" s="1"/>
  <c r="P95" i="8"/>
  <c r="Q95" i="8" s="1"/>
  <c r="P79" i="8"/>
  <c r="Q79" i="8" s="1"/>
  <c r="P64" i="8"/>
  <c r="Q64" i="8" s="1"/>
  <c r="P51" i="8"/>
  <c r="Q51" i="8" s="1"/>
  <c r="P290" i="8"/>
  <c r="Q290" i="8" s="1"/>
  <c r="P274" i="8"/>
  <c r="Q274" i="8" s="1"/>
  <c r="P258" i="8"/>
  <c r="Q258" i="8" s="1"/>
  <c r="P242" i="8"/>
  <c r="Q242" i="8" s="1"/>
  <c r="P226" i="8"/>
  <c r="Q226" i="8" s="1"/>
  <c r="P210" i="8"/>
  <c r="Q210" i="8" s="1"/>
  <c r="P194" i="8"/>
  <c r="Q194" i="8" s="1"/>
  <c r="P178" i="8"/>
  <c r="Q178" i="8" s="1"/>
  <c r="P162" i="8"/>
  <c r="Q162" i="8" s="1"/>
  <c r="P146" i="8"/>
  <c r="Q146" i="8" s="1"/>
  <c r="P130" i="8"/>
  <c r="Q130" i="8" s="1"/>
  <c r="P114" i="8"/>
  <c r="Q114" i="8" s="1"/>
  <c r="P98" i="8"/>
  <c r="Q98" i="8" s="1"/>
  <c r="P82" i="8"/>
  <c r="Q82" i="8" s="1"/>
  <c r="P67" i="8"/>
  <c r="Q67" i="8" s="1"/>
  <c r="P293" i="8"/>
  <c r="Q293" i="8" s="1"/>
  <c r="P277" i="8"/>
  <c r="Q277" i="8" s="1"/>
  <c r="P261" i="8"/>
  <c r="Q261" i="8" s="1"/>
  <c r="P245" i="8"/>
  <c r="Q245" i="8" s="1"/>
  <c r="P229" i="8"/>
  <c r="Q229" i="8" s="1"/>
  <c r="P213" i="8"/>
  <c r="Q213" i="8" s="1"/>
  <c r="P197" i="8"/>
  <c r="Q197" i="8" s="1"/>
  <c r="P181" i="8"/>
  <c r="Q181" i="8" s="1"/>
  <c r="P165" i="8"/>
  <c r="Q165" i="8" s="1"/>
  <c r="P149" i="8"/>
  <c r="Q149" i="8" s="1"/>
  <c r="P133" i="8"/>
  <c r="Q133" i="8" s="1"/>
  <c r="P117" i="8"/>
  <c r="Q117" i="8" s="1"/>
  <c r="P101" i="8"/>
  <c r="Q101" i="8" s="1"/>
  <c r="P85" i="8"/>
  <c r="Q85" i="8" s="1"/>
  <c r="P76" i="8"/>
  <c r="Q76" i="8" s="1"/>
  <c r="P70" i="8"/>
  <c r="Q70" i="8" s="1"/>
  <c r="P296" i="8"/>
  <c r="Q296" i="8" s="1"/>
  <c r="P280" i="8"/>
  <c r="Q280" i="8" s="1"/>
  <c r="P264" i="8"/>
  <c r="Q264" i="8" s="1"/>
  <c r="P248" i="8"/>
  <c r="Q248" i="8" s="1"/>
  <c r="P232" i="8"/>
  <c r="Q232" i="8" s="1"/>
  <c r="P216" i="8"/>
  <c r="Q216" i="8" s="1"/>
  <c r="P200" i="8"/>
  <c r="Q200" i="8" s="1"/>
  <c r="P184" i="8"/>
  <c r="Q184" i="8" s="1"/>
  <c r="P168" i="8"/>
  <c r="Q168" i="8" s="1"/>
  <c r="P152" i="8"/>
  <c r="Q152" i="8" s="1"/>
  <c r="P136" i="8"/>
  <c r="Q136" i="8" s="1"/>
  <c r="P120" i="8"/>
  <c r="Q120" i="8" s="1"/>
  <c r="P104" i="8"/>
  <c r="Q104" i="8" s="1"/>
  <c r="P88" i="8"/>
  <c r="Q88" i="8" s="1"/>
  <c r="P73" i="8"/>
  <c r="Q73" i="8" s="1"/>
  <c r="P57" i="8"/>
  <c r="Q57" i="8" s="1"/>
  <c r="P299" i="8"/>
  <c r="Q299" i="8" s="1"/>
  <c r="P283" i="8"/>
  <c r="Q283" i="8" s="1"/>
  <c r="P267" i="8"/>
  <c r="Q267" i="8" s="1"/>
  <c r="P251" i="8"/>
  <c r="Q251" i="8" s="1"/>
  <c r="P235" i="8"/>
  <c r="Q235" i="8" s="1"/>
  <c r="P219" i="8"/>
  <c r="Q219" i="8" s="1"/>
  <c r="P203" i="8"/>
  <c r="Q203" i="8" s="1"/>
  <c r="P187" i="8"/>
  <c r="Q187" i="8" s="1"/>
  <c r="P171" i="8"/>
  <c r="Q171" i="8" s="1"/>
  <c r="P155" i="8"/>
  <c r="Q155" i="8" s="1"/>
  <c r="P139" i="8"/>
  <c r="Q139" i="8" s="1"/>
  <c r="P123" i="8"/>
  <c r="Q123" i="8" s="1"/>
  <c r="P107" i="8"/>
  <c r="Q107" i="8" s="1"/>
  <c r="P91" i="8"/>
  <c r="Q91" i="8" s="1"/>
  <c r="P60" i="8"/>
  <c r="Q60" i="8" s="1"/>
  <c r="P302" i="8"/>
  <c r="Q302" i="8" s="1"/>
  <c r="P286" i="8"/>
  <c r="Q286" i="8" s="1"/>
  <c r="P270" i="8"/>
  <c r="Q270" i="8" s="1"/>
  <c r="P254" i="8"/>
  <c r="Q254" i="8" s="1"/>
  <c r="P238" i="8"/>
  <c r="Q238" i="8" s="1"/>
  <c r="P222" i="8"/>
  <c r="Q222" i="8" s="1"/>
  <c r="P206" i="8"/>
  <c r="Q206" i="8" s="1"/>
  <c r="P190" i="8"/>
  <c r="Q190" i="8" s="1"/>
  <c r="P174" i="8"/>
  <c r="Q174" i="8" s="1"/>
  <c r="P158" i="8"/>
  <c r="Q158" i="8" s="1"/>
  <c r="P142" i="8"/>
  <c r="Q142" i="8" s="1"/>
  <c r="P126" i="8"/>
  <c r="Q126" i="8" s="1"/>
  <c r="P110" i="8"/>
  <c r="Q110" i="8" s="1"/>
  <c r="P94" i="8"/>
  <c r="Q94" i="8" s="1"/>
  <c r="P63" i="8"/>
  <c r="Q63" i="8" s="1"/>
  <c r="P289" i="8"/>
  <c r="Q289" i="8" s="1"/>
  <c r="P273" i="8"/>
  <c r="Q273" i="8" s="1"/>
  <c r="P257" i="8"/>
  <c r="Q257" i="8" s="1"/>
  <c r="P241" i="8"/>
  <c r="Q241" i="8" s="1"/>
  <c r="P225" i="8"/>
  <c r="Q225" i="8" s="1"/>
  <c r="P209" i="8"/>
  <c r="Q209" i="8" s="1"/>
  <c r="P193" i="8"/>
  <c r="Q193" i="8" s="1"/>
  <c r="P177" i="8"/>
  <c r="Q177" i="8" s="1"/>
  <c r="P161" i="8"/>
  <c r="Q161" i="8" s="1"/>
  <c r="P145" i="8"/>
  <c r="Q145" i="8" s="1"/>
  <c r="P129" i="8"/>
  <c r="Q129" i="8" s="1"/>
  <c r="P113" i="8"/>
  <c r="Q113" i="8" s="1"/>
  <c r="P97" i="8"/>
  <c r="Q97" i="8" s="1"/>
  <c r="P81" i="8"/>
  <c r="Q81" i="8" s="1"/>
  <c r="P78" i="8"/>
  <c r="Q78" i="8" s="1"/>
  <c r="P66" i="8"/>
  <c r="Q66" i="8" s="1"/>
  <c r="P292" i="8"/>
  <c r="Q292" i="8" s="1"/>
  <c r="P276" i="8"/>
  <c r="Q276" i="8" s="1"/>
  <c r="P260" i="8"/>
  <c r="Q260" i="8" s="1"/>
  <c r="P244" i="8"/>
  <c r="Q244" i="8" s="1"/>
  <c r="P228" i="8"/>
  <c r="Q228" i="8" s="1"/>
  <c r="P212" i="8"/>
  <c r="Q212" i="8" s="1"/>
  <c r="P196" i="8"/>
  <c r="Q196" i="8" s="1"/>
  <c r="P180" i="8"/>
  <c r="Q180" i="8" s="1"/>
  <c r="P164" i="8"/>
  <c r="Q164" i="8" s="1"/>
  <c r="P148" i="8"/>
  <c r="Q148" i="8" s="1"/>
  <c r="P132" i="8"/>
  <c r="Q132" i="8" s="1"/>
  <c r="P116" i="8"/>
  <c r="Q116" i="8" s="1"/>
  <c r="P100" i="8"/>
  <c r="Q100" i="8" s="1"/>
  <c r="P84" i="8"/>
  <c r="Q84" i="8" s="1"/>
  <c r="P69" i="8"/>
  <c r="Q69" i="8" s="1"/>
  <c r="P54" i="8"/>
  <c r="Q54" i="8" s="1"/>
  <c r="P295" i="8"/>
  <c r="Q295" i="8" s="1"/>
  <c r="P279" i="8"/>
  <c r="Q279" i="8" s="1"/>
  <c r="P263" i="8"/>
  <c r="Q263" i="8" s="1"/>
  <c r="P247" i="8"/>
  <c r="Q247" i="8" s="1"/>
  <c r="P231" i="8"/>
  <c r="Q231" i="8" s="1"/>
  <c r="P215" i="8"/>
  <c r="Q215" i="8" s="1"/>
  <c r="P199" i="8"/>
  <c r="Q199" i="8" s="1"/>
  <c r="P183" i="8"/>
  <c r="Q183" i="8" s="1"/>
  <c r="P167" i="8"/>
  <c r="Q167" i="8" s="1"/>
  <c r="P151" i="8"/>
  <c r="Q151" i="8" s="1"/>
  <c r="P135" i="8"/>
  <c r="Q135" i="8" s="1"/>
  <c r="P119" i="8"/>
  <c r="Q119" i="8" s="1"/>
  <c r="P103" i="8"/>
  <c r="Q103" i="8" s="1"/>
  <c r="P87" i="8"/>
  <c r="Q87" i="8" s="1"/>
  <c r="P75" i="8"/>
  <c r="Q75" i="8" s="1"/>
  <c r="P72" i="8"/>
  <c r="Q72" i="8" s="1"/>
  <c r="P56" i="8"/>
  <c r="Q56" i="8" s="1"/>
  <c r="P298" i="8"/>
  <c r="Q298" i="8" s="1"/>
  <c r="P282" i="8"/>
  <c r="Q282" i="8" s="1"/>
  <c r="P266" i="8"/>
  <c r="Q266" i="8" s="1"/>
  <c r="P250" i="8"/>
  <c r="Q250" i="8" s="1"/>
  <c r="P234" i="8"/>
  <c r="Q234" i="8" s="1"/>
  <c r="P218" i="8"/>
  <c r="Q218" i="8" s="1"/>
  <c r="P202" i="8"/>
  <c r="Q202" i="8" s="1"/>
  <c r="P186" i="8"/>
  <c r="Q186" i="8" s="1"/>
  <c r="P170" i="8"/>
  <c r="Q170" i="8" s="1"/>
  <c r="P154" i="8"/>
  <c r="Q154" i="8" s="1"/>
  <c r="P138" i="8"/>
  <c r="Q138" i="8" s="1"/>
  <c r="P122" i="8"/>
  <c r="Q122" i="8" s="1"/>
  <c r="P106" i="8"/>
  <c r="Q106" i="8" s="1"/>
  <c r="P90" i="8"/>
  <c r="Q90" i="8" s="1"/>
  <c r="P59" i="8"/>
  <c r="Q59" i="8" s="1"/>
  <c r="P41" i="8"/>
  <c r="Q41" i="8" s="1"/>
  <c r="P37" i="8"/>
  <c r="Q37" i="8" s="1"/>
  <c r="P29" i="8"/>
  <c r="Q29" i="8" s="1"/>
  <c r="P18" i="8"/>
  <c r="Q18" i="8" s="1"/>
  <c r="P48" i="8"/>
  <c r="Q48" i="8" s="1"/>
  <c r="P16" i="8"/>
  <c r="Q16" i="8" s="1"/>
  <c r="P45" i="8"/>
  <c r="Q45" i="8" s="1"/>
  <c r="P9" i="8"/>
  <c r="Q9" i="8" s="1"/>
  <c r="P6" i="8"/>
  <c r="P43" i="8"/>
  <c r="Q43" i="8" s="1"/>
  <c r="P34" i="8"/>
  <c r="Q34" i="8" s="1"/>
  <c r="P26" i="8"/>
  <c r="Q26" i="8" s="1"/>
  <c r="P23" i="8"/>
  <c r="Q23" i="8" s="1"/>
  <c r="P12" i="8"/>
  <c r="Q12" i="8" s="1"/>
  <c r="P62" i="8"/>
  <c r="Q62" i="8" s="1"/>
  <c r="P40" i="8"/>
  <c r="Q40" i="8" s="1"/>
  <c r="P28" i="8"/>
  <c r="Q28" i="8" s="1"/>
  <c r="P20" i="8"/>
  <c r="Q20" i="8" s="1"/>
  <c r="P17" i="8"/>
  <c r="Q17" i="8" s="1"/>
  <c r="P31" i="8"/>
  <c r="Q31" i="8" s="1"/>
  <c r="P50" i="8"/>
  <c r="Q50" i="8" s="1"/>
  <c r="P53" i="8"/>
  <c r="Q53" i="8" s="1"/>
  <c r="P33" i="8"/>
  <c r="Q33" i="8" s="1"/>
  <c r="P25" i="8"/>
  <c r="Q25" i="8" s="1"/>
  <c r="P11" i="8"/>
  <c r="Q11" i="8" s="1"/>
  <c r="P47" i="8"/>
  <c r="Q47" i="8" s="1"/>
  <c r="P36" i="8"/>
  <c r="Q36" i="8" s="1"/>
  <c r="P22" i="8"/>
  <c r="Q22" i="8" s="1"/>
  <c r="P14" i="8"/>
  <c r="Q14" i="8" s="1"/>
  <c r="P44" i="8"/>
  <c r="Q44" i="8" s="1"/>
  <c r="P30" i="8"/>
  <c r="Q30" i="8" s="1"/>
  <c r="P19" i="8"/>
  <c r="Q19" i="8" s="1"/>
  <c r="P49" i="8"/>
  <c r="Q49" i="8" s="1"/>
  <c r="P32" i="8"/>
  <c r="Q32" i="8" s="1"/>
  <c r="P24" i="8"/>
  <c r="Q24" i="8" s="1"/>
  <c r="P15" i="8"/>
  <c r="Q15" i="8" s="1"/>
  <c r="P10" i="8"/>
  <c r="Q10" i="8" s="1"/>
  <c r="P7" i="8"/>
  <c r="Q7" i="8" s="1"/>
  <c r="P52" i="8"/>
  <c r="Q52" i="8" s="1"/>
  <c r="P46" i="8"/>
  <c r="Q46" i="8" s="1"/>
  <c r="P39" i="8"/>
  <c r="Q39" i="8" s="1"/>
  <c r="P35" i="8"/>
  <c r="Q35" i="8" s="1"/>
  <c r="P27" i="8"/>
  <c r="Q27" i="8" s="1"/>
  <c r="T181" i="7"/>
  <c r="P21" i="8"/>
  <c r="Q21" i="8" s="1"/>
  <c r="M36" i="8"/>
  <c r="N36" i="8" s="1"/>
  <c r="O36" i="8" s="1"/>
  <c r="T177" i="7"/>
  <c r="M22" i="8"/>
  <c r="N22" i="8" s="1"/>
  <c r="O22" i="8" s="1"/>
  <c r="N47" i="8"/>
  <c r="O47" i="8" s="1"/>
  <c r="T205" i="7"/>
  <c r="N49" i="8"/>
  <c r="O49" i="8" s="1"/>
  <c r="M11" i="8"/>
  <c r="N11" i="8" s="1"/>
  <c r="O11" i="8" s="1"/>
  <c r="M25" i="8"/>
  <c r="N25" i="8" s="1"/>
  <c r="O25" i="8" s="1"/>
  <c r="M33" i="8"/>
  <c r="N33" i="8" s="1"/>
  <c r="O33" i="8" s="1"/>
  <c r="M292" i="8"/>
  <c r="N292" i="8" s="1"/>
  <c r="O292" i="8" s="1"/>
  <c r="M276" i="8"/>
  <c r="N276" i="8" s="1"/>
  <c r="O276" i="8" s="1"/>
  <c r="M260" i="8"/>
  <c r="N260" i="8" s="1"/>
  <c r="O260" i="8" s="1"/>
  <c r="M244" i="8"/>
  <c r="N244" i="8" s="1"/>
  <c r="O244" i="8" s="1"/>
  <c r="M228" i="8"/>
  <c r="N228" i="8" s="1"/>
  <c r="O228" i="8" s="1"/>
  <c r="M212" i="8"/>
  <c r="N212" i="8" s="1"/>
  <c r="O212" i="8" s="1"/>
  <c r="M196" i="8"/>
  <c r="N196" i="8" s="1"/>
  <c r="O196" i="8" s="1"/>
  <c r="M180" i="8"/>
  <c r="N180" i="8" s="1"/>
  <c r="O180" i="8" s="1"/>
  <c r="M164" i="8"/>
  <c r="N164" i="8" s="1"/>
  <c r="O164" i="8" s="1"/>
  <c r="M148" i="8"/>
  <c r="N148" i="8" s="1"/>
  <c r="O148" i="8" s="1"/>
  <c r="M132" i="8"/>
  <c r="N132" i="8" s="1"/>
  <c r="O132" i="8" s="1"/>
  <c r="M116" i="8"/>
  <c r="N116" i="8" s="1"/>
  <c r="O116" i="8" s="1"/>
  <c r="M100" i="8"/>
  <c r="N100" i="8" s="1"/>
  <c r="O100" i="8" s="1"/>
  <c r="M84" i="8"/>
  <c r="N84" i="8" s="1"/>
  <c r="O84" i="8" s="1"/>
  <c r="M295" i="8"/>
  <c r="N295" i="8" s="1"/>
  <c r="O295" i="8" s="1"/>
  <c r="M279" i="8"/>
  <c r="N279" i="8" s="1"/>
  <c r="O279" i="8" s="1"/>
  <c r="M263" i="8"/>
  <c r="N263" i="8" s="1"/>
  <c r="O263" i="8" s="1"/>
  <c r="M247" i="8"/>
  <c r="N247" i="8" s="1"/>
  <c r="O247" i="8" s="1"/>
  <c r="M231" i="8"/>
  <c r="N231" i="8" s="1"/>
  <c r="O231" i="8" s="1"/>
  <c r="M215" i="8"/>
  <c r="N215" i="8" s="1"/>
  <c r="O215" i="8" s="1"/>
  <c r="M199" i="8"/>
  <c r="N199" i="8" s="1"/>
  <c r="O199" i="8" s="1"/>
  <c r="M183" i="8"/>
  <c r="N183" i="8" s="1"/>
  <c r="O183" i="8" s="1"/>
  <c r="M167" i="8"/>
  <c r="N167" i="8" s="1"/>
  <c r="O167" i="8" s="1"/>
  <c r="M151" i="8"/>
  <c r="N151" i="8" s="1"/>
  <c r="O151" i="8" s="1"/>
  <c r="M135" i="8"/>
  <c r="N135" i="8" s="1"/>
  <c r="O135" i="8" s="1"/>
  <c r="M119" i="8"/>
  <c r="N119" i="8" s="1"/>
  <c r="O119" i="8" s="1"/>
  <c r="M103" i="8"/>
  <c r="N103" i="8" s="1"/>
  <c r="O103" i="8" s="1"/>
  <c r="M87" i="8"/>
  <c r="N87" i="8" s="1"/>
  <c r="O87" i="8" s="1"/>
  <c r="M75" i="8"/>
  <c r="N75" i="8" s="1"/>
  <c r="O75" i="8" s="1"/>
  <c r="M72" i="8"/>
  <c r="N72" i="8" s="1"/>
  <c r="O72" i="8" s="1"/>
  <c r="M56" i="8"/>
  <c r="N56" i="8" s="1"/>
  <c r="O56" i="8" s="1"/>
  <c r="M298" i="8"/>
  <c r="N298" i="8" s="1"/>
  <c r="O298" i="8" s="1"/>
  <c r="M282" i="8"/>
  <c r="N282" i="8" s="1"/>
  <c r="O282" i="8" s="1"/>
  <c r="M266" i="8"/>
  <c r="N266" i="8" s="1"/>
  <c r="O266" i="8" s="1"/>
  <c r="M250" i="8"/>
  <c r="N250" i="8" s="1"/>
  <c r="O250" i="8" s="1"/>
  <c r="M234" i="8"/>
  <c r="N234" i="8" s="1"/>
  <c r="O234" i="8" s="1"/>
  <c r="M218" i="8"/>
  <c r="N218" i="8" s="1"/>
  <c r="O218" i="8" s="1"/>
  <c r="M202" i="8"/>
  <c r="N202" i="8" s="1"/>
  <c r="O202" i="8" s="1"/>
  <c r="M186" i="8"/>
  <c r="N186" i="8" s="1"/>
  <c r="O186" i="8" s="1"/>
  <c r="M170" i="8"/>
  <c r="N170" i="8" s="1"/>
  <c r="O170" i="8" s="1"/>
  <c r="M154" i="8"/>
  <c r="N154" i="8" s="1"/>
  <c r="O154" i="8" s="1"/>
  <c r="M138" i="8"/>
  <c r="N138" i="8" s="1"/>
  <c r="O138" i="8" s="1"/>
  <c r="M122" i="8"/>
  <c r="N122" i="8" s="1"/>
  <c r="O122" i="8" s="1"/>
  <c r="M106" i="8"/>
  <c r="N106" i="8" s="1"/>
  <c r="O106" i="8" s="1"/>
  <c r="M90" i="8"/>
  <c r="N90" i="8" s="1"/>
  <c r="O90" i="8" s="1"/>
  <c r="M59" i="8"/>
  <c r="N59" i="8" s="1"/>
  <c r="O59" i="8" s="1"/>
  <c r="M301" i="8"/>
  <c r="N301" i="8" s="1"/>
  <c r="O301" i="8" s="1"/>
  <c r="M285" i="8"/>
  <c r="N285" i="8" s="1"/>
  <c r="O285" i="8" s="1"/>
  <c r="M269" i="8"/>
  <c r="N269" i="8" s="1"/>
  <c r="O269" i="8" s="1"/>
  <c r="M253" i="8"/>
  <c r="N253" i="8" s="1"/>
  <c r="O253" i="8" s="1"/>
  <c r="M237" i="8"/>
  <c r="N237" i="8" s="1"/>
  <c r="O237" i="8" s="1"/>
  <c r="M221" i="8"/>
  <c r="N221" i="8" s="1"/>
  <c r="O221" i="8" s="1"/>
  <c r="M205" i="8"/>
  <c r="N205" i="8" s="1"/>
  <c r="O205" i="8" s="1"/>
  <c r="M189" i="8"/>
  <c r="N189" i="8" s="1"/>
  <c r="O189" i="8" s="1"/>
  <c r="M173" i="8"/>
  <c r="N173" i="8" s="1"/>
  <c r="O173" i="8" s="1"/>
  <c r="M157" i="8"/>
  <c r="N157" i="8" s="1"/>
  <c r="O157" i="8" s="1"/>
  <c r="M141" i="8"/>
  <c r="N141" i="8" s="1"/>
  <c r="O141" i="8" s="1"/>
  <c r="M125" i="8"/>
  <c r="N125" i="8" s="1"/>
  <c r="O125" i="8" s="1"/>
  <c r="M109" i="8"/>
  <c r="N109" i="8" s="1"/>
  <c r="O109" i="8" s="1"/>
  <c r="M93" i="8"/>
  <c r="N93" i="8" s="1"/>
  <c r="O93" i="8" s="1"/>
  <c r="M62" i="8"/>
  <c r="N62" i="8" s="1"/>
  <c r="O62" i="8" s="1"/>
  <c r="M304" i="8"/>
  <c r="N304" i="8" s="1"/>
  <c r="O304" i="8" s="1"/>
  <c r="M288" i="8"/>
  <c r="N288" i="8" s="1"/>
  <c r="O288" i="8" s="1"/>
  <c r="M272" i="8"/>
  <c r="N272" i="8" s="1"/>
  <c r="O272" i="8" s="1"/>
  <c r="M256" i="8"/>
  <c r="N256" i="8" s="1"/>
  <c r="O256" i="8" s="1"/>
  <c r="M240" i="8"/>
  <c r="N240" i="8" s="1"/>
  <c r="O240" i="8" s="1"/>
  <c r="M224" i="8"/>
  <c r="N224" i="8" s="1"/>
  <c r="O224" i="8" s="1"/>
  <c r="M208" i="8"/>
  <c r="N208" i="8" s="1"/>
  <c r="O208" i="8" s="1"/>
  <c r="M192" i="8"/>
  <c r="N192" i="8" s="1"/>
  <c r="O192" i="8" s="1"/>
  <c r="M176" i="8"/>
  <c r="N176" i="8" s="1"/>
  <c r="O176" i="8" s="1"/>
  <c r="M160" i="8"/>
  <c r="N160" i="8" s="1"/>
  <c r="O160" i="8" s="1"/>
  <c r="M144" i="8"/>
  <c r="N144" i="8" s="1"/>
  <c r="O144" i="8" s="1"/>
  <c r="M128" i="8"/>
  <c r="N128" i="8" s="1"/>
  <c r="O128" i="8" s="1"/>
  <c r="M112" i="8"/>
  <c r="N112" i="8" s="1"/>
  <c r="O112" i="8" s="1"/>
  <c r="M96" i="8"/>
  <c r="N96" i="8" s="1"/>
  <c r="O96" i="8" s="1"/>
  <c r="M80" i="8"/>
  <c r="N80" i="8" s="1"/>
  <c r="O80" i="8" s="1"/>
  <c r="M65" i="8"/>
  <c r="N65" i="8" s="1"/>
  <c r="O65" i="8" s="1"/>
  <c r="M291" i="8"/>
  <c r="N291" i="8" s="1"/>
  <c r="O291" i="8" s="1"/>
  <c r="M275" i="8"/>
  <c r="N275" i="8" s="1"/>
  <c r="O275" i="8" s="1"/>
  <c r="M259" i="8"/>
  <c r="N259" i="8" s="1"/>
  <c r="O259" i="8" s="1"/>
  <c r="M243" i="8"/>
  <c r="N243" i="8" s="1"/>
  <c r="O243" i="8" s="1"/>
  <c r="M227" i="8"/>
  <c r="N227" i="8" s="1"/>
  <c r="O227" i="8" s="1"/>
  <c r="M211" i="8"/>
  <c r="N211" i="8" s="1"/>
  <c r="O211" i="8" s="1"/>
  <c r="M195" i="8"/>
  <c r="N195" i="8" s="1"/>
  <c r="O195" i="8" s="1"/>
  <c r="M179" i="8"/>
  <c r="N179" i="8" s="1"/>
  <c r="O179" i="8" s="1"/>
  <c r="M163" i="8"/>
  <c r="N163" i="8" s="1"/>
  <c r="O163" i="8" s="1"/>
  <c r="M147" i="8"/>
  <c r="N147" i="8" s="1"/>
  <c r="O147" i="8" s="1"/>
  <c r="M131" i="8"/>
  <c r="N131" i="8" s="1"/>
  <c r="O131" i="8" s="1"/>
  <c r="M115" i="8"/>
  <c r="N115" i="8" s="1"/>
  <c r="O115" i="8" s="1"/>
  <c r="M99" i="8"/>
  <c r="N99" i="8" s="1"/>
  <c r="O99" i="8" s="1"/>
  <c r="M83" i="8"/>
  <c r="N83" i="8" s="1"/>
  <c r="O83" i="8" s="1"/>
  <c r="M77" i="8"/>
  <c r="N77" i="8" s="1"/>
  <c r="O77" i="8" s="1"/>
  <c r="M68" i="8"/>
  <c r="N68" i="8" s="1"/>
  <c r="O68" i="8" s="1"/>
  <c r="M294" i="8"/>
  <c r="N294" i="8" s="1"/>
  <c r="O294" i="8" s="1"/>
  <c r="M278" i="8"/>
  <c r="N278" i="8" s="1"/>
  <c r="O278" i="8" s="1"/>
  <c r="M262" i="8"/>
  <c r="N262" i="8" s="1"/>
  <c r="O262" i="8" s="1"/>
  <c r="M246" i="8"/>
  <c r="N246" i="8" s="1"/>
  <c r="O246" i="8" s="1"/>
  <c r="M230" i="8"/>
  <c r="N230" i="8" s="1"/>
  <c r="O230" i="8" s="1"/>
  <c r="M214" i="8"/>
  <c r="N214" i="8" s="1"/>
  <c r="O214" i="8" s="1"/>
  <c r="M198" i="8"/>
  <c r="N198" i="8" s="1"/>
  <c r="O198" i="8" s="1"/>
  <c r="M182" i="8"/>
  <c r="N182" i="8" s="1"/>
  <c r="O182" i="8" s="1"/>
  <c r="M166" i="8"/>
  <c r="N166" i="8" s="1"/>
  <c r="O166" i="8" s="1"/>
  <c r="M150" i="8"/>
  <c r="N150" i="8" s="1"/>
  <c r="O150" i="8" s="1"/>
  <c r="M134" i="8"/>
  <c r="N134" i="8" s="1"/>
  <c r="O134" i="8" s="1"/>
  <c r="M118" i="8"/>
  <c r="N118" i="8" s="1"/>
  <c r="O118" i="8" s="1"/>
  <c r="M102" i="8"/>
  <c r="N102" i="8" s="1"/>
  <c r="O102" i="8" s="1"/>
  <c r="M86" i="8"/>
  <c r="N86" i="8" s="1"/>
  <c r="O86" i="8" s="1"/>
  <c r="M71" i="8"/>
  <c r="N71" i="8" s="1"/>
  <c r="O71" i="8" s="1"/>
  <c r="M55" i="8"/>
  <c r="N55" i="8" s="1"/>
  <c r="O55" i="8" s="1"/>
  <c r="M46" i="8"/>
  <c r="N46" i="8" s="1"/>
  <c r="O46" i="8" s="1"/>
  <c r="M42" i="8"/>
  <c r="N42" i="8" s="1"/>
  <c r="O42" i="8" s="1"/>
  <c r="M297" i="8"/>
  <c r="N297" i="8" s="1"/>
  <c r="O297" i="8" s="1"/>
  <c r="M281" i="8"/>
  <c r="N281" i="8" s="1"/>
  <c r="O281" i="8" s="1"/>
  <c r="M265" i="8"/>
  <c r="N265" i="8" s="1"/>
  <c r="O265" i="8" s="1"/>
  <c r="M249" i="8"/>
  <c r="N249" i="8" s="1"/>
  <c r="O249" i="8" s="1"/>
  <c r="M233" i="8"/>
  <c r="N233" i="8" s="1"/>
  <c r="O233" i="8" s="1"/>
  <c r="M217" i="8"/>
  <c r="N217" i="8" s="1"/>
  <c r="O217" i="8" s="1"/>
  <c r="M201" i="8"/>
  <c r="N201" i="8" s="1"/>
  <c r="O201" i="8" s="1"/>
  <c r="M185" i="8"/>
  <c r="N185" i="8" s="1"/>
  <c r="O185" i="8" s="1"/>
  <c r="M169" i="8"/>
  <c r="N169" i="8" s="1"/>
  <c r="O169" i="8" s="1"/>
  <c r="M153" i="8"/>
  <c r="N153" i="8" s="1"/>
  <c r="O153" i="8" s="1"/>
  <c r="M137" i="8"/>
  <c r="N137" i="8" s="1"/>
  <c r="O137" i="8" s="1"/>
  <c r="M121" i="8"/>
  <c r="N121" i="8" s="1"/>
  <c r="O121" i="8" s="1"/>
  <c r="M105" i="8"/>
  <c r="N105" i="8" s="1"/>
  <c r="O105" i="8" s="1"/>
  <c r="M89" i="8"/>
  <c r="N89" i="8" s="1"/>
  <c r="O89" i="8" s="1"/>
  <c r="M74" i="8"/>
  <c r="N74" i="8" s="1"/>
  <c r="O74" i="8" s="1"/>
  <c r="M58" i="8"/>
  <c r="N58" i="8" s="1"/>
  <c r="O58" i="8" s="1"/>
  <c r="M300" i="8"/>
  <c r="N300" i="8" s="1"/>
  <c r="O300" i="8" s="1"/>
  <c r="M284" i="8"/>
  <c r="N284" i="8" s="1"/>
  <c r="O284" i="8" s="1"/>
  <c r="M268" i="8"/>
  <c r="N268" i="8" s="1"/>
  <c r="O268" i="8" s="1"/>
  <c r="M252" i="8"/>
  <c r="N252" i="8" s="1"/>
  <c r="O252" i="8" s="1"/>
  <c r="M236" i="8"/>
  <c r="N236" i="8" s="1"/>
  <c r="O236" i="8" s="1"/>
  <c r="M220" i="8"/>
  <c r="N220" i="8" s="1"/>
  <c r="O220" i="8" s="1"/>
  <c r="M204" i="8"/>
  <c r="N204" i="8" s="1"/>
  <c r="O204" i="8" s="1"/>
  <c r="M188" i="8"/>
  <c r="N188" i="8" s="1"/>
  <c r="O188" i="8" s="1"/>
  <c r="M172" i="8"/>
  <c r="N172" i="8" s="1"/>
  <c r="O172" i="8" s="1"/>
  <c r="M156" i="8"/>
  <c r="N156" i="8" s="1"/>
  <c r="O156" i="8" s="1"/>
  <c r="M140" i="8"/>
  <c r="N140" i="8" s="1"/>
  <c r="O140" i="8" s="1"/>
  <c r="M124" i="8"/>
  <c r="N124" i="8" s="1"/>
  <c r="O124" i="8" s="1"/>
  <c r="M108" i="8"/>
  <c r="N108" i="8" s="1"/>
  <c r="O108" i="8" s="1"/>
  <c r="M92" i="8"/>
  <c r="N92" i="8" s="1"/>
  <c r="O92" i="8" s="1"/>
  <c r="M61" i="8"/>
  <c r="N61" i="8" s="1"/>
  <c r="O61" i="8" s="1"/>
  <c r="M303" i="8"/>
  <c r="N303" i="8" s="1"/>
  <c r="O303" i="8" s="1"/>
  <c r="M287" i="8"/>
  <c r="N287" i="8" s="1"/>
  <c r="O287" i="8" s="1"/>
  <c r="M271" i="8"/>
  <c r="N271" i="8" s="1"/>
  <c r="O271" i="8" s="1"/>
  <c r="M255" i="8"/>
  <c r="N255" i="8" s="1"/>
  <c r="O255" i="8" s="1"/>
  <c r="M239" i="8"/>
  <c r="N239" i="8" s="1"/>
  <c r="O239" i="8" s="1"/>
  <c r="M223" i="8"/>
  <c r="N223" i="8" s="1"/>
  <c r="O223" i="8" s="1"/>
  <c r="M207" i="8"/>
  <c r="N207" i="8" s="1"/>
  <c r="O207" i="8" s="1"/>
  <c r="M191" i="8"/>
  <c r="N191" i="8" s="1"/>
  <c r="O191" i="8" s="1"/>
  <c r="M175" i="8"/>
  <c r="N175" i="8" s="1"/>
  <c r="O175" i="8" s="1"/>
  <c r="M159" i="8"/>
  <c r="N159" i="8" s="1"/>
  <c r="O159" i="8" s="1"/>
  <c r="M143" i="8"/>
  <c r="N143" i="8" s="1"/>
  <c r="O143" i="8" s="1"/>
  <c r="M127" i="8"/>
  <c r="N127" i="8" s="1"/>
  <c r="O127" i="8" s="1"/>
  <c r="M111" i="8"/>
  <c r="N111" i="8" s="1"/>
  <c r="O111" i="8" s="1"/>
  <c r="M95" i="8"/>
  <c r="N95" i="8" s="1"/>
  <c r="O95" i="8" s="1"/>
  <c r="M79" i="8"/>
  <c r="N79" i="8" s="1"/>
  <c r="O79" i="8" s="1"/>
  <c r="M64" i="8"/>
  <c r="N64" i="8" s="1"/>
  <c r="O64" i="8" s="1"/>
  <c r="M290" i="8"/>
  <c r="N290" i="8" s="1"/>
  <c r="O290" i="8" s="1"/>
  <c r="M274" i="8"/>
  <c r="N274" i="8" s="1"/>
  <c r="O274" i="8" s="1"/>
  <c r="M258" i="8"/>
  <c r="N258" i="8" s="1"/>
  <c r="O258" i="8" s="1"/>
  <c r="M242" i="8"/>
  <c r="N242" i="8" s="1"/>
  <c r="O242" i="8" s="1"/>
  <c r="M226" i="8"/>
  <c r="N226" i="8" s="1"/>
  <c r="O226" i="8" s="1"/>
  <c r="M210" i="8"/>
  <c r="N210" i="8" s="1"/>
  <c r="O210" i="8" s="1"/>
  <c r="M194" i="8"/>
  <c r="N194" i="8" s="1"/>
  <c r="O194" i="8" s="1"/>
  <c r="M178" i="8"/>
  <c r="N178" i="8" s="1"/>
  <c r="O178" i="8" s="1"/>
  <c r="M162" i="8"/>
  <c r="N162" i="8" s="1"/>
  <c r="O162" i="8" s="1"/>
  <c r="M146" i="8"/>
  <c r="N146" i="8" s="1"/>
  <c r="O146" i="8" s="1"/>
  <c r="M130" i="8"/>
  <c r="N130" i="8" s="1"/>
  <c r="O130" i="8" s="1"/>
  <c r="M114" i="8"/>
  <c r="N114" i="8" s="1"/>
  <c r="O114" i="8" s="1"/>
  <c r="M98" i="8"/>
  <c r="N98" i="8" s="1"/>
  <c r="O98" i="8" s="1"/>
  <c r="M82" i="8"/>
  <c r="N82" i="8" s="1"/>
  <c r="O82" i="8" s="1"/>
  <c r="M67" i="8"/>
  <c r="N67" i="8" s="1"/>
  <c r="O67" i="8" s="1"/>
  <c r="M293" i="8"/>
  <c r="N293" i="8" s="1"/>
  <c r="O293" i="8" s="1"/>
  <c r="M277" i="8"/>
  <c r="N277" i="8" s="1"/>
  <c r="O277" i="8" s="1"/>
  <c r="M261" i="8"/>
  <c r="N261" i="8" s="1"/>
  <c r="O261" i="8" s="1"/>
  <c r="M245" i="8"/>
  <c r="N245" i="8" s="1"/>
  <c r="O245" i="8" s="1"/>
  <c r="M229" i="8"/>
  <c r="N229" i="8" s="1"/>
  <c r="O229" i="8" s="1"/>
  <c r="M213" i="8"/>
  <c r="N213" i="8" s="1"/>
  <c r="O213" i="8" s="1"/>
  <c r="M197" i="8"/>
  <c r="N197" i="8" s="1"/>
  <c r="O197" i="8" s="1"/>
  <c r="M181" i="8"/>
  <c r="N181" i="8" s="1"/>
  <c r="O181" i="8" s="1"/>
  <c r="M165" i="8"/>
  <c r="N165" i="8" s="1"/>
  <c r="O165" i="8" s="1"/>
  <c r="M149" i="8"/>
  <c r="N149" i="8" s="1"/>
  <c r="O149" i="8" s="1"/>
  <c r="M133" i="8"/>
  <c r="N133" i="8" s="1"/>
  <c r="O133" i="8" s="1"/>
  <c r="M117" i="8"/>
  <c r="N117" i="8" s="1"/>
  <c r="O117" i="8" s="1"/>
  <c r="M101" i="8"/>
  <c r="N101" i="8" s="1"/>
  <c r="O101" i="8" s="1"/>
  <c r="M85" i="8"/>
  <c r="N85" i="8" s="1"/>
  <c r="O85" i="8" s="1"/>
  <c r="M76" i="8"/>
  <c r="N76" i="8" s="1"/>
  <c r="O76" i="8" s="1"/>
  <c r="M70" i="8"/>
  <c r="N70" i="8" s="1"/>
  <c r="O70" i="8" s="1"/>
  <c r="M296" i="8"/>
  <c r="N296" i="8" s="1"/>
  <c r="O296" i="8" s="1"/>
  <c r="M280" i="8"/>
  <c r="N280" i="8" s="1"/>
  <c r="O280" i="8" s="1"/>
  <c r="M264" i="8"/>
  <c r="N264" i="8" s="1"/>
  <c r="O264" i="8" s="1"/>
  <c r="M248" i="8"/>
  <c r="N248" i="8" s="1"/>
  <c r="O248" i="8" s="1"/>
  <c r="M232" i="8"/>
  <c r="N232" i="8" s="1"/>
  <c r="O232" i="8" s="1"/>
  <c r="M216" i="8"/>
  <c r="N216" i="8" s="1"/>
  <c r="O216" i="8" s="1"/>
  <c r="M200" i="8"/>
  <c r="N200" i="8" s="1"/>
  <c r="O200" i="8" s="1"/>
  <c r="M184" i="8"/>
  <c r="N184" i="8" s="1"/>
  <c r="O184" i="8" s="1"/>
  <c r="M168" i="8"/>
  <c r="N168" i="8" s="1"/>
  <c r="O168" i="8" s="1"/>
  <c r="M152" i="8"/>
  <c r="N152" i="8" s="1"/>
  <c r="O152" i="8" s="1"/>
  <c r="M136" i="8"/>
  <c r="N136" i="8" s="1"/>
  <c r="O136" i="8" s="1"/>
  <c r="M120" i="8"/>
  <c r="N120" i="8" s="1"/>
  <c r="O120" i="8" s="1"/>
  <c r="M104" i="8"/>
  <c r="N104" i="8" s="1"/>
  <c r="O104" i="8" s="1"/>
  <c r="M88" i="8"/>
  <c r="N88" i="8" s="1"/>
  <c r="O88" i="8" s="1"/>
  <c r="M73" i="8"/>
  <c r="N73" i="8" s="1"/>
  <c r="O73" i="8" s="1"/>
  <c r="M57" i="8"/>
  <c r="N57" i="8" s="1"/>
  <c r="O57" i="8" s="1"/>
  <c r="M299" i="8"/>
  <c r="N299" i="8" s="1"/>
  <c r="O299" i="8" s="1"/>
  <c r="M283" i="8"/>
  <c r="N283" i="8" s="1"/>
  <c r="O283" i="8" s="1"/>
  <c r="M267" i="8"/>
  <c r="N267" i="8" s="1"/>
  <c r="O267" i="8" s="1"/>
  <c r="M251" i="8"/>
  <c r="N251" i="8" s="1"/>
  <c r="O251" i="8" s="1"/>
  <c r="M235" i="8"/>
  <c r="N235" i="8" s="1"/>
  <c r="O235" i="8" s="1"/>
  <c r="M219" i="8"/>
  <c r="N219" i="8" s="1"/>
  <c r="O219" i="8" s="1"/>
  <c r="M203" i="8"/>
  <c r="N203" i="8" s="1"/>
  <c r="O203" i="8" s="1"/>
  <c r="M187" i="8"/>
  <c r="N187" i="8" s="1"/>
  <c r="O187" i="8" s="1"/>
  <c r="M171" i="8"/>
  <c r="N171" i="8" s="1"/>
  <c r="O171" i="8" s="1"/>
  <c r="M155" i="8"/>
  <c r="N155" i="8" s="1"/>
  <c r="O155" i="8" s="1"/>
  <c r="M139" i="8"/>
  <c r="N139" i="8" s="1"/>
  <c r="O139" i="8" s="1"/>
  <c r="M123" i="8"/>
  <c r="N123" i="8" s="1"/>
  <c r="O123" i="8" s="1"/>
  <c r="M107" i="8"/>
  <c r="N107" i="8" s="1"/>
  <c r="O107" i="8" s="1"/>
  <c r="M91" i="8"/>
  <c r="N91" i="8" s="1"/>
  <c r="O91" i="8" s="1"/>
  <c r="M60" i="8"/>
  <c r="N60" i="8" s="1"/>
  <c r="O60" i="8" s="1"/>
  <c r="M302" i="8"/>
  <c r="N302" i="8" s="1"/>
  <c r="O302" i="8" s="1"/>
  <c r="M286" i="8"/>
  <c r="N286" i="8" s="1"/>
  <c r="O286" i="8" s="1"/>
  <c r="M270" i="8"/>
  <c r="N270" i="8" s="1"/>
  <c r="O270" i="8" s="1"/>
  <c r="M254" i="8"/>
  <c r="N254" i="8" s="1"/>
  <c r="O254" i="8" s="1"/>
  <c r="M238" i="8"/>
  <c r="N238" i="8" s="1"/>
  <c r="O238" i="8" s="1"/>
  <c r="M222" i="8"/>
  <c r="N222" i="8" s="1"/>
  <c r="O222" i="8" s="1"/>
  <c r="M206" i="8"/>
  <c r="N206" i="8" s="1"/>
  <c r="O206" i="8" s="1"/>
  <c r="M190" i="8"/>
  <c r="N190" i="8" s="1"/>
  <c r="O190" i="8" s="1"/>
  <c r="M174" i="8"/>
  <c r="N174" i="8" s="1"/>
  <c r="O174" i="8" s="1"/>
  <c r="M158" i="8"/>
  <c r="N158" i="8" s="1"/>
  <c r="O158" i="8" s="1"/>
  <c r="M142" i="8"/>
  <c r="N142" i="8" s="1"/>
  <c r="O142" i="8" s="1"/>
  <c r="M126" i="8"/>
  <c r="N126" i="8" s="1"/>
  <c r="O126" i="8" s="1"/>
  <c r="M110" i="8"/>
  <c r="N110" i="8" s="1"/>
  <c r="O110" i="8" s="1"/>
  <c r="M94" i="8"/>
  <c r="N94" i="8" s="1"/>
  <c r="O94" i="8" s="1"/>
  <c r="M63" i="8"/>
  <c r="N63" i="8" s="1"/>
  <c r="O63" i="8" s="1"/>
  <c r="M289" i="8"/>
  <c r="N289" i="8" s="1"/>
  <c r="O289" i="8" s="1"/>
  <c r="M273" i="8"/>
  <c r="N273" i="8" s="1"/>
  <c r="O273" i="8" s="1"/>
  <c r="M257" i="8"/>
  <c r="N257" i="8" s="1"/>
  <c r="O257" i="8" s="1"/>
  <c r="M241" i="8"/>
  <c r="N241" i="8" s="1"/>
  <c r="O241" i="8" s="1"/>
  <c r="M225" i="8"/>
  <c r="N225" i="8" s="1"/>
  <c r="O225" i="8" s="1"/>
  <c r="M209" i="8"/>
  <c r="N209" i="8" s="1"/>
  <c r="O209" i="8" s="1"/>
  <c r="M193" i="8"/>
  <c r="N193" i="8" s="1"/>
  <c r="O193" i="8" s="1"/>
  <c r="M177" i="8"/>
  <c r="N177" i="8" s="1"/>
  <c r="O177" i="8" s="1"/>
  <c r="M161" i="8"/>
  <c r="N161" i="8" s="1"/>
  <c r="O161" i="8" s="1"/>
  <c r="M145" i="8"/>
  <c r="N145" i="8" s="1"/>
  <c r="O145" i="8" s="1"/>
  <c r="M129" i="8"/>
  <c r="N129" i="8" s="1"/>
  <c r="O129" i="8" s="1"/>
  <c r="M113" i="8"/>
  <c r="N113" i="8" s="1"/>
  <c r="O113" i="8" s="1"/>
  <c r="M97" i="8"/>
  <c r="N97" i="8" s="1"/>
  <c r="O97" i="8" s="1"/>
  <c r="M81" i="8"/>
  <c r="N81" i="8" s="1"/>
  <c r="O81" i="8" s="1"/>
  <c r="M78" i="8"/>
  <c r="N78" i="8" s="1"/>
  <c r="O78" i="8" s="1"/>
  <c r="M66" i="8"/>
  <c r="N66" i="8" s="1"/>
  <c r="O66" i="8" s="1"/>
  <c r="M38" i="8"/>
  <c r="N38" i="8" s="1"/>
  <c r="O38" i="8" s="1"/>
  <c r="M50" i="8"/>
  <c r="N50" i="8" s="1"/>
  <c r="O50" i="8" s="1"/>
  <c r="M31" i="8"/>
  <c r="N31" i="8" s="1"/>
  <c r="O31" i="8" s="1"/>
  <c r="M17" i="8"/>
  <c r="N17" i="8" s="1"/>
  <c r="O17" i="8" s="1"/>
  <c r="M20" i="8"/>
  <c r="N20" i="8" s="1"/>
  <c r="O20" i="8" s="1"/>
  <c r="M28" i="8"/>
  <c r="N28" i="8" s="1"/>
  <c r="O28" i="8" s="1"/>
  <c r="M40" i="8"/>
  <c r="N40" i="8" s="1"/>
  <c r="O40" i="8" s="1"/>
  <c r="M54" i="8"/>
  <c r="N54" i="8" s="1"/>
  <c r="O54" i="8" s="1"/>
  <c r="M12" i="8"/>
  <c r="N12" i="8" s="1"/>
  <c r="O12" i="8" s="1"/>
  <c r="M23" i="8"/>
  <c r="N23" i="8" s="1"/>
  <c r="O23" i="8" s="1"/>
  <c r="M26" i="8"/>
  <c r="N26" i="8" s="1"/>
  <c r="O26" i="8" s="1"/>
  <c r="M34" i="8"/>
  <c r="N34" i="8" s="1"/>
  <c r="O34" i="8" s="1"/>
  <c r="M43" i="8"/>
  <c r="N43" i="8" s="1"/>
  <c r="O43" i="8" s="1"/>
  <c r="M6" i="8"/>
  <c r="N6" i="8" s="1"/>
  <c r="O6" i="8" s="1"/>
  <c r="M9" i="8"/>
  <c r="N9" i="8" s="1"/>
  <c r="O9" i="8" s="1"/>
  <c r="M45" i="8"/>
  <c r="N45" i="8" s="1"/>
  <c r="O45" i="8" s="1"/>
  <c r="M51" i="8"/>
  <c r="N51" i="8" s="1"/>
  <c r="O51" i="8" s="1"/>
  <c r="M16" i="8"/>
  <c r="N16" i="8" s="1"/>
  <c r="O16" i="8" s="1"/>
  <c r="M18" i="8"/>
  <c r="N18" i="8" s="1"/>
  <c r="O18" i="8" s="1"/>
  <c r="M29" i="8"/>
  <c r="N29" i="8" s="1"/>
  <c r="O29" i="8" s="1"/>
  <c r="M37" i="8"/>
  <c r="N37" i="8" s="1"/>
  <c r="O37" i="8" s="1"/>
  <c r="M41" i="8"/>
  <c r="N41" i="8" s="1"/>
  <c r="O41" i="8" s="1"/>
  <c r="M48" i="8"/>
  <c r="N48" i="8" s="1"/>
  <c r="O48" i="8" s="1"/>
  <c r="M21" i="8"/>
  <c r="N21" i="8" s="1"/>
  <c r="O21" i="8" s="1"/>
  <c r="M69" i="8"/>
  <c r="N69" i="8" s="1"/>
  <c r="O69" i="8" s="1"/>
  <c r="M13" i="8"/>
  <c r="N13" i="8" s="1"/>
  <c r="O13" i="8" s="1"/>
  <c r="M27" i="8"/>
  <c r="N27" i="8" s="1"/>
  <c r="O27" i="8" s="1"/>
  <c r="M35" i="8"/>
  <c r="N35" i="8" s="1"/>
  <c r="O35" i="8" s="1"/>
  <c r="M39" i="8"/>
  <c r="N39" i="8" s="1"/>
  <c r="O39" i="8" s="1"/>
  <c r="M52" i="8"/>
  <c r="N52" i="8" s="1"/>
  <c r="O52" i="8" s="1"/>
  <c r="M7" i="8"/>
  <c r="N7" i="8" s="1"/>
  <c r="O7" i="8" s="1"/>
  <c r="M10" i="8"/>
  <c r="N10" i="8" s="1"/>
  <c r="O10" i="8" s="1"/>
  <c r="M15" i="8"/>
  <c r="N15" i="8" s="1"/>
  <c r="O15" i="8" s="1"/>
  <c r="M24" i="8"/>
  <c r="N24" i="8" s="1"/>
  <c r="O24" i="8" s="1"/>
  <c r="M32" i="8"/>
  <c r="N32" i="8" s="1"/>
  <c r="O32" i="8" s="1"/>
  <c r="F24" i="6" l="1"/>
  <c r="G24" i="6" s="1"/>
  <c r="I23" i="6"/>
  <c r="H18" i="6"/>
  <c r="D37" i="7"/>
  <c r="C77" i="8"/>
  <c r="V5" i="2"/>
  <c r="U5" i="2"/>
  <c r="O6" i="2" s="1"/>
  <c r="H37" i="7"/>
  <c r="S90" i="5"/>
  <c r="R90" i="5"/>
  <c r="Q90" i="5"/>
  <c r="S121" i="5"/>
  <c r="R121" i="5"/>
  <c r="Q121" i="5"/>
  <c r="R36" i="5"/>
  <c r="S36" i="5"/>
  <c r="Q36" i="5"/>
  <c r="S143" i="5"/>
  <c r="R143" i="5"/>
  <c r="Q143" i="5"/>
  <c r="S203" i="5"/>
  <c r="R203" i="5"/>
  <c r="Q203" i="5"/>
  <c r="S201" i="5"/>
  <c r="R201" i="5"/>
  <c r="Q201" i="5"/>
  <c r="R13" i="5"/>
  <c r="S13" i="5"/>
  <c r="Q13" i="5"/>
  <c r="S173" i="5"/>
  <c r="R173" i="5"/>
  <c r="Q173" i="5"/>
  <c r="S165" i="5"/>
  <c r="R165" i="5"/>
  <c r="Q165" i="5"/>
  <c r="S185" i="5"/>
  <c r="R185" i="5"/>
  <c r="Q185" i="5"/>
  <c r="S177" i="5"/>
  <c r="R177" i="5"/>
  <c r="S82" i="5"/>
  <c r="R82" i="5"/>
  <c r="Q82" i="5"/>
  <c r="S79" i="5"/>
  <c r="R79" i="5"/>
  <c r="R15" i="5"/>
  <c r="S15" i="5"/>
  <c r="Q15" i="5"/>
  <c r="S41" i="5"/>
  <c r="R41" i="5"/>
  <c r="Q41" i="5"/>
  <c r="S56" i="5"/>
  <c r="R56" i="5"/>
  <c r="S88" i="5"/>
  <c r="R88" i="5"/>
  <c r="Q88" i="5"/>
  <c r="S188" i="5"/>
  <c r="R188" i="5"/>
  <c r="Q188" i="5"/>
  <c r="R192" i="5"/>
  <c r="S192" i="5"/>
  <c r="Q192" i="5"/>
  <c r="R42" i="5"/>
  <c r="S42" i="5"/>
  <c r="S154" i="5"/>
  <c r="R154" i="5"/>
  <c r="Q154" i="5"/>
  <c r="R34" i="5"/>
  <c r="S34" i="5"/>
  <c r="Q34" i="5"/>
  <c r="C76" i="8"/>
  <c r="H29" i="7"/>
  <c r="S169" i="5"/>
  <c r="R169" i="5"/>
  <c r="R144" i="5"/>
  <c r="S144" i="5"/>
  <c r="Q144" i="5"/>
  <c r="S63" i="5"/>
  <c r="R63" i="5"/>
  <c r="Q63" i="5"/>
  <c r="S108" i="5"/>
  <c r="R108" i="5"/>
  <c r="S86" i="5"/>
  <c r="R86" i="5"/>
  <c r="Q86" i="5"/>
  <c r="S66" i="5"/>
  <c r="R66" i="5"/>
  <c r="Q66" i="5"/>
  <c r="S33" i="5"/>
  <c r="R33" i="5"/>
  <c r="Q33" i="5"/>
  <c r="S60" i="5"/>
  <c r="R60" i="5"/>
  <c r="R62" i="5"/>
  <c r="S62" i="5"/>
  <c r="S133" i="5"/>
  <c r="R133" i="5"/>
  <c r="Q133" i="5"/>
  <c r="S195" i="5"/>
  <c r="R195" i="5"/>
  <c r="Q195" i="5"/>
  <c r="Q79" i="5"/>
  <c r="S52" i="5"/>
  <c r="R52" i="5"/>
  <c r="Q52" i="5"/>
  <c r="R160" i="5"/>
  <c r="S160" i="5"/>
  <c r="S102" i="5"/>
  <c r="R102" i="5"/>
  <c r="Q102" i="5"/>
  <c r="S64" i="5"/>
  <c r="R64" i="5"/>
  <c r="Q64" i="5"/>
  <c r="S59" i="5"/>
  <c r="R59" i="5"/>
  <c r="Q59" i="5"/>
  <c r="R25" i="5"/>
  <c r="S25" i="5"/>
  <c r="Q25" i="5"/>
  <c r="C79" i="8"/>
  <c r="S187" i="5"/>
  <c r="R187" i="5"/>
  <c r="S149" i="5"/>
  <c r="R149" i="5"/>
  <c r="S153" i="5"/>
  <c r="R153" i="5"/>
  <c r="Q153" i="5"/>
  <c r="S190" i="5"/>
  <c r="R190" i="5"/>
  <c r="Q190" i="5"/>
  <c r="F25" i="6"/>
  <c r="I24" i="6"/>
  <c r="R70" i="5"/>
  <c r="S70" i="5"/>
  <c r="Q70" i="5"/>
  <c r="S80" i="5"/>
  <c r="R80" i="5"/>
  <c r="Q80" i="5"/>
  <c r="S30" i="5"/>
  <c r="R30" i="5"/>
  <c r="R113" i="5"/>
  <c r="S113" i="5"/>
  <c r="Q113" i="5"/>
  <c r="S186" i="5"/>
  <c r="R186" i="5"/>
  <c r="S150" i="5"/>
  <c r="R150" i="5"/>
  <c r="Q150" i="5"/>
  <c r="R9" i="5"/>
  <c r="S9" i="5"/>
  <c r="S37" i="5"/>
  <c r="R37" i="5"/>
  <c r="Q37" i="5"/>
  <c r="H23" i="6"/>
  <c r="R54" i="5"/>
  <c r="S54" i="5"/>
  <c r="S101" i="5"/>
  <c r="R101" i="5"/>
  <c r="Q101" i="5"/>
  <c r="R16" i="5"/>
  <c r="S16" i="5"/>
  <c r="Q16" i="5"/>
  <c r="S76" i="5"/>
  <c r="R76" i="5"/>
  <c r="Q76" i="5"/>
  <c r="S20" i="5"/>
  <c r="R20" i="5"/>
  <c r="Q20" i="5"/>
  <c r="R87" i="5"/>
  <c r="S87" i="5"/>
  <c r="R65" i="5"/>
  <c r="S65" i="5"/>
  <c r="Q65" i="5"/>
  <c r="S152" i="5"/>
  <c r="R152" i="5"/>
  <c r="Q152" i="5"/>
  <c r="S135" i="5"/>
  <c r="R135" i="5"/>
  <c r="Q135" i="5"/>
  <c r="S166" i="5"/>
  <c r="R166" i="5"/>
  <c r="Q166" i="5"/>
  <c r="Q60" i="5"/>
  <c r="Q30" i="5"/>
  <c r="S72" i="5"/>
  <c r="R72" i="5"/>
  <c r="Q72" i="5"/>
  <c r="S171" i="5"/>
  <c r="R171" i="5"/>
  <c r="Q171" i="5"/>
  <c r="S179" i="5"/>
  <c r="R179" i="5"/>
  <c r="S180" i="5"/>
  <c r="R180" i="5"/>
  <c r="Q180" i="5"/>
  <c r="S93" i="5"/>
  <c r="R93" i="5"/>
  <c r="R142" i="5"/>
  <c r="S142" i="5"/>
  <c r="Q142" i="5"/>
  <c r="D50" i="5"/>
  <c r="C50" i="5"/>
  <c r="S6" i="5"/>
  <c r="Q6" i="5"/>
  <c r="R6" i="5"/>
  <c r="S24" i="5"/>
  <c r="R24" i="5"/>
  <c r="S71" i="5"/>
  <c r="R71" i="5"/>
  <c r="S156" i="5"/>
  <c r="R156" i="5"/>
  <c r="Q156" i="5"/>
  <c r="S130" i="5"/>
  <c r="R130" i="5"/>
  <c r="Q130" i="5"/>
  <c r="S182" i="5"/>
  <c r="R182" i="5"/>
  <c r="Q54" i="5"/>
  <c r="Q87" i="5"/>
  <c r="Q177" i="5"/>
  <c r="Q186" i="5"/>
  <c r="S140" i="5"/>
  <c r="R140" i="5"/>
  <c r="Q140" i="5"/>
  <c r="S170" i="5"/>
  <c r="R170" i="5"/>
  <c r="Q170" i="5"/>
  <c r="S155" i="5"/>
  <c r="R155" i="5"/>
  <c r="Q155" i="5"/>
  <c r="S196" i="5"/>
  <c r="R196" i="5"/>
  <c r="Q196" i="5"/>
  <c r="S138" i="5"/>
  <c r="R138" i="5"/>
  <c r="Q138" i="5"/>
  <c r="S89" i="5"/>
  <c r="R89" i="5"/>
  <c r="Q89" i="5"/>
  <c r="S45" i="5"/>
  <c r="R45" i="5"/>
  <c r="S39" i="5"/>
  <c r="R39" i="5"/>
  <c r="S85" i="5"/>
  <c r="R85" i="5"/>
  <c r="Q85" i="5"/>
  <c r="S7" i="5"/>
  <c r="R7" i="5"/>
  <c r="Q7" i="5"/>
  <c r="S161" i="5"/>
  <c r="R161" i="5"/>
  <c r="Q161" i="5"/>
  <c r="S145" i="5"/>
  <c r="R145" i="5"/>
  <c r="Q145" i="5"/>
  <c r="S68" i="5"/>
  <c r="R68" i="5"/>
  <c r="Q68" i="5"/>
  <c r="S53" i="5"/>
  <c r="R53" i="5"/>
  <c r="Q53" i="5"/>
  <c r="S175" i="5"/>
  <c r="R175" i="5"/>
  <c r="Q175" i="5"/>
  <c r="R14" i="5"/>
  <c r="S14" i="5"/>
  <c r="Q14" i="5"/>
  <c r="S104" i="5"/>
  <c r="R104" i="5"/>
  <c r="Q104" i="5"/>
  <c r="S163" i="5"/>
  <c r="R163" i="5"/>
  <c r="Q163" i="5"/>
  <c r="S112" i="5"/>
  <c r="R112" i="5"/>
  <c r="Q112" i="5"/>
  <c r="S202" i="5"/>
  <c r="R202" i="5"/>
  <c r="Q202" i="5"/>
  <c r="S67" i="5"/>
  <c r="R67" i="5"/>
  <c r="Q67" i="5"/>
  <c r="S29" i="5"/>
  <c r="R29" i="5"/>
  <c r="S46" i="5"/>
  <c r="R46" i="5"/>
  <c r="Q46" i="5"/>
  <c r="S75" i="5"/>
  <c r="R75" i="5"/>
  <c r="Q75" i="5"/>
  <c r="S19" i="5"/>
  <c r="R19" i="5"/>
  <c r="Q19" i="5"/>
  <c r="R84" i="5"/>
  <c r="S84" i="5"/>
  <c r="Q84" i="5"/>
  <c r="S69" i="5"/>
  <c r="R69" i="5"/>
  <c r="Q69" i="5"/>
  <c r="S191" i="5"/>
  <c r="R191" i="5"/>
  <c r="Q191" i="5"/>
  <c r="Q93" i="5"/>
  <c r="S58" i="5"/>
  <c r="R58" i="5"/>
  <c r="S5" i="3"/>
  <c r="S21" i="5"/>
  <c r="Q21" i="5"/>
  <c r="R21" i="5"/>
  <c r="R94" i="5"/>
  <c r="S94" i="5"/>
  <c r="Q94" i="5"/>
  <c r="S134" i="5"/>
  <c r="R134" i="5"/>
  <c r="Q134" i="5"/>
  <c r="B42" i="7"/>
  <c r="H33" i="7"/>
  <c r="S139" i="5"/>
  <c r="R139" i="5"/>
  <c r="Q139" i="5"/>
  <c r="S147" i="5"/>
  <c r="R147" i="5"/>
  <c r="Q147" i="5"/>
  <c r="S83" i="5"/>
  <c r="R83" i="5"/>
  <c r="Q83" i="5"/>
  <c r="S11" i="5"/>
  <c r="R11" i="5"/>
  <c r="S48" i="5"/>
  <c r="R48" i="5"/>
  <c r="R5" i="5"/>
  <c r="S5" i="5"/>
  <c r="S91" i="5"/>
  <c r="R91" i="5"/>
  <c r="R78" i="5"/>
  <c r="S78" i="5"/>
  <c r="Q78" i="5"/>
  <c r="S43" i="5"/>
  <c r="R43" i="5"/>
  <c r="Q43" i="5"/>
  <c r="S100" i="5"/>
  <c r="R100" i="5"/>
  <c r="Q100" i="5"/>
  <c r="R132" i="5"/>
  <c r="S132" i="5"/>
  <c r="Q132" i="5"/>
  <c r="R146" i="5"/>
  <c r="S146" i="5"/>
  <c r="Q146" i="5"/>
  <c r="Q179" i="5"/>
  <c r="R126" i="5"/>
  <c r="S126" i="5"/>
  <c r="Q126" i="5"/>
  <c r="D29" i="7"/>
  <c r="R77" i="5"/>
  <c r="S77" i="5"/>
  <c r="R110" i="5"/>
  <c r="S110" i="5"/>
  <c r="Q110" i="5"/>
  <c r="S55" i="5"/>
  <c r="R55" i="5"/>
  <c r="S141" i="5"/>
  <c r="R141" i="5"/>
  <c r="R162" i="5"/>
  <c r="S162" i="5"/>
  <c r="Q162" i="5"/>
  <c r="Q187" i="5"/>
  <c r="S28" i="5"/>
  <c r="R28" i="5"/>
  <c r="Q28" i="5"/>
  <c r="S105" i="5"/>
  <c r="R105" i="5"/>
  <c r="Q105" i="5"/>
  <c r="S198" i="5"/>
  <c r="R198" i="5"/>
  <c r="Q198" i="5"/>
  <c r="G54" i="8"/>
  <c r="F54" i="8"/>
  <c r="E54" i="8"/>
  <c r="D54" i="8"/>
  <c r="C54" i="8"/>
  <c r="F53" i="8"/>
  <c r="E53" i="8"/>
  <c r="D53" i="8"/>
  <c r="N5" i="8"/>
  <c r="E55" i="8" s="1"/>
  <c r="G53" i="8"/>
  <c r="D38" i="8"/>
  <c r="C38" i="8"/>
  <c r="E38" i="8"/>
  <c r="C37" i="8"/>
  <c r="D33" i="7"/>
  <c r="S114" i="5"/>
  <c r="R114" i="5"/>
  <c r="Q114" i="5"/>
  <c r="S174" i="5"/>
  <c r="R174" i="5"/>
  <c r="Q174" i="5"/>
  <c r="R61" i="5"/>
  <c r="S61" i="5"/>
  <c r="Q61" i="5"/>
  <c r="S12" i="5"/>
  <c r="R12" i="5"/>
  <c r="Q12" i="5"/>
  <c r="S26" i="5"/>
  <c r="R26" i="5"/>
  <c r="Q26" i="5"/>
  <c r="R81" i="5"/>
  <c r="S81" i="5"/>
  <c r="Q81" i="5"/>
  <c r="S74" i="5"/>
  <c r="R74" i="5"/>
  <c r="Q74" i="5"/>
  <c r="S103" i="5"/>
  <c r="R103" i="5"/>
  <c r="R151" i="5"/>
  <c r="S151" i="5"/>
  <c r="Q151" i="5"/>
  <c r="R178" i="5"/>
  <c r="S178" i="5"/>
  <c r="Q178" i="5"/>
  <c r="Q182" i="5"/>
  <c r="Q91" i="5"/>
  <c r="R10" i="5"/>
  <c r="S10" i="5"/>
  <c r="S73" i="5"/>
  <c r="R73" i="5"/>
  <c r="Q73" i="5"/>
  <c r="C52" i="5"/>
  <c r="R32" i="5"/>
  <c r="S32" i="5"/>
  <c r="R119" i="5"/>
  <c r="S119" i="5"/>
  <c r="Q119" i="5"/>
  <c r="D52" i="5"/>
  <c r="D51" i="5"/>
  <c r="S128" i="5"/>
  <c r="R128" i="5"/>
  <c r="Q128" i="5"/>
  <c r="S116" i="5"/>
  <c r="R116" i="5"/>
  <c r="Q116" i="5"/>
  <c r="S111" i="5"/>
  <c r="R111" i="5"/>
  <c r="Q111" i="5"/>
  <c r="S172" i="5"/>
  <c r="R172" i="5"/>
  <c r="R49" i="5"/>
  <c r="S49" i="5"/>
  <c r="Q49" i="5"/>
  <c r="S123" i="5"/>
  <c r="R123" i="5"/>
  <c r="Q123" i="5"/>
  <c r="R97" i="5"/>
  <c r="S97" i="5"/>
  <c r="R167" i="5"/>
  <c r="S167" i="5"/>
  <c r="S194" i="5"/>
  <c r="R194" i="5"/>
  <c r="Q6" i="8"/>
  <c r="C78" i="8"/>
  <c r="C75" i="8"/>
  <c r="H24" i="6"/>
  <c r="S197" i="5"/>
  <c r="R197" i="5"/>
  <c r="Q197" i="5"/>
  <c r="R176" i="5"/>
  <c r="S176" i="5"/>
  <c r="S189" i="5"/>
  <c r="R189" i="5"/>
  <c r="S164" i="5"/>
  <c r="R164" i="5"/>
  <c r="Q164" i="5"/>
  <c r="S193" i="5"/>
  <c r="R193" i="5"/>
  <c r="Q193" i="5"/>
  <c r="S127" i="5"/>
  <c r="R127" i="5"/>
  <c r="Q127" i="5"/>
  <c r="S117" i="5"/>
  <c r="R117" i="5"/>
  <c r="S27" i="5"/>
  <c r="R27" i="5"/>
  <c r="Q27" i="5"/>
  <c r="S23" i="5"/>
  <c r="R23" i="5"/>
  <c r="Q23" i="5"/>
  <c r="S44" i="5"/>
  <c r="R44" i="5"/>
  <c r="Q44" i="5"/>
  <c r="S35" i="5"/>
  <c r="R35" i="5"/>
  <c r="Q35" i="5"/>
  <c r="R47" i="5"/>
  <c r="S47" i="5"/>
  <c r="Q47" i="5"/>
  <c r="S131" i="5"/>
  <c r="R131" i="5"/>
  <c r="Q131" i="5"/>
  <c r="R183" i="5"/>
  <c r="S183" i="5"/>
  <c r="S168" i="5"/>
  <c r="R168" i="5"/>
  <c r="Q168" i="5"/>
  <c r="Q9" i="5"/>
  <c r="Q189" i="5"/>
  <c r="Q169" i="5"/>
  <c r="E28" i="5"/>
  <c r="G28" i="5" s="1"/>
  <c r="S159" i="5"/>
  <c r="R159" i="5"/>
  <c r="Q159" i="5"/>
  <c r="S204" i="5"/>
  <c r="R204" i="5"/>
  <c r="Q204" i="5"/>
  <c r="S98" i="5"/>
  <c r="R98" i="5"/>
  <c r="S118" i="5"/>
  <c r="R118" i="5"/>
  <c r="S115" i="5"/>
  <c r="R115" i="5"/>
  <c r="Q115" i="5"/>
  <c r="S106" i="5"/>
  <c r="R106" i="5"/>
  <c r="Q106" i="5"/>
  <c r="S51" i="5"/>
  <c r="R51" i="5"/>
  <c r="S122" i="5"/>
  <c r="R122" i="5"/>
  <c r="R199" i="5"/>
  <c r="S199" i="5"/>
  <c r="Q199" i="5"/>
  <c r="S184" i="5"/>
  <c r="R184" i="5"/>
  <c r="Q184" i="5"/>
  <c r="Q56" i="5"/>
  <c r="Q141" i="5"/>
  <c r="Q62" i="5"/>
  <c r="Q167" i="5"/>
  <c r="R8" i="5"/>
  <c r="S8" i="5"/>
  <c r="Q8" i="5"/>
  <c r="S125" i="5"/>
  <c r="R125" i="5"/>
  <c r="Q125" i="5"/>
  <c r="S57" i="5"/>
  <c r="R57" i="5"/>
  <c r="Q57" i="5"/>
  <c r="S181" i="5"/>
  <c r="R181" i="5"/>
  <c r="Q181" i="5"/>
  <c r="S148" i="5"/>
  <c r="R148" i="5"/>
  <c r="S95" i="5"/>
  <c r="R95" i="5"/>
  <c r="Q95" i="5"/>
  <c r="S124" i="5"/>
  <c r="R124" i="5"/>
  <c r="Q124" i="5"/>
  <c r="S109" i="5"/>
  <c r="R109" i="5"/>
  <c r="Q109" i="5"/>
  <c r="S92" i="5"/>
  <c r="R92" i="5"/>
  <c r="Q92" i="5"/>
  <c r="R96" i="5"/>
  <c r="S96" i="5"/>
  <c r="Q96" i="5"/>
  <c r="S99" i="5"/>
  <c r="R99" i="5"/>
  <c r="S31" i="5"/>
  <c r="R31" i="5"/>
  <c r="S107" i="5"/>
  <c r="R107" i="5"/>
  <c r="Q107" i="5"/>
  <c r="S157" i="5"/>
  <c r="R157" i="5"/>
  <c r="Q157" i="5"/>
  <c r="S200" i="5"/>
  <c r="R200" i="5"/>
  <c r="Q200" i="5"/>
  <c r="R17" i="5"/>
  <c r="S17" i="5"/>
  <c r="Q17" i="5"/>
  <c r="C51" i="5"/>
  <c r="Q148" i="5"/>
  <c r="R38" i="5"/>
  <c r="S38" i="5"/>
  <c r="S137" i="5"/>
  <c r="R137" i="5"/>
  <c r="S120" i="5"/>
  <c r="R120" i="5"/>
  <c r="S129" i="5"/>
  <c r="R129" i="5"/>
  <c r="S136" i="5"/>
  <c r="R136" i="5"/>
  <c r="S158" i="5"/>
  <c r="R158" i="5"/>
  <c r="G19" i="2"/>
  <c r="H19" i="2" s="1"/>
  <c r="I19" i="2" s="1"/>
  <c r="F19" i="2"/>
  <c r="F18" i="2"/>
  <c r="G18" i="2" s="1"/>
  <c r="H18" i="2" s="1"/>
  <c r="I18" i="2" s="1"/>
  <c r="W25" i="5"/>
  <c r="E27" i="5"/>
  <c r="G27" i="5" s="1"/>
  <c r="P6" i="4"/>
  <c r="S6" i="4" s="1"/>
  <c r="V6" i="4" s="1"/>
  <c r="W6" i="4" s="1"/>
  <c r="Q5" i="3"/>
  <c r="Q158" i="5"/>
  <c r="G23" i="5"/>
  <c r="W20" i="5"/>
  <c r="W15" i="5"/>
  <c r="W21" i="5"/>
  <c r="R40" i="5"/>
  <c r="S40" i="5"/>
  <c r="F16" i="2"/>
  <c r="G16" i="2" s="1"/>
  <c r="H16" i="2" s="1"/>
  <c r="I16" i="2" s="1"/>
  <c r="T6" i="2"/>
  <c r="S6" i="2"/>
  <c r="W194" i="5"/>
  <c r="W178" i="5"/>
  <c r="W162" i="5"/>
  <c r="W191" i="5"/>
  <c r="W192" i="5"/>
  <c r="W189" i="5"/>
  <c r="W151" i="5"/>
  <c r="W148" i="5"/>
  <c r="W180" i="5"/>
  <c r="W130" i="5"/>
  <c r="W196" i="5"/>
  <c r="W155" i="5"/>
  <c r="W164" i="5"/>
  <c r="W135" i="5"/>
  <c r="W118" i="5"/>
  <c r="W102" i="5"/>
  <c r="W86" i="5"/>
  <c r="W70" i="5"/>
  <c r="W137" i="5"/>
  <c r="W90" i="5"/>
  <c r="W150" i="5"/>
  <c r="W119" i="5"/>
  <c r="W103" i="5"/>
  <c r="W87" i="5"/>
  <c r="W146" i="5"/>
  <c r="W116" i="5"/>
  <c r="W182" i="5"/>
  <c r="W139" i="5"/>
  <c r="W113" i="5"/>
  <c r="W97" i="5"/>
  <c r="W166" i="5"/>
  <c r="W74" i="5"/>
  <c r="W43" i="5"/>
  <c r="W134" i="5"/>
  <c r="W101" i="5"/>
  <c r="W117" i="5"/>
  <c r="W68" i="5"/>
  <c r="W65" i="5"/>
  <c r="W129" i="5"/>
  <c r="W104" i="5"/>
  <c r="W59" i="5"/>
  <c r="W107" i="5"/>
  <c r="W100" i="5"/>
  <c r="W120" i="5"/>
  <c r="W52" i="5"/>
  <c r="W91" i="5"/>
  <c r="W88" i="5"/>
  <c r="W85" i="5"/>
  <c r="W132" i="5"/>
  <c r="W123" i="5"/>
  <c r="W18" i="5"/>
  <c r="W84" i="5"/>
  <c r="W38" i="5"/>
  <c r="W72" i="5"/>
  <c r="W69" i="5"/>
  <c r="W53" i="5"/>
  <c r="W51" i="5"/>
  <c r="W36" i="5"/>
  <c r="W31" i="5"/>
  <c r="W126" i="5"/>
  <c r="W58" i="5"/>
  <c r="W32" i="5"/>
  <c r="W54" i="5"/>
  <c r="W47" i="5"/>
  <c r="W81" i="5"/>
  <c r="W16" i="5"/>
  <c r="W7" i="5"/>
  <c r="W34" i="5"/>
  <c r="W12" i="5"/>
  <c r="W56" i="5"/>
  <c r="W11" i="5"/>
  <c r="W6" i="5"/>
  <c r="W19" i="5"/>
  <c r="W13" i="5"/>
  <c r="W75" i="5"/>
  <c r="W44" i="5"/>
  <c r="W10" i="5"/>
  <c r="W8" i="5"/>
  <c r="G15" i="2"/>
  <c r="Q129" i="5"/>
  <c r="G24" i="5"/>
  <c r="S22" i="5"/>
  <c r="R22" i="5"/>
  <c r="S18" i="5"/>
  <c r="R18" i="5"/>
  <c r="W5" i="5"/>
  <c r="W83" i="5"/>
  <c r="W73" i="5"/>
  <c r="W41" i="5"/>
  <c r="S50" i="5"/>
  <c r="R50" i="5"/>
  <c r="W39" i="5"/>
  <c r="W121" i="5"/>
  <c r="W77" i="5"/>
  <c r="W67" i="5"/>
  <c r="W37" i="5"/>
  <c r="Q38" i="5"/>
  <c r="Q136" i="5"/>
  <c r="Q137" i="5"/>
  <c r="E22" i="5"/>
  <c r="G22" i="5" s="1"/>
  <c r="B35" i="5" s="1"/>
  <c r="F20" i="2"/>
  <c r="G20" i="2" s="1"/>
  <c r="H20" i="2" s="1"/>
  <c r="I20" i="2" s="1"/>
  <c r="W204" i="5"/>
  <c r="E25" i="5"/>
  <c r="G25" i="5" s="1"/>
  <c r="H31" i="3"/>
  <c r="F14" i="2"/>
  <c r="G14" i="2" s="1"/>
  <c r="H14" i="2" s="1"/>
  <c r="I14" i="2" s="1"/>
  <c r="F17" i="2"/>
  <c r="G17" i="2" s="1"/>
  <c r="H17" i="2" s="1"/>
  <c r="I17" i="2" s="1"/>
  <c r="P7" i="4" l="1"/>
  <c r="F38" i="8"/>
  <c r="D37" i="8"/>
  <c r="F37" i="8" s="1"/>
  <c r="E37" i="8"/>
  <c r="C53" i="8"/>
  <c r="S7" i="4"/>
  <c r="V7" i="4" s="1"/>
  <c r="W7" i="4" s="1"/>
  <c r="P8" i="4"/>
  <c r="H35" i="5"/>
  <c r="C43" i="5"/>
  <c r="B39" i="5"/>
  <c r="C44" i="5" s="1"/>
  <c r="D39" i="8"/>
  <c r="D40" i="8" s="1"/>
  <c r="E39" i="8"/>
  <c r="G25" i="6"/>
  <c r="H25" i="6" s="1"/>
  <c r="V6" i="2"/>
  <c r="U6" i="2"/>
  <c r="D53" i="5"/>
  <c r="E53" i="5" s="1"/>
  <c r="C53" i="5"/>
  <c r="C55" i="8"/>
  <c r="R7" i="2"/>
  <c r="Q7" i="2"/>
  <c r="O7" i="2"/>
  <c r="D55" i="8"/>
  <c r="F39" i="5"/>
  <c r="C45" i="5" s="1"/>
  <c r="O5" i="8"/>
  <c r="H32" i="8" s="1"/>
  <c r="D28" i="8"/>
  <c r="B28" i="8"/>
  <c r="F28" i="8" s="1"/>
  <c r="C39" i="8"/>
  <c r="F55" i="8"/>
  <c r="C42" i="7"/>
  <c r="D42" i="7"/>
  <c r="U5" i="3"/>
  <c r="F27" i="2"/>
  <c r="H15" i="2"/>
  <c r="I15" i="2" s="1"/>
  <c r="H27" i="2" s="1"/>
  <c r="G55" i="8"/>
  <c r="F39" i="8" l="1"/>
  <c r="E40" i="8"/>
  <c r="H28" i="8"/>
  <c r="D32" i="8" s="1"/>
  <c r="C40" i="8"/>
  <c r="F26" i="6"/>
  <c r="I25" i="6"/>
  <c r="E52" i="5"/>
  <c r="F40" i="8"/>
  <c r="E45" i="8" s="1"/>
  <c r="M6" i="3"/>
  <c r="N6" i="3" s="1"/>
  <c r="W5" i="3"/>
  <c r="C23" i="2"/>
  <c r="P7" i="2"/>
  <c r="T7" i="2" s="1"/>
  <c r="S8" i="4"/>
  <c r="V8" i="4" s="1"/>
  <c r="W8" i="4" s="1"/>
  <c r="P9" i="4"/>
  <c r="B43" i="7"/>
  <c r="E42" i="7"/>
  <c r="E50" i="5"/>
  <c r="E51" i="5"/>
  <c r="D45" i="8" l="1"/>
  <c r="D43" i="8"/>
  <c r="D44" i="8"/>
  <c r="E43" i="8"/>
  <c r="E44" i="8"/>
  <c r="V7" i="2"/>
  <c r="U7" i="2"/>
  <c r="B32" i="8"/>
  <c r="S7" i="2"/>
  <c r="G26" i="6"/>
  <c r="C44" i="8"/>
  <c r="C45" i="8"/>
  <c r="C43" i="8"/>
  <c r="B48" i="8" s="1"/>
  <c r="C43" i="7"/>
  <c r="D43" i="7"/>
  <c r="S9" i="4"/>
  <c r="V9" i="4" s="1"/>
  <c r="W9" i="4" s="1"/>
  <c r="P10" i="4"/>
  <c r="P6" i="3"/>
  <c r="R6" i="3" s="1"/>
  <c r="S6" i="3" l="1"/>
  <c r="Q6" i="3"/>
  <c r="S10" i="4"/>
  <c r="V10" i="4" s="1"/>
  <c r="W10" i="4" s="1"/>
  <c r="P11" i="4"/>
  <c r="F27" i="6"/>
  <c r="I26" i="6"/>
  <c r="F48" i="8"/>
  <c r="D48" i="8"/>
  <c r="H48" i="8" s="1"/>
  <c r="H26" i="6"/>
  <c r="R8" i="2"/>
  <c r="Q8" i="2"/>
  <c r="P8" i="2"/>
  <c r="O8" i="2"/>
  <c r="B44" i="7"/>
  <c r="E43" i="7"/>
  <c r="G27" i="6" l="1"/>
  <c r="S11" i="4"/>
  <c r="V11" i="4" s="1"/>
  <c r="W11" i="4" s="1"/>
  <c r="P12" i="4"/>
  <c r="S8" i="2"/>
  <c r="T8" i="2"/>
  <c r="U6" i="3"/>
  <c r="C44" i="7"/>
  <c r="D44" i="7" s="1"/>
  <c r="R9" i="2" l="1"/>
  <c r="Q9" i="2"/>
  <c r="O9" i="2"/>
  <c r="V8" i="2"/>
  <c r="U8" i="2"/>
  <c r="P9" i="2" s="1"/>
  <c r="S12" i="4"/>
  <c r="V12" i="4" s="1"/>
  <c r="W12" i="4" s="1"/>
  <c r="P13" i="4"/>
  <c r="B45" i="7"/>
  <c r="E44" i="7"/>
  <c r="M7" i="3"/>
  <c r="N7" i="3" s="1"/>
  <c r="W6" i="3"/>
  <c r="F28" i="6"/>
  <c r="I27" i="6"/>
  <c r="H27" i="6"/>
  <c r="G28" i="6" l="1"/>
  <c r="H28" i="6" s="1"/>
  <c r="P7" i="3"/>
  <c r="C45" i="7"/>
  <c r="D45" i="7" s="1"/>
  <c r="S13" i="4"/>
  <c r="V13" i="4" s="1"/>
  <c r="W13" i="4" s="1"/>
  <c r="P14" i="4"/>
  <c r="T9" i="2"/>
  <c r="S9" i="2"/>
  <c r="P15" i="4" l="1"/>
  <c r="S14" i="4"/>
  <c r="V14" i="4" s="1"/>
  <c r="W14" i="4" s="1"/>
  <c r="V9" i="2"/>
  <c r="U9" i="2"/>
  <c r="Q7" i="3"/>
  <c r="R7" i="3"/>
  <c r="O10" i="2"/>
  <c r="P10" i="2"/>
  <c r="R10" i="2"/>
  <c r="Q10" i="2"/>
  <c r="B46" i="7"/>
  <c r="E45" i="7"/>
  <c r="F29" i="6"/>
  <c r="I28" i="6"/>
  <c r="S7" i="3" l="1"/>
  <c r="G29" i="6"/>
  <c r="H29" i="6" s="1"/>
  <c r="S10" i="2"/>
  <c r="T10" i="2"/>
  <c r="C46" i="7"/>
  <c r="D46" i="7" s="1"/>
  <c r="S15" i="4"/>
  <c r="V15" i="4" s="1"/>
  <c r="W15" i="4" s="1"/>
  <c r="P16" i="4"/>
  <c r="V10" i="2" l="1"/>
  <c r="U10" i="2"/>
  <c r="R11" i="2"/>
  <c r="Q11" i="2"/>
  <c r="P11" i="2"/>
  <c r="O11" i="2"/>
  <c r="F30" i="6"/>
  <c r="I29" i="6"/>
  <c r="S16" i="4"/>
  <c r="V16" i="4" s="1"/>
  <c r="W16" i="4" s="1"/>
  <c r="P17" i="4"/>
  <c r="B47" i="7"/>
  <c r="E46" i="7"/>
  <c r="U7" i="3"/>
  <c r="S17" i="4" l="1"/>
  <c r="V17" i="4" s="1"/>
  <c r="W17" i="4" s="1"/>
  <c r="P18" i="4"/>
  <c r="W7" i="3"/>
  <c r="M8" i="3"/>
  <c r="N8" i="3" s="1"/>
  <c r="C47" i="7"/>
  <c r="D47" i="7" s="1"/>
  <c r="G30" i="6"/>
  <c r="T11" i="2"/>
  <c r="S11" i="2"/>
  <c r="R12" i="2" l="1"/>
  <c r="Q12" i="2"/>
  <c r="P12" i="2"/>
  <c r="F31" i="6"/>
  <c r="I30" i="6"/>
  <c r="B48" i="7"/>
  <c r="E47" i="7"/>
  <c r="P8" i="3"/>
  <c r="S18" i="4"/>
  <c r="V18" i="4" s="1"/>
  <c r="W18" i="4" s="1"/>
  <c r="P19" i="4"/>
  <c r="U11" i="2"/>
  <c r="O12" i="2" s="1"/>
  <c r="V11" i="2"/>
  <c r="H30" i="6"/>
  <c r="T12" i="2" l="1"/>
  <c r="S12" i="2"/>
  <c r="S19" i="4"/>
  <c r="V19" i="4" s="1"/>
  <c r="W19" i="4" s="1"/>
  <c r="P20" i="4"/>
  <c r="Q8" i="3"/>
  <c r="C48" i="7"/>
  <c r="D48" i="7" s="1"/>
  <c r="R8" i="3"/>
  <c r="G31" i="6"/>
  <c r="F32" i="6" l="1"/>
  <c r="I31" i="6"/>
  <c r="S8" i="3"/>
  <c r="P21" i="4"/>
  <c r="S20" i="4"/>
  <c r="V20" i="4" s="1"/>
  <c r="W20" i="4" s="1"/>
  <c r="H31" i="6"/>
  <c r="B49" i="7"/>
  <c r="E48" i="7"/>
  <c r="O13" i="2"/>
  <c r="Q13" i="2"/>
  <c r="R13" i="2"/>
  <c r="U12" i="2"/>
  <c r="P13" i="2" s="1"/>
  <c r="V12" i="2"/>
  <c r="T13" i="2" l="1"/>
  <c r="S13" i="2"/>
  <c r="C49" i="7"/>
  <c r="D49" i="7"/>
  <c r="S21" i="4"/>
  <c r="V21" i="4" s="1"/>
  <c r="W21" i="4" s="1"/>
  <c r="P22" i="4"/>
  <c r="U8" i="3"/>
  <c r="G32" i="6"/>
  <c r="H32" i="6" s="1"/>
  <c r="F33" i="6" l="1"/>
  <c r="I32" i="6"/>
  <c r="M9" i="3"/>
  <c r="N9" i="3" s="1"/>
  <c r="W8" i="3"/>
  <c r="S22" i="4"/>
  <c r="V22" i="4" s="1"/>
  <c r="W22" i="4" s="1"/>
  <c r="P23" i="4"/>
  <c r="B50" i="7"/>
  <c r="E49" i="7"/>
  <c r="Q14" i="2"/>
  <c r="R14" i="2"/>
  <c r="U13" i="2"/>
  <c r="O14" i="2" s="1"/>
  <c r="V13" i="2"/>
  <c r="P14" i="2" l="1"/>
  <c r="T14" i="2"/>
  <c r="S14" i="2"/>
  <c r="C50" i="7"/>
  <c r="S23" i="4"/>
  <c r="V23" i="4" s="1"/>
  <c r="W23" i="4" s="1"/>
  <c r="P24" i="4"/>
  <c r="P9" i="3"/>
  <c r="R9" i="3"/>
  <c r="G33" i="6"/>
  <c r="H33" i="6" s="1"/>
  <c r="S9" i="3" l="1"/>
  <c r="Q9" i="3"/>
  <c r="B51" i="7"/>
  <c r="E50" i="7"/>
  <c r="F34" i="6"/>
  <c r="I33" i="6"/>
  <c r="S24" i="4"/>
  <c r="V24" i="4" s="1"/>
  <c r="W24" i="4" s="1"/>
  <c r="P25" i="4"/>
  <c r="D50" i="7"/>
  <c r="R15" i="2"/>
  <c r="Q15" i="2"/>
  <c r="P15" i="2"/>
  <c r="V14" i="2"/>
  <c r="U14" i="2"/>
  <c r="O15" i="2" s="1"/>
  <c r="S15" i="2" l="1"/>
  <c r="T15" i="2"/>
  <c r="S25" i="4"/>
  <c r="V25" i="4" s="1"/>
  <c r="W25" i="4" s="1"/>
  <c r="P26" i="4"/>
  <c r="G34" i="6"/>
  <c r="H34" i="6" s="1"/>
  <c r="C51" i="7"/>
  <c r="U9" i="3"/>
  <c r="B52" i="7" l="1"/>
  <c r="E51" i="7"/>
  <c r="W9" i="3"/>
  <c r="M10" i="3"/>
  <c r="N10" i="3" s="1"/>
  <c r="D51" i="7"/>
  <c r="F35" i="6"/>
  <c r="I34" i="6"/>
  <c r="S26" i="4"/>
  <c r="V26" i="4" s="1"/>
  <c r="W26" i="4" s="1"/>
  <c r="P27" i="4"/>
  <c r="V15" i="2"/>
  <c r="U15" i="2"/>
  <c r="R16" i="2"/>
  <c r="O16" i="2"/>
  <c r="Q16" i="2"/>
  <c r="P16" i="2"/>
  <c r="T16" i="2" l="1"/>
  <c r="S16" i="2"/>
  <c r="S27" i="4"/>
  <c r="V27" i="4" s="1"/>
  <c r="W27" i="4" s="1"/>
  <c r="P28" i="4"/>
  <c r="G35" i="6"/>
  <c r="P10" i="3"/>
  <c r="Q10" i="3" s="1"/>
  <c r="C52" i="7"/>
  <c r="D52" i="7"/>
  <c r="B53" i="7" l="1"/>
  <c r="E52" i="7"/>
  <c r="R10" i="3"/>
  <c r="F36" i="6"/>
  <c r="I35" i="6"/>
  <c r="H35" i="6"/>
  <c r="S28" i="4"/>
  <c r="V28" i="4" s="1"/>
  <c r="W28" i="4" s="1"/>
  <c r="P29" i="4"/>
  <c r="Q17" i="2"/>
  <c r="R17" i="2"/>
  <c r="V16" i="2"/>
  <c r="U16" i="2"/>
  <c r="P17" i="2" s="1"/>
  <c r="O17" i="2" l="1"/>
  <c r="T17" i="2"/>
  <c r="S17" i="2"/>
  <c r="S29" i="4"/>
  <c r="V29" i="4" s="1"/>
  <c r="W29" i="4" s="1"/>
  <c r="P30" i="4"/>
  <c r="G36" i="6"/>
  <c r="S10" i="3"/>
  <c r="U10" i="3" s="1"/>
  <c r="C53" i="7"/>
  <c r="D53" i="7"/>
  <c r="M11" i="3" l="1"/>
  <c r="N11" i="3" s="1"/>
  <c r="W10" i="3"/>
  <c r="F37" i="6"/>
  <c r="I36" i="6"/>
  <c r="R18" i="2"/>
  <c r="P18" i="2"/>
  <c r="Q18" i="2"/>
  <c r="B54" i="7"/>
  <c r="E53" i="7"/>
  <c r="H36" i="6"/>
  <c r="S30" i="4"/>
  <c r="V30" i="4" s="1"/>
  <c r="W30" i="4" s="1"/>
  <c r="P31" i="4"/>
  <c r="V17" i="2"/>
  <c r="U17" i="2"/>
  <c r="O18" i="2" s="1"/>
  <c r="T18" i="2" l="1"/>
  <c r="S18" i="2"/>
  <c r="S31" i="4"/>
  <c r="V31" i="4" s="1"/>
  <c r="W31" i="4" s="1"/>
  <c r="P32" i="4"/>
  <c r="C54" i="7"/>
  <c r="D54" i="7"/>
  <c r="G37" i="6"/>
  <c r="P11" i="3"/>
  <c r="Q11" i="3" s="1"/>
  <c r="R11" i="3"/>
  <c r="S11" i="3" l="1"/>
  <c r="U11" i="3" s="1"/>
  <c r="F38" i="6"/>
  <c r="I37" i="6"/>
  <c r="H37" i="6"/>
  <c r="B55" i="7"/>
  <c r="E54" i="7"/>
  <c r="S32" i="4"/>
  <c r="V32" i="4" s="1"/>
  <c r="W32" i="4" s="1"/>
  <c r="P33" i="4"/>
  <c r="R19" i="2"/>
  <c r="Q19" i="2"/>
  <c r="V18" i="2"/>
  <c r="U18" i="2"/>
  <c r="P19" i="2" s="1"/>
  <c r="O19" i="2" l="1"/>
  <c r="T19" i="2"/>
  <c r="S19" i="2"/>
  <c r="C55" i="7"/>
  <c r="D55" i="7" s="1"/>
  <c r="S33" i="4"/>
  <c r="V33" i="4" s="1"/>
  <c r="W33" i="4" s="1"/>
  <c r="P34" i="4"/>
  <c r="G38" i="6"/>
  <c r="W11" i="3"/>
  <c r="M12" i="3"/>
  <c r="N12" i="3" s="1"/>
  <c r="F39" i="6" l="1"/>
  <c r="I38" i="6"/>
  <c r="P12" i="3"/>
  <c r="Q12" i="3" s="1"/>
  <c r="H38" i="6"/>
  <c r="S34" i="4"/>
  <c r="V34" i="4" s="1"/>
  <c r="W34" i="4" s="1"/>
  <c r="P35" i="4"/>
  <c r="B56" i="7"/>
  <c r="E55" i="7"/>
  <c r="R20" i="2"/>
  <c r="Q20" i="2"/>
  <c r="P20" i="2"/>
  <c r="V19" i="2"/>
  <c r="U19" i="2"/>
  <c r="O20" i="2" s="1"/>
  <c r="T20" i="2" l="1"/>
  <c r="S20" i="2"/>
  <c r="C56" i="7"/>
  <c r="D56" i="7"/>
  <c r="S35" i="4"/>
  <c r="V35" i="4" s="1"/>
  <c r="W35" i="4" s="1"/>
  <c r="P36" i="4"/>
  <c r="R12" i="3"/>
  <c r="G39" i="6"/>
  <c r="F40" i="6" l="1"/>
  <c r="I39" i="6"/>
  <c r="H39" i="6"/>
  <c r="S12" i="3"/>
  <c r="U12" i="3" s="1"/>
  <c r="S36" i="4"/>
  <c r="V36" i="4" s="1"/>
  <c r="W36" i="4" s="1"/>
  <c r="P37" i="4"/>
  <c r="B57" i="7"/>
  <c r="E56" i="7"/>
  <c r="R21" i="2"/>
  <c r="Q21" i="2"/>
  <c r="O21" i="2"/>
  <c r="V20" i="2"/>
  <c r="U20" i="2"/>
  <c r="P21" i="2" s="1"/>
  <c r="S21" i="2" l="1"/>
  <c r="T21" i="2"/>
  <c r="S37" i="4"/>
  <c r="V37" i="4" s="1"/>
  <c r="W37" i="4" s="1"/>
  <c r="P38" i="4"/>
  <c r="C57" i="7"/>
  <c r="E57" i="7" s="1"/>
  <c r="M13" i="3"/>
  <c r="N13" i="3" s="1"/>
  <c r="W12" i="3"/>
  <c r="G40" i="6"/>
  <c r="H40" i="6" s="1"/>
  <c r="F41" i="6" l="1"/>
  <c r="I40" i="6"/>
  <c r="P13" i="3"/>
  <c r="Q13" i="3" s="1"/>
  <c r="D57" i="7"/>
  <c r="S38" i="4"/>
  <c r="V38" i="4" s="1"/>
  <c r="W38" i="4" s="1"/>
  <c r="P39" i="4"/>
  <c r="V21" i="2"/>
  <c r="U21" i="2"/>
  <c r="O22" i="2" s="1"/>
  <c r="Q22" i="2"/>
  <c r="R22" i="2"/>
  <c r="P22" i="2"/>
  <c r="S22" i="2" l="1"/>
  <c r="T22" i="2"/>
  <c r="S39" i="4"/>
  <c r="V39" i="4" s="1"/>
  <c r="W39" i="4" s="1"/>
  <c r="P40" i="4"/>
  <c r="R13" i="3"/>
  <c r="G41" i="6"/>
  <c r="H41" i="6" s="1"/>
  <c r="S13" i="3" l="1"/>
  <c r="U13" i="3" s="1"/>
  <c r="S40" i="4"/>
  <c r="V40" i="4" s="1"/>
  <c r="W40" i="4" s="1"/>
  <c r="P41" i="4"/>
  <c r="F42" i="6"/>
  <c r="I41" i="6"/>
  <c r="V22" i="2"/>
  <c r="U22" i="2"/>
  <c r="R23" i="2"/>
  <c r="Q23" i="2"/>
  <c r="P23" i="2"/>
  <c r="O23" i="2"/>
  <c r="S23" i="2" l="1"/>
  <c r="T23" i="2"/>
  <c r="P42" i="4"/>
  <c r="S41" i="4"/>
  <c r="V41" i="4" s="1"/>
  <c r="W41" i="4" s="1"/>
  <c r="G42" i="6"/>
  <c r="I42" i="6" s="1"/>
  <c r="M14" i="3"/>
  <c r="N14" i="3" s="1"/>
  <c r="W13" i="3"/>
  <c r="P14" i="3" l="1"/>
  <c r="Q14" i="3" s="1"/>
  <c r="H42" i="6"/>
  <c r="S42" i="4"/>
  <c r="V42" i="4" s="1"/>
  <c r="W42" i="4" s="1"/>
  <c r="P43" i="4"/>
  <c r="V23" i="2"/>
  <c r="U23" i="2"/>
  <c r="R24" i="2"/>
  <c r="Q24" i="2"/>
  <c r="P24" i="2"/>
  <c r="O24" i="2"/>
  <c r="T24" i="2" l="1"/>
  <c r="S24" i="2"/>
  <c r="P44" i="4"/>
  <c r="S43" i="4"/>
  <c r="V43" i="4" s="1"/>
  <c r="W43" i="4" s="1"/>
  <c r="R14" i="3"/>
  <c r="S14" i="3" l="1"/>
  <c r="U14" i="3" s="1"/>
  <c r="R25" i="2"/>
  <c r="Q25" i="2"/>
  <c r="P45" i="4"/>
  <c r="S44" i="4"/>
  <c r="V44" i="4" s="1"/>
  <c r="W44" i="4" s="1"/>
  <c r="V24" i="2"/>
  <c r="U24" i="2"/>
  <c r="P25" i="2" s="1"/>
  <c r="O25" i="2" l="1"/>
  <c r="S45" i="4"/>
  <c r="V45" i="4" s="1"/>
  <c r="W45" i="4" s="1"/>
  <c r="P46" i="4"/>
  <c r="T25" i="2"/>
  <c r="S25" i="2"/>
  <c r="M15" i="3"/>
  <c r="N15" i="3" s="1"/>
  <c r="W14" i="3"/>
  <c r="P15" i="3" l="1"/>
  <c r="Q15" i="3" s="1"/>
  <c r="R15" i="3"/>
  <c r="S46" i="4"/>
  <c r="V46" i="4" s="1"/>
  <c r="W46" i="4" s="1"/>
  <c r="P47" i="4"/>
  <c r="R26" i="2"/>
  <c r="Q26" i="2"/>
  <c r="V25" i="2"/>
  <c r="U25" i="2"/>
  <c r="P26" i="2" s="1"/>
  <c r="O26" i="2" l="1"/>
  <c r="T26" i="2"/>
  <c r="S26" i="2"/>
  <c r="S47" i="4"/>
  <c r="V47" i="4" s="1"/>
  <c r="W47" i="4" s="1"/>
  <c r="P48" i="4"/>
  <c r="S15" i="3"/>
  <c r="U15" i="3" s="1"/>
  <c r="M16" i="3" l="1"/>
  <c r="N16" i="3" s="1"/>
  <c r="W15" i="3"/>
  <c r="S48" i="4"/>
  <c r="V48" i="4" s="1"/>
  <c r="W48" i="4" s="1"/>
  <c r="P49" i="4"/>
  <c r="R27" i="2"/>
  <c r="Q27" i="2"/>
  <c r="O27" i="2"/>
  <c r="U26" i="2"/>
  <c r="P27" i="2" s="1"/>
  <c r="V26" i="2"/>
  <c r="T27" i="2" l="1"/>
  <c r="S27" i="2"/>
  <c r="P50" i="4"/>
  <c r="S49" i="4"/>
  <c r="V49" i="4" s="1"/>
  <c r="W49" i="4" s="1"/>
  <c r="P16" i="3"/>
  <c r="Q16" i="3" s="1"/>
  <c r="R16" i="3" l="1"/>
  <c r="S50" i="4"/>
  <c r="V50" i="4" s="1"/>
  <c r="W50" i="4" s="1"/>
  <c r="P51" i="4"/>
  <c r="R28" i="2"/>
  <c r="P28" i="2"/>
  <c r="Q28" i="2"/>
  <c r="V27" i="2"/>
  <c r="U27" i="2"/>
  <c r="O28" i="2" s="1"/>
  <c r="T28" i="2" l="1"/>
  <c r="S28" i="2"/>
  <c r="S51" i="4"/>
  <c r="V51" i="4" s="1"/>
  <c r="W51" i="4" s="1"/>
  <c r="P52" i="4"/>
  <c r="S16" i="3"/>
  <c r="U16" i="3" s="1"/>
  <c r="W16" i="3" l="1"/>
  <c r="M17" i="3"/>
  <c r="N17" i="3" s="1"/>
  <c r="S52" i="4"/>
  <c r="V52" i="4" s="1"/>
  <c r="W52" i="4" s="1"/>
  <c r="P53" i="4"/>
  <c r="R29" i="2"/>
  <c r="Q29" i="2"/>
  <c r="O29" i="2"/>
  <c r="V28" i="2"/>
  <c r="U28" i="2"/>
  <c r="P29" i="2" s="1"/>
  <c r="S29" i="2" l="1"/>
  <c r="T29" i="2"/>
  <c r="P54" i="4"/>
  <c r="S53" i="4"/>
  <c r="V53" i="4" s="1"/>
  <c r="W53" i="4" s="1"/>
  <c r="P17" i="3"/>
  <c r="Q17" i="3" s="1"/>
  <c r="R17" i="3" l="1"/>
  <c r="S54" i="4"/>
  <c r="V54" i="4" s="1"/>
  <c r="W54" i="4" s="1"/>
  <c r="P55" i="4"/>
  <c r="V29" i="2"/>
  <c r="U29" i="2"/>
  <c r="R30" i="2"/>
  <c r="Q30" i="2"/>
  <c r="P30" i="2"/>
  <c r="O30" i="2"/>
  <c r="T30" i="2" l="1"/>
  <c r="S30" i="2"/>
  <c r="S55" i="4"/>
  <c r="V55" i="4" s="1"/>
  <c r="W55" i="4" s="1"/>
  <c r="P56" i="4"/>
  <c r="S17" i="3"/>
  <c r="U17" i="3" s="1"/>
  <c r="P57" i="4" l="1"/>
  <c r="S56" i="4"/>
  <c r="V56" i="4" s="1"/>
  <c r="W56" i="4" s="1"/>
  <c r="M18" i="3"/>
  <c r="N18" i="3" s="1"/>
  <c r="W17" i="3"/>
  <c r="R31" i="2"/>
  <c r="Q31" i="2"/>
  <c r="V30" i="2"/>
  <c r="U30" i="2"/>
  <c r="O31" i="2" s="1"/>
  <c r="P31" i="2" l="1"/>
  <c r="T31" i="2" s="1"/>
  <c r="P18" i="3"/>
  <c r="Q18" i="3" s="1"/>
  <c r="S57" i="4"/>
  <c r="V57" i="4" s="1"/>
  <c r="W57" i="4" s="1"/>
  <c r="P58" i="4"/>
  <c r="S31" i="2" l="1"/>
  <c r="S58" i="4"/>
  <c r="V58" i="4" s="1"/>
  <c r="W58" i="4" s="1"/>
  <c r="P59" i="4"/>
  <c r="R18" i="3"/>
  <c r="Q32" i="2"/>
  <c r="R32" i="2"/>
  <c r="V31" i="2"/>
  <c r="U31" i="2"/>
  <c r="P32" i="2" s="1"/>
  <c r="O32" i="2" l="1"/>
  <c r="T32" i="2" s="1"/>
  <c r="S18" i="3"/>
  <c r="U18" i="3" s="1"/>
  <c r="P60" i="4"/>
  <c r="S59" i="4"/>
  <c r="V59" i="4" s="1"/>
  <c r="W59" i="4" s="1"/>
  <c r="S32" i="2" l="1"/>
  <c r="P61" i="4"/>
  <c r="S60" i="4"/>
  <c r="V60" i="4" s="1"/>
  <c r="W60" i="4" s="1"/>
  <c r="W18" i="3"/>
  <c r="M19" i="3"/>
  <c r="N19" i="3" s="1"/>
  <c r="R33" i="2"/>
  <c r="Q33" i="2"/>
  <c r="V32" i="2"/>
  <c r="U32" i="2"/>
  <c r="O33" i="2" s="1"/>
  <c r="P33" i="2" l="1"/>
  <c r="T33" i="2"/>
  <c r="S33" i="2"/>
  <c r="P19" i="3"/>
  <c r="Q19" i="3" s="1"/>
  <c r="P62" i="4"/>
  <c r="S61" i="4"/>
  <c r="V61" i="4" s="1"/>
  <c r="W61" i="4" s="1"/>
  <c r="S62" i="4" l="1"/>
  <c r="V62" i="4" s="1"/>
  <c r="W62" i="4" s="1"/>
  <c r="P63" i="4"/>
  <c r="R19" i="3"/>
  <c r="R34" i="2"/>
  <c r="Q34" i="2"/>
  <c r="V33" i="2"/>
  <c r="U33" i="2"/>
  <c r="P34" i="2" s="1"/>
  <c r="O34" i="2" l="1"/>
  <c r="S63" i="4"/>
  <c r="V63" i="4" s="1"/>
  <c r="W63" i="4" s="1"/>
  <c r="P64" i="4"/>
  <c r="T34" i="2"/>
  <c r="S34" i="2"/>
  <c r="S19" i="3"/>
  <c r="U19" i="3" s="1"/>
  <c r="W19" i="3" l="1"/>
  <c r="M20" i="3"/>
  <c r="N20" i="3" s="1"/>
  <c r="S64" i="4"/>
  <c r="V64" i="4" s="1"/>
  <c r="W64" i="4" s="1"/>
  <c r="P65" i="4"/>
  <c r="R35" i="2"/>
  <c r="Q35" i="2"/>
  <c r="P35" i="2"/>
  <c r="V34" i="2"/>
  <c r="U34" i="2"/>
  <c r="O35" i="2" s="1"/>
  <c r="S35" i="2" l="1"/>
  <c r="T35" i="2"/>
  <c r="S65" i="4"/>
  <c r="V65" i="4" s="1"/>
  <c r="W65" i="4" s="1"/>
  <c r="P66" i="4"/>
  <c r="P20" i="3"/>
  <c r="Q20" i="3" s="1"/>
  <c r="R20" i="3"/>
  <c r="S20" i="3" l="1"/>
  <c r="U20" i="3" s="1"/>
  <c r="S66" i="4"/>
  <c r="V66" i="4" s="1"/>
  <c r="W66" i="4" s="1"/>
  <c r="P67" i="4"/>
  <c r="V35" i="2"/>
  <c r="U35" i="2"/>
  <c r="R36" i="2"/>
  <c r="Q36" i="2"/>
  <c r="P36" i="2"/>
  <c r="O36" i="2"/>
  <c r="T36" i="2" l="1"/>
  <c r="S36" i="2"/>
  <c r="S67" i="4"/>
  <c r="V67" i="4" s="1"/>
  <c r="W67" i="4" s="1"/>
  <c r="P68" i="4"/>
  <c r="W20" i="3"/>
  <c r="M21" i="3"/>
  <c r="N21" i="3" s="1"/>
  <c r="P21" i="3" l="1"/>
  <c r="Q21" i="3" s="1"/>
  <c r="S68" i="4"/>
  <c r="V68" i="4" s="1"/>
  <c r="W68" i="4" s="1"/>
  <c r="P69" i="4"/>
  <c r="R37" i="2"/>
  <c r="P37" i="2"/>
  <c r="Q37" i="2"/>
  <c r="V36" i="2"/>
  <c r="U36" i="2"/>
  <c r="O37" i="2" s="1"/>
  <c r="T37" i="2" l="1"/>
  <c r="S37" i="2"/>
  <c r="S69" i="4"/>
  <c r="V69" i="4" s="1"/>
  <c r="W69" i="4" s="1"/>
  <c r="P70" i="4"/>
  <c r="R21" i="3"/>
  <c r="S21" i="3" l="1"/>
  <c r="U21" i="3" s="1"/>
  <c r="S70" i="4"/>
  <c r="V70" i="4" s="1"/>
  <c r="W70" i="4" s="1"/>
  <c r="P71" i="4"/>
  <c r="R38" i="2"/>
  <c r="Q38" i="2"/>
  <c r="O38" i="2"/>
  <c r="V37" i="2"/>
  <c r="U37" i="2"/>
  <c r="P38" i="2" s="1"/>
  <c r="T38" i="2" l="1"/>
  <c r="S38" i="2"/>
  <c r="S71" i="4"/>
  <c r="V71" i="4" s="1"/>
  <c r="W71" i="4" s="1"/>
  <c r="P72" i="4"/>
  <c r="M22" i="3"/>
  <c r="N22" i="3" s="1"/>
  <c r="W21" i="3"/>
  <c r="P22" i="3" l="1"/>
  <c r="Q22" i="3" s="1"/>
  <c r="R22" i="3"/>
  <c r="S72" i="4"/>
  <c r="V72" i="4" s="1"/>
  <c r="W72" i="4" s="1"/>
  <c r="P73" i="4"/>
  <c r="R39" i="2"/>
  <c r="P39" i="2"/>
  <c r="Q39" i="2"/>
  <c r="U38" i="2"/>
  <c r="O39" i="2" s="1"/>
  <c r="V38" i="2"/>
  <c r="P74" i="4" l="1"/>
  <c r="S73" i="4"/>
  <c r="V73" i="4" s="1"/>
  <c r="W73" i="4" s="1"/>
  <c r="T39" i="2"/>
  <c r="S39" i="2"/>
  <c r="S22" i="3"/>
  <c r="U22" i="3" s="1"/>
  <c r="Q40" i="2" l="1"/>
  <c r="O40" i="2"/>
  <c r="R40" i="2"/>
  <c r="M23" i="3"/>
  <c r="N23" i="3" s="1"/>
  <c r="W22" i="3"/>
  <c r="V39" i="2"/>
  <c r="U39" i="2"/>
  <c r="P40" i="2" s="1"/>
  <c r="S74" i="4"/>
  <c r="V74" i="4" s="1"/>
  <c r="W74" i="4" s="1"/>
  <c r="P75" i="4"/>
  <c r="S75" i="4" l="1"/>
  <c r="V75" i="4" s="1"/>
  <c r="W75" i="4" s="1"/>
  <c r="P76" i="4"/>
  <c r="P23" i="3"/>
  <c r="Q23" i="3" s="1"/>
  <c r="T40" i="2"/>
  <c r="S40" i="2"/>
  <c r="R41" i="2" l="1"/>
  <c r="Q41" i="2"/>
  <c r="V40" i="2"/>
  <c r="U40" i="2"/>
  <c r="P41" i="2" s="1"/>
  <c r="R23" i="3"/>
  <c r="P77" i="4"/>
  <c r="S76" i="4"/>
  <c r="V76" i="4" s="1"/>
  <c r="W76" i="4" s="1"/>
  <c r="O41" i="2" l="1"/>
  <c r="P78" i="4"/>
  <c r="S77" i="4"/>
  <c r="V77" i="4" s="1"/>
  <c r="W77" i="4" s="1"/>
  <c r="T41" i="2"/>
  <c r="S41" i="2"/>
  <c r="S23" i="3"/>
  <c r="U23" i="3" s="1"/>
  <c r="M24" i="3" l="1"/>
  <c r="N24" i="3" s="1"/>
  <c r="W23" i="3"/>
  <c r="R42" i="2"/>
  <c r="Q42" i="2"/>
  <c r="O42" i="2"/>
  <c r="V41" i="2"/>
  <c r="U41" i="2"/>
  <c r="P42" i="2" s="1"/>
  <c r="S78" i="4"/>
  <c r="V78" i="4" s="1"/>
  <c r="W78" i="4" s="1"/>
  <c r="P79" i="4"/>
  <c r="S79" i="4" l="1"/>
  <c r="V79" i="4" s="1"/>
  <c r="W79" i="4" s="1"/>
  <c r="P80" i="4"/>
  <c r="T42" i="2"/>
  <c r="S42" i="2"/>
  <c r="P24" i="3"/>
  <c r="Q24" i="3" s="1"/>
  <c r="R43" i="2" l="1"/>
  <c r="Q43" i="2"/>
  <c r="P43" i="2"/>
  <c r="P81" i="4"/>
  <c r="S80" i="4"/>
  <c r="V80" i="4" s="1"/>
  <c r="W80" i="4" s="1"/>
  <c r="R24" i="3"/>
  <c r="V42" i="2"/>
  <c r="U42" i="2"/>
  <c r="O43" i="2" s="1"/>
  <c r="S43" i="2" l="1"/>
  <c r="T43" i="2"/>
  <c r="S24" i="3"/>
  <c r="U24" i="3" s="1"/>
  <c r="S81" i="4"/>
  <c r="V81" i="4" s="1"/>
  <c r="W81" i="4" s="1"/>
  <c r="P82" i="4"/>
  <c r="S82" i="4" l="1"/>
  <c r="V82" i="4" s="1"/>
  <c r="W82" i="4" s="1"/>
  <c r="P83" i="4"/>
  <c r="M25" i="3"/>
  <c r="N25" i="3" s="1"/>
  <c r="W24" i="3"/>
  <c r="V43" i="2"/>
  <c r="U43" i="2"/>
  <c r="R44" i="2"/>
  <c r="Q44" i="2"/>
  <c r="P44" i="2"/>
  <c r="O44" i="2"/>
  <c r="T44" i="2" l="1"/>
  <c r="S44" i="2"/>
  <c r="S83" i="4"/>
  <c r="V83" i="4" s="1"/>
  <c r="W83" i="4" s="1"/>
  <c r="P84" i="4"/>
  <c r="P25" i="3"/>
  <c r="Q25" i="3" s="1"/>
  <c r="R25" i="3" l="1"/>
  <c r="S84" i="4"/>
  <c r="V84" i="4" s="1"/>
  <c r="W84" i="4" s="1"/>
  <c r="P85" i="4"/>
  <c r="R45" i="2"/>
  <c r="P45" i="2"/>
  <c r="Q45" i="2"/>
  <c r="V44" i="2"/>
  <c r="U44" i="2"/>
  <c r="O45" i="2" s="1"/>
  <c r="T45" i="2" l="1"/>
  <c r="S45" i="2"/>
  <c r="S85" i="4"/>
  <c r="V85" i="4" s="1"/>
  <c r="W85" i="4" s="1"/>
  <c r="P86" i="4"/>
  <c r="S25" i="3"/>
  <c r="U25" i="3" s="1"/>
  <c r="W25" i="3" l="1"/>
  <c r="M26" i="3"/>
  <c r="N26" i="3" s="1"/>
  <c r="R46" i="2"/>
  <c r="Q46" i="2"/>
  <c r="S86" i="4"/>
  <c r="V86" i="4" s="1"/>
  <c r="W86" i="4" s="1"/>
  <c r="P87" i="4"/>
  <c r="V45" i="2"/>
  <c r="U45" i="2"/>
  <c r="O46" i="2" s="1"/>
  <c r="P46" i="2" l="1"/>
  <c r="T46" i="2"/>
  <c r="S46" i="2"/>
  <c r="S87" i="4"/>
  <c r="V87" i="4" s="1"/>
  <c r="W87" i="4" s="1"/>
  <c r="P88" i="4"/>
  <c r="P26" i="3"/>
  <c r="Q26" i="3" s="1"/>
  <c r="R26" i="3" l="1"/>
  <c r="S88" i="4"/>
  <c r="V88" i="4" s="1"/>
  <c r="W88" i="4" s="1"/>
  <c r="P89" i="4"/>
  <c r="R47" i="2"/>
  <c r="P47" i="2"/>
  <c r="Q47" i="2"/>
  <c r="U46" i="2"/>
  <c r="O47" i="2" s="1"/>
  <c r="V46" i="2"/>
  <c r="T47" i="2" l="1"/>
  <c r="S47" i="2"/>
  <c r="S89" i="4"/>
  <c r="V89" i="4" s="1"/>
  <c r="W89" i="4" s="1"/>
  <c r="P90" i="4"/>
  <c r="S26" i="3"/>
  <c r="U26" i="3" s="1"/>
  <c r="M27" i="3" l="1"/>
  <c r="N27" i="3" s="1"/>
  <c r="W26" i="3"/>
  <c r="S90" i="4"/>
  <c r="V90" i="4" s="1"/>
  <c r="W90" i="4" s="1"/>
  <c r="P91" i="4"/>
  <c r="Q48" i="2"/>
  <c r="P48" i="2"/>
  <c r="R48" i="2"/>
  <c r="V47" i="2"/>
  <c r="U47" i="2"/>
  <c r="O48" i="2" s="1"/>
  <c r="T48" i="2" l="1"/>
  <c r="S48" i="2"/>
  <c r="P92" i="4"/>
  <c r="S91" i="4"/>
  <c r="V91" i="4" s="1"/>
  <c r="W91" i="4" s="1"/>
  <c r="P27" i="3"/>
  <c r="Q27" i="3" s="1"/>
  <c r="R27" i="3" l="1"/>
  <c r="P93" i="4"/>
  <c r="S92" i="4"/>
  <c r="V92" i="4" s="1"/>
  <c r="W92" i="4" s="1"/>
  <c r="R49" i="2"/>
  <c r="Q49" i="2"/>
  <c r="V48" i="2"/>
  <c r="U48" i="2"/>
  <c r="P49" i="2" s="1"/>
  <c r="O49" i="2" l="1"/>
  <c r="P94" i="4"/>
  <c r="S93" i="4"/>
  <c r="V93" i="4" s="1"/>
  <c r="W93" i="4" s="1"/>
  <c r="T49" i="2"/>
  <c r="S49" i="2"/>
  <c r="S27" i="3"/>
  <c r="U27" i="3" s="1"/>
  <c r="R50" i="2" l="1"/>
  <c r="P50" i="2"/>
  <c r="Q50" i="2"/>
  <c r="V49" i="2"/>
  <c r="U49" i="2"/>
  <c r="O50" i="2" s="1"/>
  <c r="W27" i="3"/>
  <c r="M28" i="3"/>
  <c r="N28" i="3" s="1"/>
  <c r="S94" i="4"/>
  <c r="V94" i="4" s="1"/>
  <c r="W94" i="4" s="1"/>
  <c r="P95" i="4"/>
  <c r="T50" i="2" l="1"/>
  <c r="S50" i="2"/>
  <c r="S95" i="4"/>
  <c r="V95" i="4" s="1"/>
  <c r="W95" i="4" s="1"/>
  <c r="P96" i="4"/>
  <c r="P28" i="3"/>
  <c r="Q28" i="3" s="1"/>
  <c r="R28" i="3" l="1"/>
  <c r="S96" i="4"/>
  <c r="V96" i="4" s="1"/>
  <c r="W96" i="4" s="1"/>
  <c r="P97" i="4"/>
  <c r="R51" i="2"/>
  <c r="Q51" i="2"/>
  <c r="O51" i="2"/>
  <c r="V50" i="2"/>
  <c r="U50" i="2"/>
  <c r="P51" i="2" s="1"/>
  <c r="S51" i="2" l="1"/>
  <c r="T51" i="2"/>
  <c r="P98" i="4"/>
  <c r="S97" i="4"/>
  <c r="V97" i="4" s="1"/>
  <c r="W97" i="4" s="1"/>
  <c r="S28" i="3"/>
  <c r="U28" i="3" s="1"/>
  <c r="M29" i="3" l="1"/>
  <c r="N29" i="3" s="1"/>
  <c r="W28" i="3"/>
  <c r="P99" i="4"/>
  <c r="S98" i="4"/>
  <c r="V98" i="4" s="1"/>
  <c r="W98" i="4" s="1"/>
  <c r="V51" i="2"/>
  <c r="U51" i="2"/>
  <c r="R52" i="2"/>
  <c r="Q52" i="2"/>
  <c r="P52" i="2"/>
  <c r="O52" i="2"/>
  <c r="T52" i="2" l="1"/>
  <c r="S52" i="2"/>
  <c r="S99" i="4"/>
  <c r="V99" i="4" s="1"/>
  <c r="W99" i="4" s="1"/>
  <c r="P100" i="4"/>
  <c r="P29" i="3"/>
  <c r="Q29" i="3" s="1"/>
  <c r="S100" i="4" l="1"/>
  <c r="V100" i="4" s="1"/>
  <c r="W100" i="4" s="1"/>
  <c r="P101" i="4"/>
  <c r="R29" i="3"/>
  <c r="R53" i="2"/>
  <c r="Q53" i="2"/>
  <c r="V52" i="2"/>
  <c r="U52" i="2"/>
  <c r="O53" i="2" s="1"/>
  <c r="P53" i="2" l="1"/>
  <c r="T53" i="2"/>
  <c r="S53" i="2"/>
  <c r="S29" i="3"/>
  <c r="U29" i="3" s="1"/>
  <c r="S101" i="4"/>
  <c r="V101" i="4" s="1"/>
  <c r="W101" i="4" s="1"/>
  <c r="P102" i="4"/>
  <c r="P103" i="4" l="1"/>
  <c r="S102" i="4"/>
  <c r="V102" i="4" s="1"/>
  <c r="W102" i="4" s="1"/>
  <c r="W29" i="3"/>
  <c r="M30" i="3"/>
  <c r="N30" i="3" s="1"/>
  <c r="R54" i="2"/>
  <c r="Q54" i="2"/>
  <c r="P54" i="2"/>
  <c r="V53" i="2"/>
  <c r="U53" i="2"/>
  <c r="O54" i="2" s="1"/>
  <c r="T54" i="2" l="1"/>
  <c r="S54" i="2"/>
  <c r="P30" i="3"/>
  <c r="Q30" i="3" s="1"/>
  <c r="S103" i="4"/>
  <c r="V103" i="4" s="1"/>
  <c r="W103" i="4" s="1"/>
  <c r="P104" i="4"/>
  <c r="S104" i="4" l="1"/>
  <c r="V104" i="4" s="1"/>
  <c r="W104" i="4" s="1"/>
  <c r="P105" i="4"/>
  <c r="R30" i="3"/>
  <c r="R55" i="2"/>
  <c r="P55" i="2"/>
  <c r="Q55" i="2"/>
  <c r="U54" i="2"/>
  <c r="O55" i="2" s="1"/>
  <c r="V54" i="2"/>
  <c r="T55" i="2" l="1"/>
  <c r="S55" i="2"/>
  <c r="P106" i="4"/>
  <c r="S105" i="4"/>
  <c r="V105" i="4" s="1"/>
  <c r="W105" i="4" s="1"/>
  <c r="S30" i="3"/>
  <c r="U30" i="3" s="1"/>
  <c r="M31" i="3" l="1"/>
  <c r="N31" i="3" s="1"/>
  <c r="W30" i="3"/>
  <c r="S106" i="4"/>
  <c r="V106" i="4" s="1"/>
  <c r="W106" i="4" s="1"/>
  <c r="P107" i="4"/>
  <c r="Q56" i="2"/>
  <c r="O56" i="2"/>
  <c r="R56" i="2"/>
  <c r="V55" i="2"/>
  <c r="U55" i="2"/>
  <c r="P56" i="2" s="1"/>
  <c r="T56" i="2" l="1"/>
  <c r="S56" i="2"/>
  <c r="S107" i="4"/>
  <c r="V107" i="4" s="1"/>
  <c r="W107" i="4" s="1"/>
  <c r="P108" i="4"/>
  <c r="P31" i="3"/>
  <c r="Q31" i="3" s="1"/>
  <c r="S108" i="4" l="1"/>
  <c r="V108" i="4" s="1"/>
  <c r="W108" i="4" s="1"/>
  <c r="P109" i="4"/>
  <c r="R31" i="3"/>
  <c r="R57" i="2"/>
  <c r="Q57" i="2"/>
  <c r="O57" i="2"/>
  <c r="V56" i="2"/>
  <c r="U56" i="2"/>
  <c r="P57" i="2" s="1"/>
  <c r="T57" i="2" l="1"/>
  <c r="S57" i="2"/>
  <c r="S31" i="3"/>
  <c r="U31" i="3" s="1"/>
  <c r="S109" i="4"/>
  <c r="V109" i="4" s="1"/>
  <c r="W109" i="4" s="1"/>
  <c r="P110" i="4"/>
  <c r="P111" i="4" l="1"/>
  <c r="S110" i="4"/>
  <c r="V110" i="4" s="1"/>
  <c r="W110" i="4" s="1"/>
  <c r="M32" i="3"/>
  <c r="N32" i="3" s="1"/>
  <c r="W31" i="3"/>
  <c r="R58" i="2"/>
  <c r="Q58" i="2"/>
  <c r="O58" i="2"/>
  <c r="V57" i="2"/>
  <c r="U57" i="2"/>
  <c r="P58" i="2" s="1"/>
  <c r="T58" i="2" l="1"/>
  <c r="S58" i="2"/>
  <c r="P32" i="3"/>
  <c r="Q32" i="3" s="1"/>
  <c r="S111" i="4"/>
  <c r="V111" i="4" s="1"/>
  <c r="W111" i="4" s="1"/>
  <c r="P112" i="4"/>
  <c r="S112" i="4" l="1"/>
  <c r="V112" i="4" s="1"/>
  <c r="W112" i="4" s="1"/>
  <c r="P113" i="4"/>
  <c r="R32" i="3"/>
  <c r="R59" i="2"/>
  <c r="Q59" i="2"/>
  <c r="P59" i="2"/>
  <c r="V58" i="2"/>
  <c r="U58" i="2"/>
  <c r="O59" i="2" s="1"/>
  <c r="S59" i="2" l="1"/>
  <c r="T59" i="2"/>
  <c r="S32" i="3"/>
  <c r="U32" i="3" s="1"/>
  <c r="S113" i="4"/>
  <c r="V113" i="4" s="1"/>
  <c r="W113" i="4" s="1"/>
  <c r="P114" i="4"/>
  <c r="P115" i="4" l="1"/>
  <c r="S114" i="4"/>
  <c r="V114" i="4" s="1"/>
  <c r="W114" i="4" s="1"/>
  <c r="M33" i="3"/>
  <c r="N33" i="3" s="1"/>
  <c r="W32" i="3"/>
  <c r="V59" i="2"/>
  <c r="U59" i="2"/>
  <c r="R60" i="2"/>
  <c r="Q60" i="2"/>
  <c r="P60" i="2"/>
  <c r="O60" i="2"/>
  <c r="T60" i="2" l="1"/>
  <c r="S60" i="2"/>
  <c r="P33" i="3"/>
  <c r="Q33" i="3" s="1"/>
  <c r="S115" i="4"/>
  <c r="V115" i="4" s="1"/>
  <c r="W115" i="4" s="1"/>
  <c r="P116" i="4"/>
  <c r="V60" i="2" l="1"/>
  <c r="U60" i="2"/>
  <c r="S116" i="4"/>
  <c r="V116" i="4" s="1"/>
  <c r="W116" i="4" s="1"/>
  <c r="P117" i="4"/>
  <c r="R33" i="3"/>
  <c r="O61" i="2"/>
  <c r="R61" i="2"/>
  <c r="P61" i="2"/>
  <c r="Q61" i="2"/>
  <c r="T61" i="2" l="1"/>
  <c r="S61" i="2"/>
  <c r="S33" i="3"/>
  <c r="U33" i="3" s="1"/>
  <c r="P118" i="4"/>
  <c r="S117" i="4"/>
  <c r="V117" i="4" s="1"/>
  <c r="W117" i="4" s="1"/>
  <c r="P119" i="4" l="1"/>
  <c r="S118" i="4"/>
  <c r="V118" i="4" s="1"/>
  <c r="W118" i="4" s="1"/>
  <c r="W33" i="3"/>
  <c r="M34" i="3"/>
  <c r="N34" i="3" s="1"/>
  <c r="R62" i="2"/>
  <c r="Q62" i="2"/>
  <c r="O62" i="2"/>
  <c r="V61" i="2"/>
  <c r="U61" i="2"/>
  <c r="P62" i="2" s="1"/>
  <c r="T62" i="2" l="1"/>
  <c r="S62" i="2"/>
  <c r="P34" i="3"/>
  <c r="Q34" i="3" s="1"/>
  <c r="S119" i="4"/>
  <c r="V119" i="4" s="1"/>
  <c r="W119" i="4" s="1"/>
  <c r="P120" i="4"/>
  <c r="S120" i="4" l="1"/>
  <c r="V120" i="4" s="1"/>
  <c r="W120" i="4" s="1"/>
  <c r="P121" i="4"/>
  <c r="R34" i="3"/>
  <c r="R63" i="2"/>
  <c r="P63" i="2"/>
  <c r="Q63" i="2"/>
  <c r="U62" i="2"/>
  <c r="O63" i="2" s="1"/>
  <c r="V62" i="2"/>
  <c r="T63" i="2" l="1"/>
  <c r="S63" i="2"/>
  <c r="S34" i="3"/>
  <c r="U34" i="3" s="1"/>
  <c r="P122" i="4"/>
  <c r="S121" i="4"/>
  <c r="V121" i="4" s="1"/>
  <c r="W121" i="4" s="1"/>
  <c r="S122" i="4" l="1"/>
  <c r="V122" i="4" s="1"/>
  <c r="W122" i="4" s="1"/>
  <c r="P123" i="4"/>
  <c r="M35" i="3"/>
  <c r="N35" i="3" s="1"/>
  <c r="W34" i="3"/>
  <c r="Q64" i="2"/>
  <c r="P64" i="2"/>
  <c r="R64" i="2"/>
  <c r="V63" i="2"/>
  <c r="U63" i="2"/>
  <c r="O64" i="2" s="1"/>
  <c r="T64" i="2" l="1"/>
  <c r="S64" i="2"/>
  <c r="P35" i="3"/>
  <c r="Q35" i="3" s="1"/>
  <c r="R35" i="3"/>
  <c r="P124" i="4"/>
  <c r="S123" i="4"/>
  <c r="V123" i="4" s="1"/>
  <c r="W123" i="4" s="1"/>
  <c r="P125" i="4" l="1"/>
  <c r="S124" i="4"/>
  <c r="V124" i="4" s="1"/>
  <c r="W124" i="4" s="1"/>
  <c r="S35" i="3"/>
  <c r="U35" i="3" s="1"/>
  <c r="R65" i="2"/>
  <c r="Q65" i="2"/>
  <c r="O65" i="2"/>
  <c r="V64" i="2"/>
  <c r="U64" i="2"/>
  <c r="P65" i="2" s="1"/>
  <c r="T65" i="2" l="1"/>
  <c r="S65" i="2"/>
  <c r="W35" i="3"/>
  <c r="M36" i="3"/>
  <c r="N36" i="3" s="1"/>
  <c r="P126" i="4"/>
  <c r="S125" i="4"/>
  <c r="V125" i="4" s="1"/>
  <c r="W125" i="4" s="1"/>
  <c r="S126" i="4" l="1"/>
  <c r="V126" i="4" s="1"/>
  <c r="W126" i="4" s="1"/>
  <c r="P127" i="4"/>
  <c r="P36" i="3"/>
  <c r="Q36" i="3" s="1"/>
  <c r="R66" i="2"/>
  <c r="Q66" i="2"/>
  <c r="V65" i="2"/>
  <c r="U65" i="2"/>
  <c r="O66" i="2" s="1"/>
  <c r="P66" i="2" l="1"/>
  <c r="T66" i="2"/>
  <c r="S66" i="2"/>
  <c r="R36" i="3"/>
  <c r="P128" i="4"/>
  <c r="S127" i="4"/>
  <c r="V127" i="4" s="1"/>
  <c r="W127" i="4" s="1"/>
  <c r="S36" i="3" l="1"/>
  <c r="U36" i="3" s="1"/>
  <c r="R67" i="2"/>
  <c r="Q67" i="2"/>
  <c r="S128" i="4"/>
  <c r="V128" i="4" s="1"/>
  <c r="W128" i="4" s="1"/>
  <c r="P129" i="4"/>
  <c r="V66" i="2"/>
  <c r="U66" i="2"/>
  <c r="P67" i="2" s="1"/>
  <c r="O67" i="2" l="1"/>
  <c r="S129" i="4"/>
  <c r="V129" i="4" s="1"/>
  <c r="W129" i="4" s="1"/>
  <c r="P130" i="4"/>
  <c r="S67" i="2"/>
  <c r="T67" i="2"/>
  <c r="M37" i="3"/>
  <c r="N37" i="3" s="1"/>
  <c r="W36" i="3"/>
  <c r="P37" i="3" l="1"/>
  <c r="Q37" i="3" s="1"/>
  <c r="R37" i="3"/>
  <c r="V67" i="2"/>
  <c r="U67" i="2"/>
  <c r="R68" i="2"/>
  <c r="Q68" i="2"/>
  <c r="P68" i="2"/>
  <c r="O68" i="2"/>
  <c r="P131" i="4"/>
  <c r="S130" i="4"/>
  <c r="V130" i="4" s="1"/>
  <c r="W130" i="4" s="1"/>
  <c r="S131" i="4" l="1"/>
  <c r="V131" i="4" s="1"/>
  <c r="W131" i="4" s="1"/>
  <c r="P132" i="4"/>
  <c r="T68" i="2"/>
  <c r="S68" i="2"/>
  <c r="S37" i="3"/>
  <c r="U37" i="3" s="1"/>
  <c r="R69" i="2" l="1"/>
  <c r="Q69" i="2"/>
  <c r="S132" i="4"/>
  <c r="V132" i="4" s="1"/>
  <c r="W132" i="4" s="1"/>
  <c r="P133" i="4"/>
  <c r="M38" i="3"/>
  <c r="N38" i="3" s="1"/>
  <c r="W37" i="3"/>
  <c r="V68" i="2"/>
  <c r="U68" i="2"/>
  <c r="P69" i="2" s="1"/>
  <c r="O69" i="2" l="1"/>
  <c r="S133" i="4"/>
  <c r="V133" i="4" s="1"/>
  <c r="W133" i="4" s="1"/>
  <c r="P134" i="4"/>
  <c r="P38" i="3"/>
  <c r="Q38" i="3" s="1"/>
  <c r="T69" i="2"/>
  <c r="S69" i="2"/>
  <c r="V69" i="2" l="1"/>
  <c r="U69" i="2"/>
  <c r="R70" i="2"/>
  <c r="Q70" i="2"/>
  <c r="P70" i="2"/>
  <c r="O70" i="2"/>
  <c r="R38" i="3"/>
  <c r="S134" i="4"/>
  <c r="V134" i="4" s="1"/>
  <c r="W134" i="4" s="1"/>
  <c r="P135" i="4"/>
  <c r="S135" i="4" l="1"/>
  <c r="V135" i="4" s="1"/>
  <c r="W135" i="4" s="1"/>
  <c r="P136" i="4"/>
  <c r="T70" i="2"/>
  <c r="S70" i="2"/>
  <c r="S38" i="3"/>
  <c r="U38" i="3" s="1"/>
  <c r="R71" i="2" l="1"/>
  <c r="P71" i="2"/>
  <c r="Q71" i="2"/>
  <c r="S136" i="4"/>
  <c r="V136" i="4" s="1"/>
  <c r="W136" i="4" s="1"/>
  <c r="P137" i="4"/>
  <c r="M39" i="3"/>
  <c r="N39" i="3" s="1"/>
  <c r="W38" i="3"/>
  <c r="U70" i="2"/>
  <c r="O71" i="2" s="1"/>
  <c r="V70" i="2"/>
  <c r="T71" i="2" l="1"/>
  <c r="S71" i="2"/>
  <c r="P39" i="3"/>
  <c r="Q39" i="3" s="1"/>
  <c r="P138" i="4"/>
  <c r="S137" i="4"/>
  <c r="V137" i="4" s="1"/>
  <c r="W137" i="4" s="1"/>
  <c r="R39" i="3" l="1"/>
  <c r="S138" i="4"/>
  <c r="V138" i="4" s="1"/>
  <c r="W138" i="4" s="1"/>
  <c r="P139" i="4"/>
  <c r="Q72" i="2"/>
  <c r="O72" i="2"/>
  <c r="R72" i="2"/>
  <c r="V71" i="2"/>
  <c r="U71" i="2"/>
  <c r="P72" i="2" s="1"/>
  <c r="T72" i="2" l="1"/>
  <c r="S72" i="2"/>
  <c r="P140" i="4"/>
  <c r="S139" i="4"/>
  <c r="V139" i="4" s="1"/>
  <c r="W139" i="4" s="1"/>
  <c r="S39" i="3"/>
  <c r="U39" i="3" s="1"/>
  <c r="M40" i="3" l="1"/>
  <c r="N40" i="3" s="1"/>
  <c r="W39" i="3"/>
  <c r="P141" i="4"/>
  <c r="S140" i="4"/>
  <c r="V140" i="4" s="1"/>
  <c r="W140" i="4" s="1"/>
  <c r="R73" i="2"/>
  <c r="Q73" i="2"/>
  <c r="P73" i="2"/>
  <c r="V72" i="2"/>
  <c r="U72" i="2"/>
  <c r="O73" i="2" s="1"/>
  <c r="T73" i="2" l="1"/>
  <c r="S73" i="2"/>
  <c r="S141" i="4"/>
  <c r="V141" i="4" s="1"/>
  <c r="W141" i="4" s="1"/>
  <c r="P142" i="4"/>
  <c r="P40" i="3"/>
  <c r="Q40" i="3" s="1"/>
  <c r="P143" i="4" l="1"/>
  <c r="S142" i="4"/>
  <c r="V142" i="4" s="1"/>
  <c r="W142" i="4" s="1"/>
  <c r="R40" i="3"/>
  <c r="R74" i="2"/>
  <c r="Q74" i="2"/>
  <c r="V73" i="2"/>
  <c r="U73" i="2"/>
  <c r="O74" i="2" s="1"/>
  <c r="P74" i="2" l="1"/>
  <c r="T74" i="2" s="1"/>
  <c r="S40" i="3"/>
  <c r="U40" i="3" s="1"/>
  <c r="P144" i="4"/>
  <c r="S143" i="4"/>
  <c r="V143" i="4" s="1"/>
  <c r="W143" i="4" s="1"/>
  <c r="S74" i="2" l="1"/>
  <c r="R75" i="2" s="1"/>
  <c r="W40" i="3"/>
  <c r="M41" i="3"/>
  <c r="N41" i="3" s="1"/>
  <c r="S144" i="4"/>
  <c r="V144" i="4" s="1"/>
  <c r="W144" i="4" s="1"/>
  <c r="P145" i="4"/>
  <c r="V74" i="2"/>
  <c r="U74" i="2"/>
  <c r="P75" i="2" s="1"/>
  <c r="O75" i="2" l="1"/>
  <c r="T75" i="2" s="1"/>
  <c r="Q75" i="2"/>
  <c r="P146" i="4"/>
  <c r="S145" i="4"/>
  <c r="V145" i="4" s="1"/>
  <c r="W145" i="4" s="1"/>
  <c r="P41" i="3"/>
  <c r="Q41" i="3" s="1"/>
  <c r="S75" i="2" l="1"/>
  <c r="R41" i="3"/>
  <c r="S146" i="4"/>
  <c r="V146" i="4" s="1"/>
  <c r="W146" i="4" s="1"/>
  <c r="P147" i="4"/>
  <c r="V75" i="2"/>
  <c r="U75" i="2"/>
  <c r="R76" i="2"/>
  <c r="Q76" i="2"/>
  <c r="P76" i="2"/>
  <c r="O76" i="2"/>
  <c r="T76" i="2" l="1"/>
  <c r="S76" i="2"/>
  <c r="P148" i="4"/>
  <c r="S147" i="4"/>
  <c r="V147" i="4" s="1"/>
  <c r="W147" i="4" s="1"/>
  <c r="S41" i="3"/>
  <c r="U41" i="3" s="1"/>
  <c r="M42" i="3" l="1"/>
  <c r="N42" i="3" s="1"/>
  <c r="W41" i="3"/>
  <c r="P149" i="4"/>
  <c r="S148" i="4"/>
  <c r="V148" i="4" s="1"/>
  <c r="W148" i="4" s="1"/>
  <c r="R77" i="2"/>
  <c r="Q77" i="2"/>
  <c r="V76" i="2"/>
  <c r="U76" i="2"/>
  <c r="O77" i="2" s="1"/>
  <c r="P77" i="2" l="1"/>
  <c r="T77" i="2"/>
  <c r="S77" i="2"/>
  <c r="S149" i="4"/>
  <c r="V149" i="4" s="1"/>
  <c r="W149" i="4" s="1"/>
  <c r="P150" i="4"/>
  <c r="P42" i="3"/>
  <c r="Q42" i="3" s="1"/>
  <c r="P151" i="4" l="1"/>
  <c r="S150" i="4"/>
  <c r="V150" i="4" s="1"/>
  <c r="W150" i="4" s="1"/>
  <c r="R42" i="3"/>
  <c r="R78" i="2"/>
  <c r="Q78" i="2"/>
  <c r="V77" i="2"/>
  <c r="U77" i="2"/>
  <c r="O78" i="2" s="1"/>
  <c r="P78" i="2" l="1"/>
  <c r="T78" i="2" s="1"/>
  <c r="S42" i="3"/>
  <c r="U42" i="3" s="1"/>
  <c r="S151" i="4"/>
  <c r="V151" i="4" s="1"/>
  <c r="W151" i="4" s="1"/>
  <c r="P152" i="4"/>
  <c r="S78" i="2" l="1"/>
  <c r="S152" i="4"/>
  <c r="V152" i="4" s="1"/>
  <c r="W152" i="4" s="1"/>
  <c r="P153" i="4"/>
  <c r="M43" i="3"/>
  <c r="N43" i="3" s="1"/>
  <c r="W42" i="3"/>
  <c r="R79" i="2"/>
  <c r="Q79" i="2"/>
  <c r="O79" i="2"/>
  <c r="U78" i="2"/>
  <c r="P79" i="2" s="1"/>
  <c r="V78" i="2"/>
  <c r="T79" i="2" l="1"/>
  <c r="S79" i="2"/>
  <c r="P43" i="3"/>
  <c r="Q43" i="3" s="1"/>
  <c r="R43" i="3"/>
  <c r="P154" i="4"/>
  <c r="S153" i="4"/>
  <c r="V153" i="4" s="1"/>
  <c r="W153" i="4" s="1"/>
  <c r="P155" i="4" l="1"/>
  <c r="S154" i="4"/>
  <c r="V154" i="4" s="1"/>
  <c r="W154" i="4" s="1"/>
  <c r="S43" i="3"/>
  <c r="U43" i="3" s="1"/>
  <c r="Q80" i="2"/>
  <c r="O80" i="2"/>
  <c r="R80" i="2"/>
  <c r="V79" i="2"/>
  <c r="U79" i="2"/>
  <c r="P80" i="2" s="1"/>
  <c r="T80" i="2" l="1"/>
  <c r="S80" i="2"/>
  <c r="M44" i="3"/>
  <c r="N44" i="3" s="1"/>
  <c r="W43" i="3"/>
  <c r="S155" i="4"/>
  <c r="V155" i="4" s="1"/>
  <c r="W155" i="4" s="1"/>
  <c r="P156" i="4"/>
  <c r="S156" i="4" l="1"/>
  <c r="V156" i="4" s="1"/>
  <c r="W156" i="4" s="1"/>
  <c r="P157" i="4"/>
  <c r="P44" i="3"/>
  <c r="Q44" i="3" s="1"/>
  <c r="R81" i="2"/>
  <c r="Q81" i="2"/>
  <c r="V80" i="2"/>
  <c r="U80" i="2"/>
  <c r="P81" i="2" s="1"/>
  <c r="O81" i="2" l="1"/>
  <c r="T81" i="2"/>
  <c r="S81" i="2"/>
  <c r="R44" i="3"/>
  <c r="S157" i="4"/>
  <c r="V157" i="4" s="1"/>
  <c r="W157" i="4" s="1"/>
  <c r="P158" i="4"/>
  <c r="S158" i="4" l="1"/>
  <c r="V158" i="4" s="1"/>
  <c r="W158" i="4" s="1"/>
  <c r="P159" i="4"/>
  <c r="S44" i="3"/>
  <c r="U44" i="3" s="1"/>
  <c r="R82" i="2"/>
  <c r="P82" i="2"/>
  <c r="Q82" i="2"/>
  <c r="V81" i="2"/>
  <c r="U81" i="2"/>
  <c r="O82" i="2" s="1"/>
  <c r="T82" i="2" l="1"/>
  <c r="S82" i="2"/>
  <c r="M45" i="3"/>
  <c r="N45" i="3" s="1"/>
  <c r="W44" i="3"/>
  <c r="S159" i="4"/>
  <c r="V159" i="4" s="1"/>
  <c r="W159" i="4" s="1"/>
  <c r="P160" i="4"/>
  <c r="S160" i="4" l="1"/>
  <c r="V160" i="4" s="1"/>
  <c r="W160" i="4" s="1"/>
  <c r="P161" i="4"/>
  <c r="P45" i="3"/>
  <c r="Q45" i="3" s="1"/>
  <c r="R45" i="3"/>
  <c r="R83" i="2"/>
  <c r="Q83" i="2"/>
  <c r="O83" i="2"/>
  <c r="V82" i="2"/>
  <c r="U82" i="2"/>
  <c r="P83" i="2" s="1"/>
  <c r="S83" i="2" l="1"/>
  <c r="T83" i="2"/>
  <c r="S45" i="3"/>
  <c r="U45" i="3" s="1"/>
  <c r="P162" i="4"/>
  <c r="S161" i="4"/>
  <c r="V161" i="4" s="1"/>
  <c r="W161" i="4" s="1"/>
  <c r="S162" i="4" l="1"/>
  <c r="V162" i="4" s="1"/>
  <c r="W162" i="4" s="1"/>
  <c r="P163" i="4"/>
  <c r="M46" i="3"/>
  <c r="N46" i="3" s="1"/>
  <c r="W45" i="3"/>
  <c r="V83" i="2"/>
  <c r="U83" i="2"/>
  <c r="R84" i="2"/>
  <c r="Q84" i="2"/>
  <c r="P84" i="2"/>
  <c r="O84" i="2"/>
  <c r="T84" i="2" l="1"/>
  <c r="S84" i="2"/>
  <c r="S163" i="4"/>
  <c r="V163" i="4" s="1"/>
  <c r="W163" i="4" s="1"/>
  <c r="P164" i="4"/>
  <c r="P46" i="3"/>
  <c r="Q46" i="3" s="1"/>
  <c r="P165" i="4" l="1"/>
  <c r="S164" i="4"/>
  <c r="V164" i="4" s="1"/>
  <c r="W164" i="4" s="1"/>
  <c r="O85" i="2"/>
  <c r="R85" i="2"/>
  <c r="Q85" i="2"/>
  <c r="R46" i="3"/>
  <c r="V84" i="2"/>
  <c r="U84" i="2"/>
  <c r="P85" i="2" s="1"/>
  <c r="S46" i="3" l="1"/>
  <c r="U46" i="3" s="1"/>
  <c r="T85" i="2"/>
  <c r="S85" i="2"/>
  <c r="S165" i="4"/>
  <c r="V165" i="4" s="1"/>
  <c r="W165" i="4" s="1"/>
  <c r="P166" i="4"/>
  <c r="P167" i="4" l="1"/>
  <c r="S166" i="4"/>
  <c r="V166" i="4" s="1"/>
  <c r="W166" i="4" s="1"/>
  <c r="R86" i="2"/>
  <c r="Q86" i="2"/>
  <c r="O86" i="2"/>
  <c r="V85" i="2"/>
  <c r="U85" i="2"/>
  <c r="P86" i="2" s="1"/>
  <c r="M47" i="3"/>
  <c r="N47" i="3" s="1"/>
  <c r="W46" i="3"/>
  <c r="P47" i="3" l="1"/>
  <c r="Q47" i="3" s="1"/>
  <c r="T86" i="2"/>
  <c r="S86" i="2"/>
  <c r="S167" i="4"/>
  <c r="V167" i="4" s="1"/>
  <c r="W167" i="4" s="1"/>
  <c r="P168" i="4"/>
  <c r="P169" i="4" l="1"/>
  <c r="S168" i="4"/>
  <c r="V168" i="4" s="1"/>
  <c r="W168" i="4" s="1"/>
  <c r="Q87" i="2"/>
  <c r="P87" i="2"/>
  <c r="R87" i="2"/>
  <c r="U86" i="2"/>
  <c r="O87" i="2" s="1"/>
  <c r="V86" i="2"/>
  <c r="R47" i="3"/>
  <c r="S87" i="2" l="1"/>
  <c r="T87" i="2"/>
  <c r="S47" i="3"/>
  <c r="U47" i="3" s="1"/>
  <c r="S169" i="4"/>
  <c r="V169" i="4" s="1"/>
  <c r="W169" i="4" s="1"/>
  <c r="P170" i="4"/>
  <c r="S170" i="4" l="1"/>
  <c r="V170" i="4" s="1"/>
  <c r="W170" i="4" s="1"/>
  <c r="P171" i="4"/>
  <c r="W47" i="3"/>
  <c r="M48" i="3"/>
  <c r="N48" i="3" s="1"/>
  <c r="U87" i="2"/>
  <c r="V87" i="2"/>
  <c r="Q88" i="2"/>
  <c r="R88" i="2"/>
  <c r="P88" i="2"/>
  <c r="O88" i="2"/>
  <c r="S88" i="2" l="1"/>
  <c r="T88" i="2"/>
  <c r="P48" i="3"/>
  <c r="Q48" i="3" s="1"/>
  <c r="P172" i="4"/>
  <c r="S171" i="4"/>
  <c r="V171" i="4" s="1"/>
  <c r="W171" i="4" s="1"/>
  <c r="P173" i="4" l="1"/>
  <c r="S172" i="4"/>
  <c r="V172" i="4" s="1"/>
  <c r="W172" i="4" s="1"/>
  <c r="R48" i="3"/>
  <c r="U88" i="2"/>
  <c r="V88" i="2"/>
  <c r="Q89" i="2"/>
  <c r="O89" i="2"/>
  <c r="P89" i="2"/>
  <c r="R89" i="2"/>
  <c r="S48" i="3" l="1"/>
  <c r="U48" i="3" s="1"/>
  <c r="S89" i="2"/>
  <c r="T89" i="2"/>
  <c r="S173" i="4"/>
  <c r="V173" i="4" s="1"/>
  <c r="W173" i="4" s="1"/>
  <c r="P174" i="4"/>
  <c r="P175" i="4" l="1"/>
  <c r="S174" i="4"/>
  <c r="V174" i="4" s="1"/>
  <c r="W174" i="4" s="1"/>
  <c r="U89" i="2"/>
  <c r="O90" i="2" s="1"/>
  <c r="V89" i="2"/>
  <c r="Q90" i="2"/>
  <c r="R90" i="2"/>
  <c r="P90" i="2"/>
  <c r="W48" i="3"/>
  <c r="M49" i="3"/>
  <c r="N49" i="3" s="1"/>
  <c r="P49" i="3" l="1"/>
  <c r="Q49" i="3" s="1"/>
  <c r="S175" i="4"/>
  <c r="V175" i="4" s="1"/>
  <c r="W175" i="4" s="1"/>
  <c r="P176" i="4"/>
  <c r="S90" i="2"/>
  <c r="T90" i="2"/>
  <c r="V90" i="2" l="1"/>
  <c r="U90" i="2"/>
  <c r="Q91" i="2"/>
  <c r="P91" i="2"/>
  <c r="O91" i="2"/>
  <c r="R91" i="2"/>
  <c r="P177" i="4"/>
  <c r="S176" i="4"/>
  <c r="V176" i="4" s="1"/>
  <c r="W176" i="4" s="1"/>
  <c r="R49" i="3"/>
  <c r="S49" i="3" l="1"/>
  <c r="U49" i="3" s="1"/>
  <c r="P178" i="4"/>
  <c r="S177" i="4"/>
  <c r="V177" i="4" s="1"/>
  <c r="W177" i="4" s="1"/>
  <c r="S91" i="2"/>
  <c r="T91" i="2"/>
  <c r="M50" i="3" l="1"/>
  <c r="N50" i="3" s="1"/>
  <c r="W49" i="3"/>
  <c r="U91" i="2"/>
  <c r="V91" i="2"/>
  <c r="O92" i="2"/>
  <c r="R92" i="2"/>
  <c r="P92" i="2"/>
  <c r="Q92" i="2"/>
  <c r="P179" i="4"/>
  <c r="S178" i="4"/>
  <c r="V178" i="4" s="1"/>
  <c r="W178" i="4" s="1"/>
  <c r="S92" i="2" l="1"/>
  <c r="T92" i="2"/>
  <c r="S179" i="4"/>
  <c r="V179" i="4" s="1"/>
  <c r="W179" i="4" s="1"/>
  <c r="P180" i="4"/>
  <c r="P50" i="3"/>
  <c r="Q50" i="3" s="1"/>
  <c r="R50" i="3"/>
  <c r="S50" i="3" l="1"/>
  <c r="U50" i="3" s="1"/>
  <c r="P181" i="4"/>
  <c r="S180" i="4"/>
  <c r="V180" i="4" s="1"/>
  <c r="W180" i="4" s="1"/>
  <c r="V92" i="2"/>
  <c r="U92" i="2"/>
  <c r="Q93" i="2"/>
  <c r="O93" i="2"/>
  <c r="R93" i="2"/>
  <c r="P93" i="2"/>
  <c r="S181" i="4" l="1"/>
  <c r="V181" i="4" s="1"/>
  <c r="W181" i="4" s="1"/>
  <c r="P182" i="4"/>
  <c r="T93" i="2"/>
  <c r="S93" i="2"/>
  <c r="W50" i="3"/>
  <c r="M51" i="3"/>
  <c r="N51" i="3" s="1"/>
  <c r="P51" i="3" l="1"/>
  <c r="Q51" i="3" s="1"/>
  <c r="U93" i="2"/>
  <c r="V93" i="2"/>
  <c r="O94" i="2"/>
  <c r="Q94" i="2"/>
  <c r="R94" i="2"/>
  <c r="P94" i="2"/>
  <c r="P183" i="4"/>
  <c r="S182" i="4"/>
  <c r="V182" i="4" s="1"/>
  <c r="W182" i="4" s="1"/>
  <c r="P184" i="4" l="1"/>
  <c r="S183" i="4"/>
  <c r="V183" i="4" s="1"/>
  <c r="W183" i="4" s="1"/>
  <c r="S94" i="2"/>
  <c r="T94" i="2"/>
  <c r="R51" i="3"/>
  <c r="U94" i="2" l="1"/>
  <c r="P95" i="2" s="1"/>
  <c r="V94" i="2"/>
  <c r="S51" i="3"/>
  <c r="U51" i="3" s="1"/>
  <c r="Q95" i="2"/>
  <c r="O95" i="2"/>
  <c r="R95" i="2"/>
  <c r="S184" i="4"/>
  <c r="V184" i="4" s="1"/>
  <c r="W184" i="4" s="1"/>
  <c r="P185" i="4"/>
  <c r="S185" i="4" l="1"/>
  <c r="V185" i="4" s="1"/>
  <c r="W185" i="4" s="1"/>
  <c r="P186" i="4"/>
  <c r="T95" i="2"/>
  <c r="S95" i="2"/>
  <c r="W51" i="3"/>
  <c r="M52" i="3"/>
  <c r="N52" i="3" s="1"/>
  <c r="P187" i="4" l="1"/>
  <c r="S186" i="4"/>
  <c r="V186" i="4" s="1"/>
  <c r="W186" i="4" s="1"/>
  <c r="P52" i="3"/>
  <c r="Q52" i="3" s="1"/>
  <c r="Q96" i="2"/>
  <c r="P96" i="2"/>
  <c r="R96" i="2"/>
  <c r="U95" i="2"/>
  <c r="O96" i="2" s="1"/>
  <c r="V95" i="2"/>
  <c r="S96" i="2" l="1"/>
  <c r="T96" i="2"/>
  <c r="R52" i="3"/>
  <c r="P188" i="4"/>
  <c r="S187" i="4"/>
  <c r="V187" i="4" s="1"/>
  <c r="W187" i="4" s="1"/>
  <c r="P189" i="4" l="1"/>
  <c r="S188" i="4"/>
  <c r="V188" i="4" s="1"/>
  <c r="W188" i="4" s="1"/>
  <c r="S52" i="3"/>
  <c r="U52" i="3" s="1"/>
  <c r="V96" i="2"/>
  <c r="U96" i="2"/>
  <c r="Q97" i="2"/>
  <c r="P97" i="2"/>
  <c r="R97" i="2"/>
  <c r="O97" i="2"/>
  <c r="T97" i="2" l="1"/>
  <c r="S97" i="2"/>
  <c r="M53" i="3"/>
  <c r="N53" i="3" s="1"/>
  <c r="W52" i="3"/>
  <c r="P190" i="4"/>
  <c r="S189" i="4"/>
  <c r="V189" i="4" s="1"/>
  <c r="W189" i="4" s="1"/>
  <c r="P191" i="4" l="1"/>
  <c r="S190" i="4"/>
  <c r="V190" i="4" s="1"/>
  <c r="W190" i="4" s="1"/>
  <c r="P53" i="3"/>
  <c r="Q53" i="3" s="1"/>
  <c r="R98" i="2"/>
  <c r="Q98" i="2"/>
  <c r="V97" i="2"/>
  <c r="U97" i="2"/>
  <c r="O98" i="2" s="1"/>
  <c r="P98" i="2" l="1"/>
  <c r="S98" i="2"/>
  <c r="T98" i="2"/>
  <c r="R53" i="3"/>
  <c r="S191" i="4"/>
  <c r="V191" i="4" s="1"/>
  <c r="W191" i="4" s="1"/>
  <c r="P192" i="4"/>
  <c r="P193" i="4" l="1"/>
  <c r="S192" i="4"/>
  <c r="V192" i="4" s="1"/>
  <c r="W192" i="4" s="1"/>
  <c r="S53" i="3"/>
  <c r="U53" i="3" s="1"/>
  <c r="V98" i="2"/>
  <c r="U98" i="2"/>
  <c r="Q99" i="2"/>
  <c r="O99" i="2"/>
  <c r="R99" i="2"/>
  <c r="P99" i="2"/>
  <c r="T99" i="2" l="1"/>
  <c r="S99" i="2"/>
  <c r="M54" i="3"/>
  <c r="N54" i="3" s="1"/>
  <c r="W53" i="3"/>
  <c r="S193" i="4"/>
  <c r="V193" i="4" s="1"/>
  <c r="W193" i="4" s="1"/>
  <c r="P194" i="4"/>
  <c r="P195" i="4" l="1"/>
  <c r="S194" i="4"/>
  <c r="V194" i="4" s="1"/>
  <c r="W194" i="4" s="1"/>
  <c r="P54" i="3"/>
  <c r="Q54" i="3" s="1"/>
  <c r="R100" i="2"/>
  <c r="Q100" i="2"/>
  <c r="V99" i="2"/>
  <c r="U99" i="2"/>
  <c r="P100" i="2" s="1"/>
  <c r="O100" i="2" l="1"/>
  <c r="S100" i="2" s="1"/>
  <c r="R54" i="3"/>
  <c r="P196" i="4"/>
  <c r="S195" i="4"/>
  <c r="V195" i="4" s="1"/>
  <c r="W195" i="4" s="1"/>
  <c r="T100" i="2" l="1"/>
  <c r="S196" i="4"/>
  <c r="V196" i="4" s="1"/>
  <c r="W196" i="4" s="1"/>
  <c r="P197" i="4"/>
  <c r="S54" i="3"/>
  <c r="U54" i="3" s="1"/>
  <c r="V100" i="2"/>
  <c r="U100" i="2"/>
  <c r="R101" i="2"/>
  <c r="Q101" i="2"/>
  <c r="P101" i="2"/>
  <c r="O101" i="2"/>
  <c r="T101" i="2" l="1"/>
  <c r="S101" i="2"/>
  <c r="M55" i="3"/>
  <c r="N55" i="3" s="1"/>
  <c r="W54" i="3"/>
  <c r="P198" i="4"/>
  <c r="S197" i="4"/>
  <c r="V197" i="4" s="1"/>
  <c r="W197" i="4" s="1"/>
  <c r="P199" i="4" l="1"/>
  <c r="S198" i="4"/>
  <c r="V198" i="4" s="1"/>
  <c r="W198" i="4" s="1"/>
  <c r="P55" i="3"/>
  <c r="Q55" i="3" s="1"/>
  <c r="R102" i="2"/>
  <c r="P102" i="2"/>
  <c r="Q102" i="2"/>
  <c r="U101" i="2"/>
  <c r="O102" i="2" s="1"/>
  <c r="V101" i="2"/>
  <c r="T102" i="2" l="1"/>
  <c r="S102" i="2"/>
  <c r="R55" i="3"/>
  <c r="S199" i="4"/>
  <c r="V199" i="4" s="1"/>
  <c r="W199" i="4" s="1"/>
  <c r="P200" i="4"/>
  <c r="P201" i="4" l="1"/>
  <c r="S200" i="4"/>
  <c r="V200" i="4" s="1"/>
  <c r="W200" i="4" s="1"/>
  <c r="S55" i="3"/>
  <c r="U55" i="3" s="1"/>
  <c r="Q103" i="2"/>
  <c r="O103" i="2"/>
  <c r="R103" i="2"/>
  <c r="V102" i="2"/>
  <c r="U102" i="2"/>
  <c r="P103" i="2" s="1"/>
  <c r="T103" i="2" l="1"/>
  <c r="S103" i="2"/>
  <c r="M56" i="3"/>
  <c r="N56" i="3" s="1"/>
  <c r="W55" i="3"/>
  <c r="S201" i="4"/>
  <c r="V201" i="4" s="1"/>
  <c r="W201" i="4" s="1"/>
  <c r="P202" i="4"/>
  <c r="S202" i="4" l="1"/>
  <c r="V202" i="4" s="1"/>
  <c r="W202" i="4" s="1"/>
  <c r="P203" i="4"/>
  <c r="P56" i="3"/>
  <c r="Q56" i="3" s="1"/>
  <c r="R56" i="3"/>
  <c r="R104" i="2"/>
  <c r="Q104" i="2"/>
  <c r="P104" i="2"/>
  <c r="U103" i="2"/>
  <c r="O104" i="2" s="1"/>
  <c r="V103" i="2"/>
  <c r="T104" i="2" l="1"/>
  <c r="S104" i="2"/>
  <c r="S56" i="3"/>
  <c r="U56" i="3" s="1"/>
  <c r="S203" i="4"/>
  <c r="V203" i="4" s="1"/>
  <c r="W203" i="4" s="1"/>
  <c r="P204" i="4"/>
  <c r="W56" i="3" l="1"/>
  <c r="M57" i="3"/>
  <c r="N57" i="3" s="1"/>
  <c r="Q105" i="2"/>
  <c r="R105" i="2"/>
  <c r="S204" i="4"/>
  <c r="V204" i="4" s="1"/>
  <c r="W204" i="4" s="1"/>
  <c r="P205" i="4"/>
  <c r="V104" i="2"/>
  <c r="U104" i="2"/>
  <c r="P105" i="2" s="1"/>
  <c r="O105" i="2" l="1"/>
  <c r="S105" i="2"/>
  <c r="T105" i="2"/>
  <c r="P206" i="4"/>
  <c r="S205" i="4"/>
  <c r="V205" i="4" s="1"/>
  <c r="W205" i="4" s="1"/>
  <c r="P57" i="3"/>
  <c r="Q57" i="3" s="1"/>
  <c r="R57" i="3" l="1"/>
  <c r="S206" i="4"/>
  <c r="V206" i="4" s="1"/>
  <c r="W206" i="4" s="1"/>
  <c r="P207" i="4"/>
  <c r="U105" i="2"/>
  <c r="V105" i="2"/>
  <c r="R106" i="2"/>
  <c r="Q106" i="2"/>
  <c r="P106" i="2"/>
  <c r="O106" i="2"/>
  <c r="S106" i="2" l="1"/>
  <c r="T106" i="2"/>
  <c r="S207" i="4"/>
  <c r="V207" i="4" s="1"/>
  <c r="W207" i="4" s="1"/>
  <c r="P208" i="4"/>
  <c r="S57" i="3"/>
  <c r="U57" i="3" s="1"/>
  <c r="V106" i="2" l="1"/>
  <c r="U106" i="2"/>
  <c r="M58" i="3"/>
  <c r="N58" i="3" s="1"/>
  <c r="W57" i="3"/>
  <c r="P209" i="4"/>
  <c r="S208" i="4"/>
  <c r="V208" i="4" s="1"/>
  <c r="W208" i="4" s="1"/>
  <c r="R107" i="2"/>
  <c r="Q107" i="2"/>
  <c r="P107" i="2"/>
  <c r="O107" i="2"/>
  <c r="T107" i="2" l="1"/>
  <c r="S107" i="2"/>
  <c r="S209" i="4"/>
  <c r="V209" i="4" s="1"/>
  <c r="W209" i="4" s="1"/>
  <c r="P210" i="4"/>
  <c r="P58" i="3"/>
  <c r="Q58" i="3" s="1"/>
  <c r="R58" i="3" l="1"/>
  <c r="S210" i="4"/>
  <c r="V210" i="4" s="1"/>
  <c r="W210" i="4" s="1"/>
  <c r="P211" i="4"/>
  <c r="R108" i="2"/>
  <c r="Q108" i="2"/>
  <c r="V107" i="2"/>
  <c r="U107" i="2"/>
  <c r="O108" i="2" s="1"/>
  <c r="P108" i="2" l="1"/>
  <c r="S108" i="2"/>
  <c r="T108" i="2"/>
  <c r="S58" i="3"/>
  <c r="U58" i="3" s="1"/>
  <c r="P212" i="4"/>
  <c r="S211" i="4"/>
  <c r="V211" i="4" s="1"/>
  <c r="W211" i="4" s="1"/>
  <c r="P213" i="4" l="1"/>
  <c r="S212" i="4"/>
  <c r="V212" i="4" s="1"/>
  <c r="W212" i="4" s="1"/>
  <c r="M59" i="3"/>
  <c r="N59" i="3" s="1"/>
  <c r="W58" i="3"/>
  <c r="U108" i="2"/>
  <c r="V108" i="2"/>
  <c r="R109" i="2"/>
  <c r="Q109" i="2"/>
  <c r="P109" i="2"/>
  <c r="O109" i="2"/>
  <c r="P59" i="3" l="1"/>
  <c r="Q59" i="3" s="1"/>
  <c r="T109" i="2"/>
  <c r="S109" i="2"/>
  <c r="P214" i="4"/>
  <c r="S213" i="4"/>
  <c r="V213" i="4" s="1"/>
  <c r="W213" i="4" s="1"/>
  <c r="S214" i="4" l="1"/>
  <c r="V214" i="4" s="1"/>
  <c r="W214" i="4" s="1"/>
  <c r="P215" i="4"/>
  <c r="R110" i="2"/>
  <c r="Q110" i="2"/>
  <c r="P110" i="2"/>
  <c r="U109" i="2"/>
  <c r="O110" i="2" s="1"/>
  <c r="V109" i="2"/>
  <c r="R59" i="3"/>
  <c r="T110" i="2" l="1"/>
  <c r="S110" i="2"/>
  <c r="P216" i="4"/>
  <c r="S215" i="4"/>
  <c r="V215" i="4" s="1"/>
  <c r="W215" i="4" s="1"/>
  <c r="S59" i="3"/>
  <c r="U59" i="3" s="1"/>
  <c r="M60" i="3" l="1"/>
  <c r="N60" i="3" s="1"/>
  <c r="W59" i="3"/>
  <c r="S216" i="4"/>
  <c r="V216" i="4" s="1"/>
  <c r="W216" i="4" s="1"/>
  <c r="P217" i="4"/>
  <c r="Q111" i="2"/>
  <c r="R111" i="2"/>
  <c r="V110" i="2"/>
  <c r="U110" i="2"/>
  <c r="O111" i="2" s="1"/>
  <c r="P111" i="2" l="1"/>
  <c r="S111" i="2"/>
  <c r="T111" i="2"/>
  <c r="S217" i="4"/>
  <c r="V217" i="4" s="1"/>
  <c r="W217" i="4" s="1"/>
  <c r="P218" i="4"/>
  <c r="P60" i="3"/>
  <c r="Q60" i="3" s="1"/>
  <c r="P219" i="4" l="1"/>
  <c r="S218" i="4"/>
  <c r="V218" i="4" s="1"/>
  <c r="W218" i="4" s="1"/>
  <c r="R60" i="3"/>
  <c r="U111" i="2"/>
  <c r="V111" i="2"/>
  <c r="R112" i="2"/>
  <c r="Q112" i="2"/>
  <c r="P112" i="2"/>
  <c r="O112" i="2"/>
  <c r="T112" i="2" l="1"/>
  <c r="S112" i="2"/>
  <c r="S60" i="3"/>
  <c r="U60" i="3" s="1"/>
  <c r="S219" i="4"/>
  <c r="V219" i="4" s="1"/>
  <c r="W219" i="4" s="1"/>
  <c r="P220" i="4"/>
  <c r="Q113" i="2" l="1"/>
  <c r="R113" i="2"/>
  <c r="S220" i="4"/>
  <c r="V220" i="4" s="1"/>
  <c r="W220" i="4" s="1"/>
  <c r="P221" i="4"/>
  <c r="M61" i="3"/>
  <c r="N61" i="3" s="1"/>
  <c r="W60" i="3"/>
  <c r="V112" i="2"/>
  <c r="U112" i="2"/>
  <c r="O113" i="2" s="1"/>
  <c r="P113" i="2" l="1"/>
  <c r="T113" i="2"/>
  <c r="S113" i="2"/>
  <c r="P61" i="3"/>
  <c r="Q61" i="3" s="1"/>
  <c r="S221" i="4"/>
  <c r="V221" i="4" s="1"/>
  <c r="W221" i="4" s="1"/>
  <c r="P222" i="4"/>
  <c r="S222" i="4" l="1"/>
  <c r="V222" i="4" s="1"/>
  <c r="W222" i="4" s="1"/>
  <c r="P223" i="4"/>
  <c r="R61" i="3"/>
  <c r="R114" i="2"/>
  <c r="Q114" i="2"/>
  <c r="O114" i="2"/>
  <c r="U113" i="2"/>
  <c r="P114" i="2" s="1"/>
  <c r="V113" i="2"/>
  <c r="S114" i="2" l="1"/>
  <c r="T114" i="2"/>
  <c r="S61" i="3"/>
  <c r="U61" i="3" s="1"/>
  <c r="S223" i="4"/>
  <c r="V223" i="4" s="1"/>
  <c r="W223" i="4" s="1"/>
  <c r="P224" i="4"/>
  <c r="V114" i="2" l="1"/>
  <c r="U114" i="2"/>
  <c r="S224" i="4"/>
  <c r="V224" i="4" s="1"/>
  <c r="W224" i="4" s="1"/>
  <c r="P225" i="4"/>
  <c r="M62" i="3"/>
  <c r="N62" i="3" s="1"/>
  <c r="W61" i="3"/>
  <c r="R115" i="2"/>
  <c r="Q115" i="2"/>
  <c r="P115" i="2"/>
  <c r="O115" i="2"/>
  <c r="P226" i="4" l="1"/>
  <c r="S225" i="4"/>
  <c r="V225" i="4" s="1"/>
  <c r="W225" i="4" s="1"/>
  <c r="T115" i="2"/>
  <c r="S115" i="2"/>
  <c r="P62" i="3"/>
  <c r="Q62" i="3" s="1"/>
  <c r="R116" i="2" l="1"/>
  <c r="Q116" i="2"/>
  <c r="R62" i="3"/>
  <c r="V115" i="2"/>
  <c r="U115" i="2"/>
  <c r="P116" i="2" s="1"/>
  <c r="P227" i="4"/>
  <c r="S226" i="4"/>
  <c r="V226" i="4" s="1"/>
  <c r="W226" i="4" s="1"/>
  <c r="O116" i="2" l="1"/>
  <c r="S62" i="3"/>
  <c r="U62" i="3" s="1"/>
  <c r="P228" i="4"/>
  <c r="S227" i="4"/>
  <c r="V227" i="4" s="1"/>
  <c r="W227" i="4" s="1"/>
  <c r="S116" i="2"/>
  <c r="T116" i="2"/>
  <c r="U116" i="2" l="1"/>
  <c r="V116" i="2"/>
  <c r="R117" i="2"/>
  <c r="Q117" i="2"/>
  <c r="P117" i="2"/>
  <c r="O117" i="2"/>
  <c r="P229" i="4"/>
  <c r="S228" i="4"/>
  <c r="V228" i="4" s="1"/>
  <c r="W228" i="4" s="1"/>
  <c r="M63" i="3"/>
  <c r="N63" i="3" s="1"/>
  <c r="W62" i="3"/>
  <c r="P63" i="3" l="1"/>
  <c r="Q63" i="3" s="1"/>
  <c r="P230" i="4"/>
  <c r="S229" i="4"/>
  <c r="V229" i="4" s="1"/>
  <c r="W229" i="4" s="1"/>
  <c r="T117" i="2"/>
  <c r="S117" i="2"/>
  <c r="R63" i="3" l="1"/>
  <c r="S230" i="4"/>
  <c r="V230" i="4" s="1"/>
  <c r="W230" i="4" s="1"/>
  <c r="P231" i="4"/>
  <c r="R118" i="2"/>
  <c r="Q118" i="2"/>
  <c r="P118" i="2"/>
  <c r="U117" i="2"/>
  <c r="O118" i="2" s="1"/>
  <c r="V117" i="2"/>
  <c r="S63" i="3"/>
  <c r="U63" i="3" s="1"/>
  <c r="T118" i="2" l="1"/>
  <c r="S118" i="2"/>
  <c r="M64" i="3"/>
  <c r="N64" i="3" s="1"/>
  <c r="W63" i="3"/>
  <c r="P232" i="4"/>
  <c r="S231" i="4"/>
  <c r="V231" i="4" s="1"/>
  <c r="W231" i="4" s="1"/>
  <c r="S232" i="4" l="1"/>
  <c r="V232" i="4" s="1"/>
  <c r="W232" i="4" s="1"/>
  <c r="P233" i="4"/>
  <c r="P64" i="3"/>
  <c r="Q64" i="3" s="1"/>
  <c r="Q119" i="2"/>
  <c r="O119" i="2"/>
  <c r="R119" i="2"/>
  <c r="V118" i="2"/>
  <c r="U118" i="2"/>
  <c r="P119" i="2" s="1"/>
  <c r="T119" i="2" l="1"/>
  <c r="S119" i="2"/>
  <c r="R64" i="3"/>
  <c r="P234" i="4"/>
  <c r="S233" i="4"/>
  <c r="V233" i="4" s="1"/>
  <c r="W233" i="4" s="1"/>
  <c r="P235" i="4" l="1"/>
  <c r="S234" i="4"/>
  <c r="V234" i="4" s="1"/>
  <c r="W234" i="4" s="1"/>
  <c r="S64" i="3"/>
  <c r="U64" i="3" s="1"/>
  <c r="R120" i="2"/>
  <c r="Q120" i="2"/>
  <c r="U119" i="2"/>
  <c r="P120" i="2" s="1"/>
  <c r="V119" i="2"/>
  <c r="O120" i="2" l="1"/>
  <c r="M65" i="3"/>
  <c r="N65" i="3" s="1"/>
  <c r="W64" i="3"/>
  <c r="T120" i="2"/>
  <c r="S120" i="2"/>
  <c r="S235" i="4"/>
  <c r="V235" i="4" s="1"/>
  <c r="W235" i="4" s="1"/>
  <c r="P236" i="4"/>
  <c r="P237" i="4" l="1"/>
  <c r="S236" i="4"/>
  <c r="V236" i="4" s="1"/>
  <c r="W236" i="4" s="1"/>
  <c r="Q121" i="2"/>
  <c r="R121" i="2"/>
  <c r="O121" i="2"/>
  <c r="V120" i="2"/>
  <c r="U120" i="2"/>
  <c r="P121" i="2" s="1"/>
  <c r="P65" i="3"/>
  <c r="Q65" i="3" s="1"/>
  <c r="R65" i="3" l="1"/>
  <c r="T121" i="2"/>
  <c r="S121" i="2"/>
  <c r="S237" i="4"/>
  <c r="V237" i="4" s="1"/>
  <c r="W237" i="4" s="1"/>
  <c r="P238" i="4"/>
  <c r="P239" i="4" l="1"/>
  <c r="S238" i="4"/>
  <c r="V238" i="4" s="1"/>
  <c r="W238" i="4" s="1"/>
  <c r="R122" i="2"/>
  <c r="Q122" i="2"/>
  <c r="O122" i="2"/>
  <c r="V121" i="2"/>
  <c r="U121" i="2"/>
  <c r="P122" i="2" s="1"/>
  <c r="S65" i="3"/>
  <c r="U65" i="3" s="1"/>
  <c r="S122" i="2" l="1"/>
  <c r="T122" i="2"/>
  <c r="M66" i="3"/>
  <c r="N66" i="3" s="1"/>
  <c r="W65" i="3"/>
  <c r="S239" i="4"/>
  <c r="V239" i="4" s="1"/>
  <c r="W239" i="4" s="1"/>
  <c r="P240" i="4"/>
  <c r="P241" i="4" l="1"/>
  <c r="S240" i="4"/>
  <c r="V240" i="4" s="1"/>
  <c r="W240" i="4" s="1"/>
  <c r="P66" i="3"/>
  <c r="Q66" i="3" s="1"/>
  <c r="V122" i="2"/>
  <c r="U122" i="2"/>
  <c r="R123" i="2"/>
  <c r="P123" i="2"/>
  <c r="Q123" i="2"/>
  <c r="O123" i="2"/>
  <c r="T123" i="2" l="1"/>
  <c r="S123" i="2"/>
  <c r="R66" i="3"/>
  <c r="S241" i="4"/>
  <c r="V241" i="4" s="1"/>
  <c r="W241" i="4" s="1"/>
  <c r="P242" i="4"/>
  <c r="P243" i="4" l="1"/>
  <c r="S242" i="4"/>
  <c r="V242" i="4" s="1"/>
  <c r="W242" i="4" s="1"/>
  <c r="S66" i="3"/>
  <c r="U66" i="3" s="1"/>
  <c r="R124" i="2"/>
  <c r="Q124" i="2"/>
  <c r="V123" i="2"/>
  <c r="U123" i="2"/>
  <c r="O124" i="2" s="1"/>
  <c r="P124" i="2" l="1"/>
  <c r="S124" i="2"/>
  <c r="T124" i="2"/>
  <c r="M67" i="3"/>
  <c r="N67" i="3" s="1"/>
  <c r="W66" i="3"/>
  <c r="S243" i="4"/>
  <c r="V243" i="4" s="1"/>
  <c r="W243" i="4" s="1"/>
  <c r="P244" i="4"/>
  <c r="S244" i="4" l="1"/>
  <c r="V244" i="4" s="1"/>
  <c r="W244" i="4" s="1"/>
  <c r="P245" i="4"/>
  <c r="P67" i="3"/>
  <c r="Q67" i="3" s="1"/>
  <c r="V124" i="2"/>
  <c r="U124" i="2"/>
  <c r="R125" i="2"/>
  <c r="Q125" i="2"/>
  <c r="P125" i="2"/>
  <c r="O125" i="2"/>
  <c r="T125" i="2" l="1"/>
  <c r="S125" i="2"/>
  <c r="R67" i="3"/>
  <c r="P246" i="4"/>
  <c r="S245" i="4"/>
  <c r="V245" i="4" s="1"/>
  <c r="W245" i="4" s="1"/>
  <c r="S246" i="4" l="1"/>
  <c r="V246" i="4" s="1"/>
  <c r="W246" i="4" s="1"/>
  <c r="P247" i="4"/>
  <c r="S67" i="3"/>
  <c r="U67" i="3" s="1"/>
  <c r="Q126" i="2"/>
  <c r="R126" i="2"/>
  <c r="U125" i="2"/>
  <c r="O126" i="2" s="1"/>
  <c r="V125" i="2"/>
  <c r="P126" i="2" l="1"/>
  <c r="S126" i="2" s="1"/>
  <c r="M68" i="3"/>
  <c r="N68" i="3" s="1"/>
  <c r="W67" i="3"/>
  <c r="P248" i="4"/>
  <c r="S247" i="4"/>
  <c r="V247" i="4" s="1"/>
  <c r="W247" i="4" s="1"/>
  <c r="T126" i="2" l="1"/>
  <c r="V126" i="2" s="1"/>
  <c r="S248" i="4"/>
  <c r="V248" i="4" s="1"/>
  <c r="W248" i="4" s="1"/>
  <c r="P249" i="4"/>
  <c r="P68" i="3"/>
  <c r="Q68" i="3" s="1"/>
  <c r="Q127" i="2"/>
  <c r="O127" i="2"/>
  <c r="R127" i="2"/>
  <c r="U126" i="2" l="1"/>
  <c r="P127" i="2" s="1"/>
  <c r="T127" i="2"/>
  <c r="S127" i="2"/>
  <c r="R68" i="3"/>
  <c r="P250" i="4"/>
  <c r="S249" i="4"/>
  <c r="V249" i="4" s="1"/>
  <c r="W249" i="4" s="1"/>
  <c r="P251" i="4" l="1"/>
  <c r="S250" i="4"/>
  <c r="V250" i="4" s="1"/>
  <c r="W250" i="4" s="1"/>
  <c r="S68" i="3"/>
  <c r="U68" i="3" s="1"/>
  <c r="R128" i="2"/>
  <c r="Q128" i="2"/>
  <c r="U127" i="2"/>
  <c r="P128" i="2" s="1"/>
  <c r="V127" i="2"/>
  <c r="O128" i="2" l="1"/>
  <c r="T128" i="2"/>
  <c r="S128" i="2"/>
  <c r="W68" i="3"/>
  <c r="M69" i="3"/>
  <c r="N69" i="3" s="1"/>
  <c r="S251" i="4"/>
  <c r="V251" i="4" s="1"/>
  <c r="W251" i="4" s="1"/>
  <c r="P252" i="4"/>
  <c r="V128" i="2" l="1"/>
  <c r="U128" i="2"/>
  <c r="P253" i="4"/>
  <c r="S252" i="4"/>
  <c r="V252" i="4" s="1"/>
  <c r="W252" i="4" s="1"/>
  <c r="P69" i="3"/>
  <c r="Q69" i="3" s="1"/>
  <c r="Q129" i="2"/>
  <c r="R129" i="2"/>
  <c r="O129" i="2"/>
  <c r="P129" i="2"/>
  <c r="T129" i="2" l="1"/>
  <c r="S129" i="2"/>
  <c r="R69" i="3"/>
  <c r="S253" i="4"/>
  <c r="V253" i="4" s="1"/>
  <c r="W253" i="4" s="1"/>
  <c r="P254" i="4"/>
  <c r="P255" i="4" l="1"/>
  <c r="S254" i="4"/>
  <c r="V254" i="4" s="1"/>
  <c r="W254" i="4" s="1"/>
  <c r="S69" i="3"/>
  <c r="U69" i="3" s="1"/>
  <c r="R130" i="2"/>
  <c r="Q130" i="2"/>
  <c r="O130" i="2"/>
  <c r="V129" i="2"/>
  <c r="U129" i="2"/>
  <c r="P130" i="2" s="1"/>
  <c r="S130" i="2" l="1"/>
  <c r="T130" i="2"/>
  <c r="M70" i="3"/>
  <c r="N70" i="3" s="1"/>
  <c r="W69" i="3"/>
  <c r="S255" i="4"/>
  <c r="V255" i="4" s="1"/>
  <c r="W255" i="4" s="1"/>
  <c r="P256" i="4"/>
  <c r="P70" i="3" l="1"/>
  <c r="Q70" i="3" s="1"/>
  <c r="V130" i="2"/>
  <c r="U130" i="2"/>
  <c r="P257" i="4"/>
  <c r="S256" i="4"/>
  <c r="V256" i="4" s="1"/>
  <c r="W256" i="4" s="1"/>
  <c r="R131" i="2"/>
  <c r="Q131" i="2"/>
  <c r="P131" i="2"/>
  <c r="O131" i="2"/>
  <c r="T131" i="2" l="1"/>
  <c r="S131" i="2"/>
  <c r="P258" i="4"/>
  <c r="S257" i="4"/>
  <c r="V257" i="4" s="1"/>
  <c r="W257" i="4" s="1"/>
  <c r="R70" i="3"/>
  <c r="S70" i="3" l="1"/>
  <c r="U70" i="3" s="1"/>
  <c r="V131" i="2"/>
  <c r="U131" i="2"/>
  <c r="P259" i="4"/>
  <c r="S258" i="4"/>
  <c r="V258" i="4" s="1"/>
  <c r="W258" i="4" s="1"/>
  <c r="O132" i="2"/>
  <c r="Q132" i="2"/>
  <c r="R132" i="2"/>
  <c r="P132" i="2"/>
  <c r="S132" i="2" l="1"/>
  <c r="T132" i="2"/>
  <c r="P260" i="4"/>
  <c r="S259" i="4"/>
  <c r="V259" i="4" s="1"/>
  <c r="W259" i="4" s="1"/>
  <c r="M71" i="3"/>
  <c r="N71" i="3" s="1"/>
  <c r="W70" i="3"/>
  <c r="P71" i="3" l="1"/>
  <c r="Q71" i="3" s="1"/>
  <c r="P261" i="4"/>
  <c r="S260" i="4"/>
  <c r="V260" i="4" s="1"/>
  <c r="W260" i="4" s="1"/>
  <c r="V132" i="2"/>
  <c r="U132" i="2"/>
  <c r="R133" i="2"/>
  <c r="Q133" i="2"/>
  <c r="P133" i="2"/>
  <c r="O133" i="2"/>
  <c r="T133" i="2" l="1"/>
  <c r="S133" i="2"/>
  <c r="S261" i="4"/>
  <c r="V261" i="4" s="1"/>
  <c r="W261" i="4" s="1"/>
  <c r="P262" i="4"/>
  <c r="R71" i="3"/>
  <c r="S71" i="3" l="1"/>
  <c r="U71" i="3" s="1"/>
  <c r="S262" i="4"/>
  <c r="V262" i="4" s="1"/>
  <c r="W262" i="4" s="1"/>
  <c r="P263" i="4"/>
  <c r="R134" i="2"/>
  <c r="Q134" i="2"/>
  <c r="U133" i="2"/>
  <c r="P134" i="2" s="1"/>
  <c r="V133" i="2"/>
  <c r="O134" i="2" l="1"/>
  <c r="S134" i="2"/>
  <c r="T134" i="2"/>
  <c r="P264" i="4"/>
  <c r="S263" i="4"/>
  <c r="V263" i="4" s="1"/>
  <c r="W263" i="4" s="1"/>
  <c r="M72" i="3"/>
  <c r="N72" i="3" s="1"/>
  <c r="W71" i="3"/>
  <c r="P72" i="3" l="1"/>
  <c r="Q72" i="3" s="1"/>
  <c r="S264" i="4"/>
  <c r="V264" i="4" s="1"/>
  <c r="W264" i="4" s="1"/>
  <c r="P265" i="4"/>
  <c r="V134" i="2"/>
  <c r="U134" i="2"/>
  <c r="Q135" i="2"/>
  <c r="P135" i="2"/>
  <c r="O135" i="2"/>
  <c r="R135" i="2"/>
  <c r="T135" i="2" l="1"/>
  <c r="S135" i="2"/>
  <c r="S265" i="4"/>
  <c r="V265" i="4" s="1"/>
  <c r="W265" i="4" s="1"/>
  <c r="P266" i="4"/>
  <c r="R72" i="3"/>
  <c r="S72" i="3" l="1"/>
  <c r="U72" i="3" s="1"/>
  <c r="S266" i="4"/>
  <c r="V266" i="4" s="1"/>
  <c r="W266" i="4" s="1"/>
  <c r="P267" i="4"/>
  <c r="R136" i="2"/>
  <c r="Q136" i="2"/>
  <c r="U135" i="2"/>
  <c r="P136" i="2" s="1"/>
  <c r="V135" i="2"/>
  <c r="O136" i="2" l="1"/>
  <c r="T136" i="2"/>
  <c r="S136" i="2"/>
  <c r="P268" i="4"/>
  <c r="S267" i="4"/>
  <c r="V267" i="4" s="1"/>
  <c r="W267" i="4" s="1"/>
  <c r="M73" i="3"/>
  <c r="N73" i="3" s="1"/>
  <c r="W72" i="3"/>
  <c r="P73" i="3" l="1"/>
  <c r="Q73" i="3" s="1"/>
  <c r="P269" i="4"/>
  <c r="S268" i="4"/>
  <c r="V268" i="4" s="1"/>
  <c r="W268" i="4" s="1"/>
  <c r="Q137" i="2"/>
  <c r="R137" i="2"/>
  <c r="V136" i="2"/>
  <c r="U136" i="2"/>
  <c r="O137" i="2" s="1"/>
  <c r="P137" i="2" l="1"/>
  <c r="T137" i="2" s="1"/>
  <c r="P270" i="4"/>
  <c r="S269" i="4"/>
  <c r="V269" i="4" s="1"/>
  <c r="W269" i="4" s="1"/>
  <c r="R73" i="3"/>
  <c r="S137" i="2" l="1"/>
  <c r="R138" i="2" s="1"/>
  <c r="S73" i="3"/>
  <c r="U73" i="3" s="1"/>
  <c r="P271" i="4"/>
  <c r="S270" i="4"/>
  <c r="V270" i="4" s="1"/>
  <c r="W270" i="4" s="1"/>
  <c r="U137" i="2"/>
  <c r="V137" i="2"/>
  <c r="P138" i="2" l="1"/>
  <c r="O138" i="2"/>
  <c r="Q138" i="2"/>
  <c r="S138" i="2"/>
  <c r="T138" i="2"/>
  <c r="S271" i="4"/>
  <c r="V271" i="4" s="1"/>
  <c r="W271" i="4" s="1"/>
  <c r="P272" i="4"/>
  <c r="M74" i="3"/>
  <c r="N74" i="3" s="1"/>
  <c r="W73" i="3"/>
  <c r="P74" i="3" l="1"/>
  <c r="Q74" i="3" s="1"/>
  <c r="P273" i="4"/>
  <c r="S272" i="4"/>
  <c r="V272" i="4" s="1"/>
  <c r="W272" i="4" s="1"/>
  <c r="U138" i="2"/>
  <c r="V138" i="2"/>
  <c r="R139" i="2"/>
  <c r="Q139" i="2"/>
  <c r="P139" i="2"/>
  <c r="O139" i="2"/>
  <c r="T139" i="2" l="1"/>
  <c r="S139" i="2"/>
  <c r="S273" i="4"/>
  <c r="V273" i="4" s="1"/>
  <c r="W273" i="4" s="1"/>
  <c r="P274" i="4"/>
  <c r="R74" i="3"/>
  <c r="S74" i="3" l="1"/>
  <c r="U74" i="3" s="1"/>
  <c r="P275" i="4"/>
  <c r="S274" i="4"/>
  <c r="V274" i="4" s="1"/>
  <c r="W274" i="4" s="1"/>
  <c r="R140" i="2"/>
  <c r="Q140" i="2"/>
  <c r="V139" i="2"/>
  <c r="U139" i="2"/>
  <c r="O140" i="2" s="1"/>
  <c r="P140" i="2" l="1"/>
  <c r="S140" i="2"/>
  <c r="T140" i="2"/>
  <c r="P276" i="4"/>
  <c r="S275" i="4"/>
  <c r="V275" i="4" s="1"/>
  <c r="W275" i="4" s="1"/>
  <c r="W74" i="3"/>
  <c r="M75" i="3"/>
  <c r="N75" i="3" s="1"/>
  <c r="P75" i="3" l="1"/>
  <c r="Q75" i="3" s="1"/>
  <c r="S276" i="4"/>
  <c r="V276" i="4" s="1"/>
  <c r="W276" i="4" s="1"/>
  <c r="P277" i="4"/>
  <c r="U140" i="2"/>
  <c r="V140" i="2"/>
  <c r="R141" i="2"/>
  <c r="Q141" i="2"/>
  <c r="P141" i="2"/>
  <c r="O141" i="2"/>
  <c r="T141" i="2" l="1"/>
  <c r="S141" i="2"/>
  <c r="S277" i="4"/>
  <c r="V277" i="4" s="1"/>
  <c r="W277" i="4" s="1"/>
  <c r="P278" i="4"/>
  <c r="R75" i="3"/>
  <c r="R142" i="2" l="1"/>
  <c r="Q142" i="2"/>
  <c r="S75" i="3"/>
  <c r="U75" i="3" s="1"/>
  <c r="S278" i="4"/>
  <c r="V278" i="4" s="1"/>
  <c r="W278" i="4" s="1"/>
  <c r="P279" i="4"/>
  <c r="U141" i="2"/>
  <c r="P142" i="2" s="1"/>
  <c r="V141" i="2"/>
  <c r="O142" i="2" l="1"/>
  <c r="S279" i="4"/>
  <c r="V279" i="4" s="1"/>
  <c r="W279" i="4" s="1"/>
  <c r="P280" i="4"/>
  <c r="W75" i="3"/>
  <c r="M76" i="3"/>
  <c r="N76" i="3" s="1"/>
  <c r="T142" i="2"/>
  <c r="S142" i="2"/>
  <c r="P76" i="3" l="1"/>
  <c r="Q76" i="3" s="1"/>
  <c r="Q143" i="2"/>
  <c r="R143" i="2"/>
  <c r="V142" i="2"/>
  <c r="U142" i="2"/>
  <c r="O143" i="2" s="1"/>
  <c r="S280" i="4"/>
  <c r="V280" i="4" s="1"/>
  <c r="W280" i="4" s="1"/>
  <c r="P281" i="4"/>
  <c r="P143" i="2" l="1"/>
  <c r="T143" i="2"/>
  <c r="S143" i="2"/>
  <c r="S281" i="4"/>
  <c r="V281" i="4" s="1"/>
  <c r="W281" i="4" s="1"/>
  <c r="P282" i="4"/>
  <c r="R76" i="3"/>
  <c r="S76" i="3" l="1"/>
  <c r="U76" i="3" s="1"/>
  <c r="P283" i="4"/>
  <c r="S282" i="4"/>
  <c r="V282" i="4" s="1"/>
  <c r="W282" i="4" s="1"/>
  <c r="R144" i="2"/>
  <c r="Q144" i="2"/>
  <c r="O144" i="2"/>
  <c r="U143" i="2"/>
  <c r="P144" i="2" s="1"/>
  <c r="V143" i="2"/>
  <c r="T144" i="2" l="1"/>
  <c r="S144" i="2"/>
  <c r="S283" i="4"/>
  <c r="V283" i="4" s="1"/>
  <c r="W283" i="4" s="1"/>
  <c r="P284" i="4"/>
  <c r="W76" i="3"/>
  <c r="M77" i="3"/>
  <c r="N77" i="3" s="1"/>
  <c r="P77" i="3" l="1"/>
  <c r="Q77" i="3" s="1"/>
  <c r="R77" i="3"/>
  <c r="S284" i="4"/>
  <c r="V284" i="4" s="1"/>
  <c r="W284" i="4" s="1"/>
  <c r="P285" i="4"/>
  <c r="Q145" i="2"/>
  <c r="R145" i="2"/>
  <c r="V144" i="2"/>
  <c r="U144" i="2"/>
  <c r="O145" i="2" s="1"/>
  <c r="P145" i="2" l="1"/>
  <c r="T145" i="2" s="1"/>
  <c r="S285" i="4"/>
  <c r="V285" i="4" s="1"/>
  <c r="W285" i="4" s="1"/>
  <c r="P286" i="4"/>
  <c r="S77" i="3"/>
  <c r="U77" i="3" s="1"/>
  <c r="S145" i="2" l="1"/>
  <c r="M78" i="3"/>
  <c r="N78" i="3" s="1"/>
  <c r="W77" i="3"/>
  <c r="S286" i="4"/>
  <c r="V286" i="4" s="1"/>
  <c r="W286" i="4" s="1"/>
  <c r="P287" i="4"/>
  <c r="R146" i="2"/>
  <c r="Q146" i="2"/>
  <c r="P146" i="2"/>
  <c r="V145" i="2"/>
  <c r="U145" i="2"/>
  <c r="O146" i="2" s="1"/>
  <c r="S146" i="2" l="1"/>
  <c r="T146" i="2"/>
  <c r="S287" i="4"/>
  <c r="V287" i="4" s="1"/>
  <c r="W287" i="4" s="1"/>
  <c r="P288" i="4"/>
  <c r="P78" i="3"/>
  <c r="Q78" i="3" s="1"/>
  <c r="R78" i="3" l="1"/>
  <c r="P289" i="4"/>
  <c r="S288" i="4"/>
  <c r="V288" i="4" s="1"/>
  <c r="W288" i="4" s="1"/>
  <c r="U146" i="2"/>
  <c r="V146" i="2"/>
  <c r="Q147" i="2"/>
  <c r="O147" i="2"/>
  <c r="P147" i="2"/>
  <c r="R147" i="2"/>
  <c r="T147" i="2" l="1"/>
  <c r="S147" i="2"/>
  <c r="P290" i="4"/>
  <c r="S289" i="4"/>
  <c r="V289" i="4" s="1"/>
  <c r="W289" i="4" s="1"/>
  <c r="S78" i="3"/>
  <c r="U78" i="3" s="1"/>
  <c r="W78" i="3" l="1"/>
  <c r="M79" i="3"/>
  <c r="N79" i="3" s="1"/>
  <c r="S290" i="4"/>
  <c r="V290" i="4" s="1"/>
  <c r="W290" i="4" s="1"/>
  <c r="P291" i="4"/>
  <c r="R148" i="2"/>
  <c r="Q148" i="2"/>
  <c r="P148" i="2"/>
  <c r="V147" i="2"/>
  <c r="U147" i="2"/>
  <c r="O148" i="2" s="1"/>
  <c r="S148" i="2" l="1"/>
  <c r="T148" i="2"/>
  <c r="S291" i="4"/>
  <c r="V291" i="4" s="1"/>
  <c r="W291" i="4" s="1"/>
  <c r="P292" i="4"/>
  <c r="P79" i="3"/>
  <c r="Q79" i="3" s="1"/>
  <c r="S292" i="4" l="1"/>
  <c r="V292" i="4" s="1"/>
  <c r="W292" i="4" s="1"/>
  <c r="P293" i="4"/>
  <c r="R79" i="3"/>
  <c r="V148" i="2"/>
  <c r="U148" i="2"/>
  <c r="R149" i="2"/>
  <c r="Q149" i="2"/>
  <c r="P149" i="2"/>
  <c r="O149" i="2"/>
  <c r="T149" i="2" l="1"/>
  <c r="S149" i="2"/>
  <c r="S79" i="3"/>
  <c r="U79" i="3" s="1"/>
  <c r="S293" i="4"/>
  <c r="V293" i="4" s="1"/>
  <c r="W293" i="4" s="1"/>
  <c r="P294" i="4"/>
  <c r="S294" i="4" l="1"/>
  <c r="V294" i="4" s="1"/>
  <c r="W294" i="4" s="1"/>
  <c r="P295" i="4"/>
  <c r="M80" i="3"/>
  <c r="N80" i="3" s="1"/>
  <c r="W79" i="3"/>
  <c r="R150" i="2"/>
  <c r="P150" i="2"/>
  <c r="Q150" i="2"/>
  <c r="U149" i="2"/>
  <c r="O150" i="2" s="1"/>
  <c r="V149" i="2"/>
  <c r="T150" i="2" l="1"/>
  <c r="S150" i="2"/>
  <c r="P80" i="3"/>
  <c r="Q80" i="3" s="1"/>
  <c r="R80" i="3"/>
  <c r="P296" i="4"/>
  <c r="S295" i="4"/>
  <c r="V295" i="4" s="1"/>
  <c r="W295" i="4" s="1"/>
  <c r="S296" i="4" l="1"/>
  <c r="V296" i="4" s="1"/>
  <c r="W296" i="4" s="1"/>
  <c r="P297" i="4"/>
  <c r="S80" i="3"/>
  <c r="U80" i="3" s="1"/>
  <c r="Q151" i="2"/>
  <c r="R151" i="2"/>
  <c r="V150" i="2"/>
  <c r="U150" i="2"/>
  <c r="O151" i="2" s="1"/>
  <c r="P151" i="2" l="1"/>
  <c r="T151" i="2"/>
  <c r="S151" i="2"/>
  <c r="W80" i="3"/>
  <c r="M81" i="3"/>
  <c r="N81" i="3" s="1"/>
  <c r="S297" i="4"/>
  <c r="V297" i="4" s="1"/>
  <c r="W297" i="4" s="1"/>
  <c r="P298" i="4"/>
  <c r="P81" i="3" l="1"/>
  <c r="Q81" i="3" s="1"/>
  <c r="S298" i="4"/>
  <c r="V298" i="4" s="1"/>
  <c r="W298" i="4" s="1"/>
  <c r="P299" i="4"/>
  <c r="R152" i="2"/>
  <c r="Q152" i="2"/>
  <c r="U151" i="2"/>
  <c r="P152" i="2" s="1"/>
  <c r="V151" i="2"/>
  <c r="O152" i="2" l="1"/>
  <c r="P300" i="4"/>
  <c r="S299" i="4"/>
  <c r="V299" i="4" s="1"/>
  <c r="W299" i="4" s="1"/>
  <c r="T152" i="2"/>
  <c r="S152" i="2"/>
  <c r="R81" i="3"/>
  <c r="Q153" i="2" l="1"/>
  <c r="R153" i="2"/>
  <c r="S81" i="3"/>
  <c r="U81" i="3" s="1"/>
  <c r="V152" i="2"/>
  <c r="U152" i="2"/>
  <c r="O153" i="2" s="1"/>
  <c r="S300" i="4"/>
  <c r="V300" i="4" s="1"/>
  <c r="W300" i="4" s="1"/>
  <c r="P301" i="4"/>
  <c r="P153" i="2" l="1"/>
  <c r="S153" i="2"/>
  <c r="T153" i="2"/>
  <c r="P302" i="4"/>
  <c r="S301" i="4"/>
  <c r="V301" i="4" s="1"/>
  <c r="W301" i="4" s="1"/>
  <c r="M82" i="3"/>
  <c r="N82" i="3" s="1"/>
  <c r="W81" i="3"/>
  <c r="R82" i="3" l="1"/>
  <c r="P82" i="3"/>
  <c r="Q82" i="3" s="1"/>
  <c r="P303" i="4"/>
  <c r="S302" i="4"/>
  <c r="V302" i="4" s="1"/>
  <c r="W302" i="4" s="1"/>
  <c r="V153" i="2"/>
  <c r="U153" i="2"/>
  <c r="R154" i="2"/>
  <c r="Q154" i="2"/>
  <c r="P154" i="2"/>
  <c r="O154" i="2"/>
  <c r="P304" i="4" l="1"/>
  <c r="S303" i="4"/>
  <c r="V303" i="4" s="1"/>
  <c r="W303" i="4" s="1"/>
  <c r="S154" i="2"/>
  <c r="T154" i="2"/>
  <c r="S82" i="3"/>
  <c r="U82" i="3" s="1"/>
  <c r="M83" i="3" l="1"/>
  <c r="N83" i="3" s="1"/>
  <c r="W82" i="3"/>
  <c r="V154" i="2"/>
  <c r="U154" i="2"/>
  <c r="Q155" i="2"/>
  <c r="P155" i="2"/>
  <c r="O155" i="2"/>
  <c r="R155" i="2"/>
  <c r="S304" i="4"/>
  <c r="V304" i="4" s="1"/>
  <c r="W304" i="4" l="1"/>
  <c r="D20" i="4" s="1"/>
  <c r="C17" i="4"/>
  <c r="H20" i="4"/>
  <c r="C15" i="4"/>
  <c r="F20" i="4"/>
  <c r="C16" i="4"/>
  <c r="T155" i="2"/>
  <c r="S155" i="2"/>
  <c r="P83" i="3"/>
  <c r="Q83" i="3" s="1"/>
  <c r="R83" i="3"/>
  <c r="S83" i="3" l="1"/>
  <c r="U83" i="3" s="1"/>
  <c r="B20" i="4"/>
  <c r="V155" i="2"/>
  <c r="U155" i="2"/>
  <c r="O156" i="2"/>
  <c r="R156" i="2"/>
  <c r="Q156" i="2"/>
  <c r="P156" i="2"/>
  <c r="S156" i="2" l="1"/>
  <c r="T156" i="2"/>
  <c r="M84" i="3"/>
  <c r="N84" i="3" s="1"/>
  <c r="W83" i="3"/>
  <c r="P84" i="3" l="1"/>
  <c r="Q84" i="3" s="1"/>
  <c r="V156" i="2"/>
  <c r="U156" i="2"/>
  <c r="R157" i="2"/>
  <c r="Q157" i="2"/>
  <c r="P157" i="2"/>
  <c r="O157" i="2"/>
  <c r="T157" i="2" l="1"/>
  <c r="S157" i="2"/>
  <c r="R84" i="3"/>
  <c r="S84" i="3" l="1"/>
  <c r="U84" i="3" s="1"/>
  <c r="O158" i="2"/>
  <c r="R158" i="2"/>
  <c r="Q158" i="2"/>
  <c r="U157" i="2"/>
  <c r="P158" i="2" s="1"/>
  <c r="V157" i="2"/>
  <c r="S158" i="2" l="1"/>
  <c r="T158" i="2"/>
  <c r="M85" i="3"/>
  <c r="N85" i="3" s="1"/>
  <c r="W84" i="3"/>
  <c r="V158" i="2" l="1"/>
  <c r="U158" i="2"/>
  <c r="P85" i="3"/>
  <c r="Q85" i="3" s="1"/>
  <c r="R85" i="3"/>
  <c r="Q159" i="2"/>
  <c r="P159" i="2"/>
  <c r="O159" i="2"/>
  <c r="R159" i="2"/>
  <c r="S85" i="3" l="1"/>
  <c r="U85" i="3" s="1"/>
  <c r="S159" i="2"/>
  <c r="T159" i="2"/>
  <c r="U159" i="2" l="1"/>
  <c r="P160" i="2" s="1"/>
  <c r="V159" i="2"/>
  <c r="R160" i="2"/>
  <c r="Q160" i="2"/>
  <c r="O160" i="2"/>
  <c r="M86" i="3"/>
  <c r="N86" i="3" s="1"/>
  <c r="W85" i="3"/>
  <c r="P86" i="3" l="1"/>
  <c r="Q86" i="3" s="1"/>
  <c r="T160" i="2"/>
  <c r="S160" i="2"/>
  <c r="Q161" i="2" l="1"/>
  <c r="R161" i="2"/>
  <c r="V160" i="2"/>
  <c r="U160" i="2"/>
  <c r="O161" i="2" s="1"/>
  <c r="R86" i="3"/>
  <c r="P161" i="2" l="1"/>
  <c r="S161" i="2" s="1"/>
  <c r="S86" i="3"/>
  <c r="U86" i="3" s="1"/>
  <c r="T161" i="2" l="1"/>
  <c r="M87" i="3"/>
  <c r="N87" i="3" s="1"/>
  <c r="W86" i="3"/>
  <c r="V161" i="2"/>
  <c r="U161" i="2"/>
  <c r="R162" i="2"/>
  <c r="Q162" i="2"/>
  <c r="P162" i="2"/>
  <c r="O162" i="2"/>
  <c r="S162" i="2" l="1"/>
  <c r="T162" i="2"/>
  <c r="P87" i="3"/>
  <c r="Q87" i="3" s="1"/>
  <c r="R87" i="3" l="1"/>
  <c r="V162" i="2"/>
  <c r="U162" i="2"/>
  <c r="R163" i="2"/>
  <c r="Q163" i="2"/>
  <c r="P163" i="2"/>
  <c r="O163" i="2"/>
  <c r="T163" i="2" l="1"/>
  <c r="S163" i="2"/>
  <c r="S87" i="3"/>
  <c r="U87" i="3" s="1"/>
  <c r="M88" i="3" l="1"/>
  <c r="N88" i="3" s="1"/>
  <c r="W87" i="3"/>
  <c r="R164" i="2"/>
  <c r="Q164" i="2"/>
  <c r="V163" i="2"/>
  <c r="U163" i="2"/>
  <c r="P164" i="2" s="1"/>
  <c r="O164" i="2" l="1"/>
  <c r="T164" i="2"/>
  <c r="S164" i="2"/>
  <c r="P88" i="3"/>
  <c r="Q88" i="3" s="1"/>
  <c r="R88" i="3"/>
  <c r="S88" i="3" l="1"/>
  <c r="U88" i="3" s="1"/>
  <c r="R165" i="2"/>
  <c r="Q165" i="2"/>
  <c r="U164" i="2"/>
  <c r="P165" i="2" s="1"/>
  <c r="V164" i="2"/>
  <c r="O165" i="2" l="1"/>
  <c r="T165" i="2"/>
  <c r="S165" i="2"/>
  <c r="M89" i="3"/>
  <c r="N89" i="3" s="1"/>
  <c r="W88" i="3"/>
  <c r="P89" i="3" l="1"/>
  <c r="Q89" i="3" s="1"/>
  <c r="U165" i="2"/>
  <c r="V165" i="2"/>
  <c r="P166" i="2"/>
  <c r="O166" i="2"/>
  <c r="R166" i="2"/>
  <c r="Q166" i="2"/>
  <c r="T166" i="2" l="1"/>
  <c r="S166" i="2"/>
  <c r="R89" i="3"/>
  <c r="S89" i="3" l="1"/>
  <c r="U89" i="3" s="1"/>
  <c r="Q167" i="2"/>
  <c r="R167" i="2"/>
  <c r="V166" i="2"/>
  <c r="U166" i="2"/>
  <c r="O167" i="2" s="1"/>
  <c r="P167" i="2" l="1"/>
  <c r="T167" i="2" s="1"/>
  <c r="M90" i="3"/>
  <c r="N90" i="3" s="1"/>
  <c r="W89" i="3"/>
  <c r="S167" i="2" l="1"/>
  <c r="V167" i="2"/>
  <c r="U167" i="2"/>
  <c r="P90" i="3"/>
  <c r="Q90" i="3" s="1"/>
  <c r="R168" i="2"/>
  <c r="Q168" i="2"/>
  <c r="P168" i="2"/>
  <c r="O168" i="2"/>
  <c r="T168" i="2" l="1"/>
  <c r="S168" i="2"/>
  <c r="R90" i="3"/>
  <c r="S90" i="3" l="1"/>
  <c r="U90" i="3" s="1"/>
  <c r="R169" i="2"/>
  <c r="Q169" i="2"/>
  <c r="V168" i="2"/>
  <c r="U168" i="2"/>
  <c r="O169" i="2" s="1"/>
  <c r="P169" i="2" l="1"/>
  <c r="T169" i="2"/>
  <c r="S169" i="2"/>
  <c r="W90" i="3"/>
  <c r="M91" i="3"/>
  <c r="N91" i="3" s="1"/>
  <c r="P91" i="3" l="1"/>
  <c r="Q91" i="3" s="1"/>
  <c r="R170" i="2"/>
  <c r="Q170" i="2"/>
  <c r="V169" i="2"/>
  <c r="U169" i="2"/>
  <c r="P170" i="2" s="1"/>
  <c r="O170" i="2" l="1"/>
  <c r="S170" i="2"/>
  <c r="T170" i="2"/>
  <c r="R91" i="3"/>
  <c r="V170" i="2" l="1"/>
  <c r="U170" i="2"/>
  <c r="S91" i="3"/>
  <c r="U91" i="3" s="1"/>
  <c r="O171" i="2"/>
  <c r="R171" i="2"/>
  <c r="P171" i="2"/>
  <c r="Q171" i="2"/>
  <c r="T171" i="2" l="1"/>
  <c r="S171" i="2"/>
  <c r="W91" i="3"/>
  <c r="M92" i="3"/>
  <c r="N92" i="3" s="1"/>
  <c r="P92" i="3" l="1"/>
  <c r="Q92" i="3" s="1"/>
  <c r="R172" i="2"/>
  <c r="Q172" i="2"/>
  <c r="V171" i="2"/>
  <c r="U171" i="2"/>
  <c r="P172" i="2" s="1"/>
  <c r="O172" i="2" l="1"/>
  <c r="T172" i="2"/>
  <c r="S172" i="2"/>
  <c r="R92" i="3"/>
  <c r="S92" i="3" l="1"/>
  <c r="U92" i="3" s="1"/>
  <c r="R173" i="2"/>
  <c r="Q173" i="2"/>
  <c r="V172" i="2"/>
  <c r="U172" i="2"/>
  <c r="O173" i="2" s="1"/>
  <c r="P173" i="2" l="1"/>
  <c r="T173" i="2"/>
  <c r="S173" i="2"/>
  <c r="M93" i="3"/>
  <c r="N93" i="3" s="1"/>
  <c r="W92" i="3"/>
  <c r="P93" i="3" l="1"/>
  <c r="Q93" i="3" s="1"/>
  <c r="R93" i="3"/>
  <c r="O174" i="2"/>
  <c r="R174" i="2"/>
  <c r="Q174" i="2"/>
  <c r="U173" i="2"/>
  <c r="P174" i="2" s="1"/>
  <c r="V173" i="2"/>
  <c r="S174" i="2" l="1"/>
  <c r="T174" i="2"/>
  <c r="S93" i="3"/>
  <c r="U93" i="3" s="1"/>
  <c r="M94" i="3" l="1"/>
  <c r="N94" i="3" s="1"/>
  <c r="W93" i="3"/>
  <c r="V174" i="2"/>
  <c r="U174" i="2"/>
  <c r="Q175" i="2"/>
  <c r="P175" i="2"/>
  <c r="O175" i="2"/>
  <c r="R175" i="2"/>
  <c r="S175" i="2" l="1"/>
  <c r="T175" i="2"/>
  <c r="P94" i="3"/>
  <c r="Q94" i="3" l="1"/>
  <c r="F27" i="3"/>
  <c r="R94" i="3"/>
  <c r="V175" i="2"/>
  <c r="U175" i="2"/>
  <c r="R176" i="2"/>
  <c r="Q176" i="2"/>
  <c r="P176" i="2"/>
  <c r="O176" i="2"/>
  <c r="T176" i="2" l="1"/>
  <c r="S176" i="2"/>
  <c r="S94" i="3"/>
  <c r="B31" i="3"/>
  <c r="C36" i="3"/>
  <c r="F31" i="3"/>
  <c r="C37" i="3"/>
  <c r="D31" i="3"/>
  <c r="U94" i="3" l="1"/>
  <c r="W94" i="3" s="1"/>
  <c r="H27" i="3"/>
  <c r="B27" i="3"/>
  <c r="D27" i="3" s="1"/>
  <c r="C35" i="3"/>
  <c r="R177" i="2"/>
  <c r="Q177" i="2"/>
  <c r="V176" i="2"/>
  <c r="U176" i="2"/>
  <c r="P177" i="2" s="1"/>
  <c r="O177" i="2" l="1"/>
  <c r="T177" i="2" s="1"/>
  <c r="S177" i="2" l="1"/>
  <c r="R178" i="2"/>
  <c r="Q178" i="2"/>
  <c r="P178" i="2"/>
  <c r="U177" i="2"/>
  <c r="O178" i="2" s="1"/>
  <c r="V177" i="2"/>
  <c r="S178" i="2" l="1"/>
  <c r="T178" i="2"/>
  <c r="V178" i="2" l="1"/>
  <c r="U178" i="2"/>
  <c r="R179" i="2"/>
  <c r="Q179" i="2"/>
  <c r="P179" i="2"/>
  <c r="O179" i="2"/>
  <c r="T179" i="2" l="1"/>
  <c r="S179" i="2"/>
  <c r="R180" i="2" l="1"/>
  <c r="Q180" i="2"/>
  <c r="V179" i="2"/>
  <c r="U179" i="2"/>
  <c r="O180" i="2" s="1"/>
  <c r="P180" i="2" l="1"/>
  <c r="T180" i="2"/>
  <c r="S180" i="2"/>
  <c r="R181" i="2" l="1"/>
  <c r="Q181" i="2"/>
  <c r="P181" i="2"/>
  <c r="V180" i="2"/>
  <c r="U180" i="2"/>
  <c r="O181" i="2" s="1"/>
  <c r="T181" i="2" l="1"/>
  <c r="S181" i="2"/>
  <c r="R182" i="2" l="1"/>
  <c r="Q182" i="2"/>
  <c r="U181" i="2"/>
  <c r="P182" i="2" s="1"/>
  <c r="V181" i="2"/>
  <c r="O182" i="2" l="1"/>
  <c r="T182" i="2"/>
  <c r="S182" i="2"/>
  <c r="Q183" i="2" l="1"/>
  <c r="R183" i="2"/>
  <c r="V182" i="2"/>
  <c r="U182" i="2"/>
  <c r="O183" i="2" s="1"/>
  <c r="P183" i="2" l="1"/>
  <c r="T183" i="2" s="1"/>
  <c r="S183" i="2" l="1"/>
  <c r="R184" i="2"/>
  <c r="Q184" i="2"/>
  <c r="V183" i="2"/>
  <c r="U183" i="2"/>
  <c r="P184" i="2" s="1"/>
  <c r="O184" i="2" l="1"/>
  <c r="T184" i="2"/>
  <c r="S184" i="2"/>
  <c r="R185" i="2" l="1"/>
  <c r="Q185" i="2"/>
  <c r="O185" i="2"/>
  <c r="V184" i="2"/>
  <c r="U184" i="2"/>
  <c r="P185" i="2" s="1"/>
  <c r="S185" i="2" l="1"/>
  <c r="T185" i="2"/>
  <c r="V185" i="2" l="1"/>
  <c r="U185" i="2"/>
  <c r="R186" i="2"/>
  <c r="Q186" i="2"/>
  <c r="P186" i="2"/>
  <c r="O186" i="2"/>
  <c r="S186" i="2" l="1"/>
  <c r="T186" i="2"/>
  <c r="V186" i="2" l="1"/>
  <c r="U186" i="2"/>
  <c r="R187" i="2"/>
  <c r="Q187" i="2"/>
  <c r="P187" i="2"/>
  <c r="O187" i="2"/>
  <c r="T187" i="2" l="1"/>
  <c r="S187" i="2"/>
  <c r="O188" i="2" l="1"/>
  <c r="Q188" i="2"/>
  <c r="R188" i="2"/>
  <c r="V187" i="2"/>
  <c r="U187" i="2"/>
  <c r="P188" i="2" s="1"/>
  <c r="T188" i="2" l="1"/>
  <c r="S188" i="2"/>
  <c r="R189" i="2" l="1"/>
  <c r="Q189" i="2"/>
  <c r="V188" i="2"/>
  <c r="U188" i="2"/>
  <c r="O189" i="2" s="1"/>
  <c r="P189" i="2" l="1"/>
  <c r="T189" i="2"/>
  <c r="S189" i="2"/>
  <c r="O190" i="2" l="1"/>
  <c r="R190" i="2"/>
  <c r="Q190" i="2"/>
  <c r="U189" i="2"/>
  <c r="P190" i="2" s="1"/>
  <c r="V189" i="2"/>
  <c r="T190" i="2" l="1"/>
  <c r="S190" i="2"/>
  <c r="Q191" i="2" l="1"/>
  <c r="R191" i="2"/>
  <c r="V190" i="2"/>
  <c r="U190" i="2"/>
  <c r="O191" i="2" s="1"/>
  <c r="P191" i="2" l="1"/>
  <c r="T191" i="2"/>
  <c r="S191" i="2"/>
  <c r="V191" i="2" l="1"/>
  <c r="U191" i="2"/>
  <c r="R192" i="2"/>
  <c r="Q192" i="2"/>
  <c r="P192" i="2"/>
  <c r="O192" i="2"/>
  <c r="T192" i="2" l="1"/>
  <c r="S192" i="2"/>
  <c r="R193" i="2" l="1"/>
  <c r="Q193" i="2"/>
  <c r="V192" i="2"/>
  <c r="U192" i="2"/>
  <c r="O193" i="2" s="1"/>
  <c r="P193" i="2" l="1"/>
  <c r="T193" i="2" s="1"/>
  <c r="S193" i="2" l="1"/>
  <c r="R194" i="2" s="1"/>
  <c r="V193" i="2"/>
  <c r="U193" i="2"/>
  <c r="O194" i="2" l="1"/>
  <c r="P194" i="2"/>
  <c r="Q194" i="2"/>
  <c r="S194" i="2"/>
  <c r="T194" i="2"/>
  <c r="V194" i="2" l="1"/>
  <c r="U194" i="2"/>
  <c r="R195" i="2"/>
  <c r="Q195" i="2"/>
  <c r="P195" i="2"/>
  <c r="O195" i="2"/>
  <c r="T195" i="2" l="1"/>
  <c r="S195" i="2"/>
  <c r="O196" i="2" l="1"/>
  <c r="R196" i="2"/>
  <c r="Q196" i="2"/>
  <c r="V195" i="2"/>
  <c r="U195" i="2"/>
  <c r="P196" i="2" s="1"/>
  <c r="T196" i="2" l="1"/>
  <c r="S196" i="2"/>
  <c r="R197" i="2" l="1"/>
  <c r="Q197" i="2"/>
  <c r="U196" i="2"/>
  <c r="P197" i="2" s="1"/>
  <c r="V196" i="2"/>
  <c r="O197" i="2" l="1"/>
  <c r="T197" i="2"/>
  <c r="S197" i="2"/>
  <c r="R198" i="2" l="1"/>
  <c r="Q198" i="2"/>
  <c r="U197" i="2"/>
  <c r="O198" i="2" s="1"/>
  <c r="V197" i="2"/>
  <c r="P198" i="2" l="1"/>
  <c r="T198" i="2"/>
  <c r="S198" i="2"/>
  <c r="Q199" i="2" l="1"/>
  <c r="R199" i="2"/>
  <c r="V198" i="2"/>
  <c r="U198" i="2"/>
  <c r="P199" i="2" s="1"/>
  <c r="O199" i="2" l="1"/>
  <c r="T199" i="2"/>
  <c r="S199" i="2"/>
  <c r="R200" i="2" l="1"/>
  <c r="Q200" i="2"/>
  <c r="V199" i="2"/>
  <c r="U199" i="2"/>
  <c r="O200" i="2" s="1"/>
  <c r="P200" i="2" l="1"/>
  <c r="T200" i="2"/>
  <c r="S200" i="2"/>
  <c r="R201" i="2" l="1"/>
  <c r="Q201" i="2"/>
  <c r="V200" i="2"/>
  <c r="U200" i="2"/>
  <c r="P201" i="2" s="1"/>
  <c r="O201" i="2" l="1"/>
  <c r="T201" i="2"/>
  <c r="S201" i="2"/>
  <c r="V201" i="2" l="1"/>
  <c r="U201" i="2"/>
  <c r="R202" i="2"/>
  <c r="Q202" i="2"/>
  <c r="P202" i="2"/>
  <c r="O202" i="2"/>
  <c r="S202" i="2" l="1"/>
  <c r="T202" i="2"/>
  <c r="V202" i="2" l="1"/>
  <c r="U202" i="2"/>
  <c r="R203" i="2"/>
  <c r="Q203" i="2"/>
  <c r="P203" i="2"/>
  <c r="O203" i="2"/>
  <c r="T203" i="2" l="1"/>
  <c r="S203" i="2"/>
  <c r="O204" i="2" l="1"/>
  <c r="R204" i="2"/>
  <c r="Q204" i="2"/>
  <c r="V203" i="2"/>
  <c r="U203" i="2"/>
  <c r="P204" i="2" s="1"/>
  <c r="T204" i="2" l="1"/>
  <c r="S204" i="2"/>
  <c r="R205" i="2" l="1"/>
  <c r="Q205" i="2"/>
  <c r="U204" i="2"/>
  <c r="P205" i="2" s="1"/>
  <c r="V204" i="2"/>
  <c r="O205" i="2" l="1"/>
  <c r="T205" i="2"/>
  <c r="S205" i="2"/>
  <c r="R206" i="2" l="1"/>
  <c r="Q206" i="2"/>
  <c r="U205" i="2"/>
  <c r="O206" i="2" s="1"/>
  <c r="V205" i="2"/>
  <c r="P206" i="2" l="1"/>
  <c r="T206" i="2" s="1"/>
  <c r="S206" i="2" l="1"/>
  <c r="Q207" i="2"/>
  <c r="R207" i="2"/>
  <c r="V206" i="2"/>
  <c r="U206" i="2"/>
  <c r="P207" i="2" s="1"/>
  <c r="O207" i="2" l="1"/>
  <c r="T207" i="2"/>
  <c r="S207" i="2"/>
  <c r="R208" i="2" l="1"/>
  <c r="Q208" i="2"/>
  <c r="V207" i="2"/>
  <c r="U207" i="2"/>
  <c r="O208" i="2" s="1"/>
  <c r="P208" i="2" l="1"/>
  <c r="T208" i="2"/>
  <c r="S208" i="2"/>
  <c r="R209" i="2" l="1"/>
  <c r="Q209" i="2"/>
  <c r="V208" i="2"/>
  <c r="U208" i="2"/>
  <c r="P209" i="2" s="1"/>
  <c r="O209" i="2" l="1"/>
  <c r="T209" i="2"/>
  <c r="S209" i="2"/>
  <c r="R210" i="2" l="1"/>
  <c r="Q210" i="2"/>
  <c r="O210" i="2"/>
  <c r="V209" i="2"/>
  <c r="U209" i="2"/>
  <c r="P210" i="2" s="1"/>
  <c r="S210" i="2" l="1"/>
  <c r="T210" i="2"/>
  <c r="V210" i="2" l="1"/>
  <c r="U210" i="2"/>
  <c r="R211" i="2"/>
  <c r="Q211" i="2"/>
  <c r="P211" i="2"/>
  <c r="O211" i="2"/>
  <c r="T211" i="2" l="1"/>
  <c r="S211" i="2"/>
  <c r="R212" i="2" l="1"/>
  <c r="Q212" i="2"/>
  <c r="V211" i="2"/>
  <c r="U211" i="2"/>
  <c r="P212" i="2" s="1"/>
  <c r="O212" i="2" l="1"/>
  <c r="T212" i="2"/>
  <c r="S212" i="2"/>
  <c r="R213" i="2" l="1"/>
  <c r="Q213" i="2"/>
  <c r="O213" i="2"/>
  <c r="V212" i="2"/>
  <c r="U212" i="2"/>
  <c r="P213" i="2" s="1"/>
  <c r="T213" i="2" l="1"/>
  <c r="S213" i="2"/>
  <c r="P214" i="2" l="1"/>
  <c r="Q214" i="2"/>
  <c r="R214" i="2"/>
  <c r="U213" i="2"/>
  <c r="O214" i="2" s="1"/>
  <c r="V213" i="2"/>
  <c r="T214" i="2" l="1"/>
  <c r="S214" i="2"/>
  <c r="Q215" i="2" l="1"/>
  <c r="P215" i="2"/>
  <c r="R215" i="2"/>
  <c r="V214" i="2"/>
  <c r="U214" i="2"/>
  <c r="O215" i="2" s="1"/>
  <c r="T215" i="2" l="1"/>
  <c r="S215" i="2"/>
  <c r="R216" i="2" l="1"/>
  <c r="Q216" i="2"/>
  <c r="P216" i="2"/>
  <c r="V215" i="2"/>
  <c r="U215" i="2"/>
  <c r="O216" i="2" s="1"/>
  <c r="T216" i="2" l="1"/>
  <c r="S216" i="2"/>
  <c r="V216" i="2" l="1"/>
  <c r="U216" i="2"/>
  <c r="R217" i="2"/>
  <c r="Q217" i="2"/>
  <c r="P217" i="2"/>
  <c r="O217" i="2"/>
  <c r="S217" i="2" l="1"/>
  <c r="T217" i="2"/>
  <c r="V217" i="2" l="1"/>
  <c r="U217" i="2"/>
  <c r="R218" i="2"/>
  <c r="Q218" i="2"/>
  <c r="P218" i="2"/>
  <c r="O218" i="2"/>
  <c r="S218" i="2" l="1"/>
  <c r="T218" i="2"/>
  <c r="U218" i="2" l="1"/>
  <c r="V218" i="2"/>
  <c r="R219" i="2"/>
  <c r="Q219" i="2"/>
  <c r="P219" i="2"/>
  <c r="O219" i="2"/>
  <c r="T219" i="2" l="1"/>
  <c r="S219" i="2"/>
  <c r="R220" i="2" l="1"/>
  <c r="Q220" i="2"/>
  <c r="V219" i="2"/>
  <c r="U219" i="2"/>
  <c r="O220" i="2" s="1"/>
  <c r="P220" i="2" l="1"/>
  <c r="T220" i="2"/>
  <c r="S220" i="2"/>
  <c r="R221" i="2" l="1"/>
  <c r="Q221" i="2"/>
  <c r="V220" i="2"/>
  <c r="U220" i="2"/>
  <c r="P221" i="2" s="1"/>
  <c r="O221" i="2" l="1"/>
  <c r="T221" i="2"/>
  <c r="S221" i="2"/>
  <c r="U221" i="2" l="1"/>
  <c r="V221" i="2"/>
  <c r="P222" i="2"/>
  <c r="O222" i="2"/>
  <c r="R222" i="2"/>
  <c r="Q222" i="2"/>
  <c r="T222" i="2" l="1"/>
  <c r="S222" i="2"/>
  <c r="Q223" i="2" l="1"/>
  <c r="R223" i="2"/>
  <c r="V222" i="2"/>
  <c r="U222" i="2"/>
  <c r="P223" i="2" s="1"/>
  <c r="O223" i="2" l="1"/>
  <c r="T223" i="2"/>
  <c r="S223" i="2"/>
  <c r="R224" i="2" l="1"/>
  <c r="Q224" i="2"/>
  <c r="V223" i="2"/>
  <c r="U223" i="2"/>
  <c r="O224" i="2" s="1"/>
  <c r="P224" i="2" l="1"/>
  <c r="T224" i="2"/>
  <c r="S224" i="2"/>
  <c r="R225" i="2" l="1"/>
  <c r="Q225" i="2"/>
  <c r="V224" i="2"/>
  <c r="U224" i="2"/>
  <c r="P225" i="2" s="1"/>
  <c r="O225" i="2" l="1"/>
  <c r="S225" i="2" s="1"/>
  <c r="T225" i="2" l="1"/>
  <c r="V225" i="2"/>
  <c r="U225" i="2"/>
  <c r="R226" i="2"/>
  <c r="Q226" i="2"/>
  <c r="P226" i="2"/>
  <c r="O226" i="2"/>
  <c r="S226" i="2" l="1"/>
  <c r="T226" i="2"/>
  <c r="V226" i="2" l="1"/>
  <c r="U226" i="2"/>
  <c r="R227" i="2"/>
  <c r="Q227" i="2"/>
  <c r="P227" i="2"/>
  <c r="O227" i="2"/>
  <c r="T227" i="2" l="1"/>
  <c r="S227" i="2"/>
  <c r="R228" i="2" l="1"/>
  <c r="Q228" i="2"/>
  <c r="V227" i="2"/>
  <c r="U227" i="2"/>
  <c r="O228" i="2" s="1"/>
  <c r="P228" i="2" l="1"/>
  <c r="T228" i="2"/>
  <c r="S228" i="2"/>
  <c r="R229" i="2" l="1"/>
  <c r="Q229" i="2"/>
  <c r="O229" i="2"/>
  <c r="V228" i="2"/>
  <c r="U228" i="2"/>
  <c r="P229" i="2" s="1"/>
  <c r="T229" i="2" l="1"/>
  <c r="S229" i="2"/>
  <c r="P230" i="2" l="1"/>
  <c r="R230" i="2"/>
  <c r="Q230" i="2"/>
  <c r="U229" i="2"/>
  <c r="O230" i="2" s="1"/>
  <c r="V229" i="2"/>
  <c r="T230" i="2" l="1"/>
  <c r="S230" i="2"/>
  <c r="Q231" i="2" l="1"/>
  <c r="R231" i="2"/>
  <c r="V230" i="2"/>
  <c r="U230" i="2"/>
  <c r="P231" i="2" s="1"/>
  <c r="O231" i="2" l="1"/>
  <c r="T231" i="2"/>
  <c r="S231" i="2"/>
  <c r="R232" i="2" l="1"/>
  <c r="Q232" i="2"/>
  <c r="P232" i="2"/>
  <c r="V231" i="2"/>
  <c r="U231" i="2"/>
  <c r="O232" i="2" s="1"/>
  <c r="T232" i="2" l="1"/>
  <c r="S232" i="2"/>
  <c r="R233" i="2" l="1"/>
  <c r="Q233" i="2"/>
  <c r="V232" i="2"/>
  <c r="U232" i="2"/>
  <c r="O233" i="2" s="1"/>
  <c r="P233" i="2" l="1"/>
  <c r="T233" i="2" s="1"/>
  <c r="S233" i="2" l="1"/>
  <c r="R234" i="2"/>
  <c r="Q234" i="2"/>
  <c r="V233" i="2"/>
  <c r="U233" i="2"/>
  <c r="P234" i="2" s="1"/>
  <c r="O234" i="2" l="1"/>
  <c r="S234" i="2"/>
  <c r="T234" i="2"/>
  <c r="V234" i="2" l="1"/>
  <c r="U234" i="2"/>
  <c r="R235" i="2"/>
  <c r="Q235" i="2"/>
  <c r="P235" i="2"/>
  <c r="O235" i="2"/>
  <c r="T235" i="2" l="1"/>
  <c r="S235" i="2"/>
  <c r="R236" i="2" l="1"/>
  <c r="Q236" i="2"/>
  <c r="V235" i="2"/>
  <c r="U235" i="2"/>
  <c r="O236" i="2" s="1"/>
  <c r="P236" i="2" l="1"/>
  <c r="T236" i="2" s="1"/>
  <c r="S236" i="2" l="1"/>
  <c r="V236" i="2"/>
  <c r="U236" i="2"/>
  <c r="O237" i="2" s="1"/>
  <c r="R237" i="2"/>
  <c r="Q237" i="2"/>
  <c r="P237" i="2"/>
  <c r="T237" i="2" l="1"/>
  <c r="S237" i="2"/>
  <c r="R238" i="2" l="1"/>
  <c r="Q238" i="2"/>
  <c r="U237" i="2"/>
  <c r="O238" i="2" s="1"/>
  <c r="V237" i="2"/>
  <c r="P238" i="2" l="1"/>
  <c r="T238" i="2"/>
  <c r="S238" i="2"/>
  <c r="Q239" i="2" l="1"/>
  <c r="R239" i="2"/>
  <c r="V238" i="2"/>
  <c r="U238" i="2"/>
  <c r="P239" i="2" s="1"/>
  <c r="O239" i="2" l="1"/>
  <c r="T239" i="2" s="1"/>
  <c r="S239" i="2" l="1"/>
  <c r="R240" i="2"/>
  <c r="Q240" i="2"/>
  <c r="V239" i="2"/>
  <c r="U239" i="2"/>
  <c r="O240" i="2" s="1"/>
  <c r="P240" i="2" l="1"/>
  <c r="T240" i="2"/>
  <c r="S240" i="2"/>
  <c r="R241" i="2" l="1"/>
  <c r="Q241" i="2"/>
  <c r="P241" i="2"/>
  <c r="V240" i="2"/>
  <c r="U240" i="2"/>
  <c r="O241" i="2" s="1"/>
  <c r="T241" i="2" l="1"/>
  <c r="S241" i="2"/>
  <c r="V241" i="2" l="1"/>
  <c r="U241" i="2"/>
  <c r="R242" i="2"/>
  <c r="Q242" i="2"/>
  <c r="P242" i="2"/>
  <c r="O242" i="2"/>
  <c r="S242" i="2" l="1"/>
  <c r="T242" i="2"/>
  <c r="V242" i="2" l="1"/>
  <c r="U242" i="2"/>
  <c r="R243" i="2"/>
  <c r="Q243" i="2"/>
  <c r="O243" i="2"/>
  <c r="P243" i="2"/>
  <c r="T243" i="2" l="1"/>
  <c r="S243" i="2"/>
  <c r="P244" i="2" l="1"/>
  <c r="R244" i="2"/>
  <c r="Q244" i="2"/>
  <c r="V243" i="2"/>
  <c r="U243" i="2"/>
  <c r="O244" i="2" s="1"/>
  <c r="T244" i="2" l="1"/>
  <c r="S244" i="2"/>
  <c r="R245" i="2" l="1"/>
  <c r="Q245" i="2"/>
  <c r="O245" i="2"/>
  <c r="V244" i="2"/>
  <c r="U244" i="2"/>
  <c r="P245" i="2" s="1"/>
  <c r="T245" i="2" l="1"/>
  <c r="S245" i="2"/>
  <c r="P246" i="2" l="1"/>
  <c r="Q246" i="2"/>
  <c r="R246" i="2"/>
  <c r="U245" i="2"/>
  <c r="O246" i="2" s="1"/>
  <c r="V245" i="2"/>
  <c r="T246" i="2" l="1"/>
  <c r="S246" i="2"/>
  <c r="V246" i="2" l="1"/>
  <c r="U246" i="2"/>
  <c r="Q247" i="2"/>
  <c r="P247" i="2"/>
  <c r="O247" i="2"/>
  <c r="R247" i="2"/>
  <c r="T247" i="2" l="1"/>
  <c r="S247" i="2"/>
  <c r="R248" i="2" l="1"/>
  <c r="Q248" i="2"/>
  <c r="P248" i="2"/>
  <c r="V247" i="2"/>
  <c r="U247" i="2"/>
  <c r="O248" i="2" s="1"/>
  <c r="T248" i="2" l="1"/>
  <c r="S248" i="2"/>
  <c r="R249" i="2" l="1"/>
  <c r="Q249" i="2"/>
  <c r="O249" i="2"/>
  <c r="V248" i="2"/>
  <c r="U248" i="2"/>
  <c r="P249" i="2" s="1"/>
  <c r="T249" i="2" l="1"/>
  <c r="S249" i="2"/>
  <c r="R250" i="2" l="1"/>
  <c r="Q250" i="2"/>
  <c r="P250" i="2"/>
  <c r="V249" i="2"/>
  <c r="U249" i="2"/>
  <c r="O250" i="2" s="1"/>
  <c r="S250" i="2" l="1"/>
  <c r="T250" i="2"/>
  <c r="V250" i="2" l="1"/>
  <c r="U250" i="2"/>
  <c r="R251" i="2"/>
  <c r="Q251" i="2"/>
  <c r="O251" i="2"/>
  <c r="P251" i="2"/>
  <c r="T251" i="2" l="1"/>
  <c r="S251" i="2"/>
  <c r="O252" i="2" l="1"/>
  <c r="R252" i="2"/>
  <c r="Q252" i="2"/>
  <c r="V251" i="2"/>
  <c r="U251" i="2"/>
  <c r="P252" i="2" s="1"/>
  <c r="T252" i="2" l="1"/>
  <c r="S252" i="2"/>
  <c r="V252" i="2" l="1"/>
  <c r="U252" i="2"/>
  <c r="R253" i="2"/>
  <c r="Q253" i="2"/>
  <c r="P253" i="2"/>
  <c r="O253" i="2"/>
  <c r="T253" i="2" l="1"/>
  <c r="S253" i="2"/>
  <c r="R254" i="2" l="1"/>
  <c r="Q254" i="2"/>
  <c r="U253" i="2"/>
  <c r="P254" i="2" s="1"/>
  <c r="V253" i="2"/>
  <c r="O254" i="2" l="1"/>
  <c r="T254" i="2"/>
  <c r="S254" i="2"/>
  <c r="V254" i="2" l="1"/>
  <c r="U254" i="2"/>
  <c r="Q255" i="2"/>
  <c r="P255" i="2"/>
  <c r="O255" i="2"/>
  <c r="R255" i="2"/>
  <c r="T255" i="2" l="1"/>
  <c r="S255" i="2"/>
  <c r="R256" i="2" l="1"/>
  <c r="Q256" i="2"/>
  <c r="O256" i="2"/>
  <c r="V255" i="2"/>
  <c r="U255" i="2"/>
  <c r="P256" i="2" s="1"/>
  <c r="T256" i="2" l="1"/>
  <c r="S256" i="2"/>
  <c r="R257" i="2" l="1"/>
  <c r="Q257" i="2"/>
  <c r="V256" i="2"/>
  <c r="U256" i="2"/>
  <c r="O257" i="2" s="1"/>
  <c r="P257" i="2" l="1"/>
  <c r="T257" i="2"/>
  <c r="S257" i="2"/>
  <c r="R258" i="2" l="1"/>
  <c r="Q258" i="2"/>
  <c r="P258" i="2"/>
  <c r="V257" i="2"/>
  <c r="U257" i="2"/>
  <c r="O258" i="2" s="1"/>
  <c r="S258" i="2" l="1"/>
  <c r="T258" i="2"/>
  <c r="V258" i="2" l="1"/>
  <c r="U258" i="2"/>
  <c r="R259" i="2"/>
  <c r="P259" i="2"/>
  <c r="Q259" i="2"/>
  <c r="O259" i="2"/>
  <c r="T259" i="2" l="1"/>
  <c r="S259" i="2"/>
  <c r="R260" i="2" l="1"/>
  <c r="P260" i="2"/>
  <c r="Q260" i="2"/>
  <c r="V259" i="2"/>
  <c r="U259" i="2"/>
  <c r="O260" i="2" s="1"/>
  <c r="T260" i="2" l="1"/>
  <c r="S260" i="2"/>
  <c r="R261" i="2" l="1"/>
  <c r="Q261" i="2"/>
  <c r="O261" i="2"/>
  <c r="V260" i="2"/>
  <c r="U260" i="2"/>
  <c r="P261" i="2" s="1"/>
  <c r="T261" i="2" l="1"/>
  <c r="S261" i="2"/>
  <c r="R262" i="2" l="1"/>
  <c r="P262" i="2"/>
  <c r="Q262" i="2"/>
  <c r="U261" i="2"/>
  <c r="O262" i="2" s="1"/>
  <c r="V261" i="2"/>
  <c r="T262" i="2" l="1"/>
  <c r="S262" i="2"/>
  <c r="Q263" i="2" l="1"/>
  <c r="R263" i="2"/>
  <c r="V262" i="2"/>
  <c r="U262" i="2"/>
  <c r="O263" i="2" s="1"/>
  <c r="P263" i="2" l="1"/>
  <c r="T263" i="2" s="1"/>
  <c r="S263" i="2"/>
  <c r="R264" i="2" l="1"/>
  <c r="Q264" i="2"/>
  <c r="O264" i="2"/>
  <c r="V263" i="2"/>
  <c r="U263" i="2"/>
  <c r="P264" i="2" s="1"/>
  <c r="T264" i="2" l="1"/>
  <c r="S264" i="2"/>
  <c r="V264" i="2" l="1"/>
  <c r="U264" i="2"/>
  <c r="R265" i="2"/>
  <c r="Q265" i="2"/>
  <c r="P265" i="2"/>
  <c r="O265" i="2"/>
  <c r="T265" i="2" l="1"/>
  <c r="S265" i="2"/>
  <c r="R266" i="2" l="1"/>
  <c r="Q266" i="2"/>
  <c r="O266" i="2"/>
  <c r="V265" i="2"/>
  <c r="U265" i="2"/>
  <c r="P266" i="2" s="1"/>
  <c r="S266" i="2" l="1"/>
  <c r="T266" i="2"/>
  <c r="V266" i="2" l="1"/>
  <c r="U266" i="2"/>
  <c r="R267" i="2"/>
  <c r="P267" i="2"/>
  <c r="O267" i="2"/>
  <c r="Q267" i="2"/>
  <c r="T267" i="2" l="1"/>
  <c r="S267" i="2"/>
  <c r="O268" i="2" l="1"/>
  <c r="R268" i="2"/>
  <c r="Q268" i="2"/>
  <c r="V267" i="2"/>
  <c r="U267" i="2"/>
  <c r="P268" i="2" s="1"/>
  <c r="T268" i="2" l="1"/>
  <c r="S268" i="2"/>
  <c r="R269" i="2" l="1"/>
  <c r="Q269" i="2"/>
  <c r="V268" i="2"/>
  <c r="U268" i="2"/>
  <c r="P269" i="2" s="1"/>
  <c r="O269" i="2" l="1"/>
  <c r="S269" i="2" s="1"/>
  <c r="T269" i="2"/>
  <c r="R270" i="2" l="1"/>
  <c r="P270" i="2"/>
  <c r="Q270" i="2"/>
  <c r="U269" i="2"/>
  <c r="O270" i="2" s="1"/>
  <c r="V269" i="2"/>
  <c r="T270" i="2" l="1"/>
  <c r="S270" i="2"/>
  <c r="Q271" i="2" l="1"/>
  <c r="R271" i="2"/>
  <c r="V270" i="2"/>
  <c r="U270" i="2"/>
  <c r="P271" i="2" s="1"/>
  <c r="O271" i="2" l="1"/>
  <c r="S271" i="2" s="1"/>
  <c r="T271" i="2"/>
  <c r="R272" i="2" l="1"/>
  <c r="Q272" i="2"/>
  <c r="P272" i="2"/>
  <c r="V271" i="2"/>
  <c r="U271" i="2"/>
  <c r="O272" i="2" s="1"/>
  <c r="T272" i="2" l="1"/>
  <c r="S272" i="2"/>
  <c r="R273" i="2" l="1"/>
  <c r="Q273" i="2"/>
  <c r="P273" i="2"/>
  <c r="V272" i="2"/>
  <c r="U272" i="2"/>
  <c r="O273" i="2" s="1"/>
  <c r="T273" i="2" l="1"/>
  <c r="S273" i="2"/>
  <c r="R274" i="2" l="1"/>
  <c r="Q274" i="2"/>
  <c r="O274" i="2"/>
  <c r="V273" i="2"/>
  <c r="U273" i="2"/>
  <c r="P274" i="2" s="1"/>
  <c r="S274" i="2" l="1"/>
  <c r="T274" i="2"/>
  <c r="V274" i="2" l="1"/>
  <c r="U274" i="2"/>
  <c r="R275" i="2"/>
  <c r="P275" i="2"/>
  <c r="Q275" i="2"/>
  <c r="O275" i="2"/>
  <c r="T275" i="2" l="1"/>
  <c r="S275" i="2"/>
  <c r="R276" i="2" l="1"/>
  <c r="Q276" i="2"/>
  <c r="V275" i="2"/>
  <c r="U275" i="2"/>
  <c r="P276" i="2" s="1"/>
  <c r="O276" i="2" l="1"/>
  <c r="T276" i="2"/>
  <c r="S276" i="2"/>
  <c r="R277" i="2" l="1"/>
  <c r="Q277" i="2"/>
  <c r="P277" i="2"/>
  <c r="V276" i="2"/>
  <c r="U276" i="2"/>
  <c r="O277" i="2" s="1"/>
  <c r="T277" i="2" l="1"/>
  <c r="S277" i="2"/>
  <c r="Q278" i="2" l="1"/>
  <c r="R278" i="2"/>
  <c r="U277" i="2"/>
  <c r="P278" i="2" s="1"/>
  <c r="V277" i="2"/>
  <c r="O278" i="2" l="1"/>
  <c r="S278" i="2"/>
  <c r="T278" i="2"/>
  <c r="V278" i="2" l="1"/>
  <c r="U278" i="2"/>
  <c r="R279" i="2"/>
  <c r="Q279" i="2"/>
  <c r="P279" i="2"/>
  <c r="O279" i="2"/>
  <c r="S279" i="2" l="1"/>
  <c r="T279" i="2"/>
  <c r="U279" i="2" l="1"/>
  <c r="V279" i="2"/>
  <c r="Q280" i="2"/>
  <c r="O280" i="2"/>
  <c r="P280" i="2"/>
  <c r="R280" i="2"/>
  <c r="S280" i="2" l="1"/>
  <c r="T280" i="2"/>
  <c r="V280" i="2" l="1"/>
  <c r="U280" i="2"/>
  <c r="O281" i="2"/>
  <c r="R281" i="2"/>
  <c r="Q281" i="2"/>
  <c r="P281" i="2"/>
  <c r="S281" i="2" l="1"/>
  <c r="T281" i="2"/>
  <c r="V281" i="2" l="1"/>
  <c r="U281" i="2"/>
  <c r="O282" i="2"/>
  <c r="R282" i="2"/>
  <c r="P282" i="2"/>
  <c r="Q282" i="2"/>
  <c r="T282" i="2" l="1"/>
  <c r="S282" i="2"/>
  <c r="Q283" i="2" l="1"/>
  <c r="R283" i="2"/>
  <c r="U282" i="2"/>
  <c r="O283" i="2" s="1"/>
  <c r="V282" i="2"/>
  <c r="P283" i="2" l="1"/>
  <c r="T283" i="2"/>
  <c r="S283" i="2"/>
  <c r="Q284" i="2" l="1"/>
  <c r="R284" i="2"/>
  <c r="U283" i="2"/>
  <c r="P284" i="2" s="1"/>
  <c r="V283" i="2"/>
  <c r="O284" i="2" l="1"/>
  <c r="S284" i="2"/>
  <c r="T284" i="2"/>
  <c r="V284" i="2" l="1"/>
  <c r="U284" i="2"/>
  <c r="Q285" i="2"/>
  <c r="P285" i="2"/>
  <c r="O285" i="2"/>
  <c r="R285" i="2"/>
  <c r="T285" i="2" l="1"/>
  <c r="S285" i="2"/>
  <c r="O286" i="2" l="1"/>
  <c r="R286" i="2"/>
  <c r="Q286" i="2"/>
  <c r="V285" i="2"/>
  <c r="U285" i="2"/>
  <c r="P286" i="2" s="1"/>
  <c r="T286" i="2" l="1"/>
  <c r="S286" i="2"/>
  <c r="P287" i="2" l="1"/>
  <c r="Q287" i="2"/>
  <c r="R287" i="2"/>
  <c r="V286" i="2"/>
  <c r="U286" i="2"/>
  <c r="O287" i="2" s="1"/>
  <c r="T287" i="2" l="1"/>
  <c r="S287" i="2"/>
  <c r="R288" i="2" l="1"/>
  <c r="Q288" i="2"/>
  <c r="O288" i="2"/>
  <c r="U287" i="2"/>
  <c r="P288" i="2" s="1"/>
  <c r="V287" i="2"/>
  <c r="S288" i="2" l="1"/>
  <c r="T288" i="2"/>
  <c r="V288" i="2" l="1"/>
  <c r="U288" i="2"/>
  <c r="Q289" i="2"/>
  <c r="P289" i="2"/>
  <c r="O289" i="2"/>
  <c r="R289" i="2"/>
  <c r="T289" i="2" l="1"/>
  <c r="S289" i="2"/>
  <c r="R290" i="2" l="1"/>
  <c r="Q290" i="2"/>
  <c r="U289" i="2"/>
  <c r="P290" i="2" s="1"/>
  <c r="V289" i="2"/>
  <c r="O290" i="2" l="1"/>
  <c r="S290" i="2" s="1"/>
  <c r="T290" i="2"/>
  <c r="V290" i="2" l="1"/>
  <c r="U290" i="2"/>
  <c r="R291" i="2"/>
  <c r="Q291" i="2"/>
  <c r="P291" i="2"/>
  <c r="O291" i="2"/>
  <c r="T291" i="2" l="1"/>
  <c r="S291" i="2"/>
  <c r="R292" i="2" l="1"/>
  <c r="Q292" i="2"/>
  <c r="P292" i="2"/>
  <c r="U291" i="2"/>
  <c r="O292" i="2" s="1"/>
  <c r="V291" i="2"/>
  <c r="S292" i="2" l="1"/>
  <c r="T292" i="2"/>
  <c r="V292" i="2" l="1"/>
  <c r="U292" i="2"/>
  <c r="Q293" i="2"/>
  <c r="R293" i="2"/>
  <c r="P293" i="2"/>
  <c r="O293" i="2"/>
  <c r="T293" i="2" l="1"/>
  <c r="S293" i="2"/>
  <c r="R294" i="2" l="1"/>
  <c r="P294" i="2"/>
  <c r="Q294" i="2"/>
  <c r="V293" i="2"/>
  <c r="U293" i="2"/>
  <c r="O294" i="2" s="1"/>
  <c r="T294" i="2" l="1"/>
  <c r="S294" i="2"/>
  <c r="R295" i="2" l="1"/>
  <c r="Q295" i="2"/>
  <c r="O295" i="2"/>
  <c r="V294" i="2"/>
  <c r="U294" i="2"/>
  <c r="P295" i="2" s="1"/>
  <c r="T295" i="2" l="1"/>
  <c r="S295" i="2"/>
  <c r="U295" i="2" l="1"/>
  <c r="V295" i="2"/>
  <c r="P296" i="2"/>
  <c r="O296" i="2"/>
  <c r="Q296" i="2"/>
  <c r="R296" i="2"/>
  <c r="S296" i="2" l="1"/>
  <c r="T296" i="2"/>
  <c r="V296" i="2" l="1"/>
  <c r="U296" i="2"/>
  <c r="Q297" i="2"/>
  <c r="P297" i="2"/>
  <c r="O297" i="2"/>
  <c r="R297" i="2"/>
  <c r="T297" i="2" l="1"/>
  <c r="S297" i="2"/>
  <c r="R298" i="2" l="1"/>
  <c r="Q298" i="2"/>
  <c r="P298" i="2"/>
  <c r="V297" i="2"/>
  <c r="U297" i="2"/>
  <c r="O298" i="2" s="1"/>
  <c r="S298" i="2" l="1"/>
  <c r="T298" i="2"/>
  <c r="V298" i="2" l="1"/>
  <c r="U298" i="2"/>
  <c r="Q299" i="2"/>
  <c r="P299" i="2"/>
  <c r="O299" i="2"/>
  <c r="R299" i="2"/>
  <c r="S299" i="2" l="1"/>
  <c r="T299" i="2"/>
  <c r="U299" i="2" l="1"/>
  <c r="V299" i="2"/>
  <c r="R300" i="2"/>
  <c r="Q300" i="2"/>
  <c r="P300" i="2"/>
  <c r="O300" i="2"/>
  <c r="S300" i="2" l="1"/>
  <c r="T300" i="2"/>
  <c r="V300" i="2" l="1"/>
  <c r="U300" i="2"/>
  <c r="Q301" i="2"/>
  <c r="R301" i="2"/>
  <c r="P301" i="2"/>
  <c r="O301" i="2"/>
  <c r="T301" i="2" l="1"/>
  <c r="S301" i="2"/>
  <c r="O302" i="2" l="1"/>
  <c r="R302" i="2"/>
  <c r="Q302" i="2"/>
  <c r="U301" i="2"/>
  <c r="P302" i="2" s="1"/>
  <c r="V301" i="2"/>
  <c r="T302" i="2" l="1"/>
  <c r="S302" i="2"/>
  <c r="P303" i="2" l="1"/>
  <c r="R303" i="2"/>
  <c r="Q303" i="2"/>
  <c r="V302" i="2"/>
  <c r="U302" i="2"/>
  <c r="O303" i="2" s="1"/>
  <c r="T303" i="2" l="1"/>
  <c r="S303" i="2"/>
  <c r="R304" i="2" l="1"/>
  <c r="Q304" i="2"/>
  <c r="O304" i="2"/>
  <c r="U303" i="2"/>
  <c r="P304" i="2" s="1"/>
  <c r="V303" i="2"/>
  <c r="S304" i="2" l="1"/>
  <c r="T304" i="2"/>
  <c r="V304" i="2" l="1"/>
  <c r="U304" i="2"/>
  <c r="H31" i="2" s="1"/>
  <c r="B31" i="2" l="1"/>
  <c r="F31" i="2"/>
  <c r="D31" i="2"/>
</calcChain>
</file>

<file path=xl/comments1.xml><?xml version="1.0" encoding="utf-8"?>
<comments xmlns="http://schemas.openxmlformats.org/spreadsheetml/2006/main">
  <authors>
    <author>Plantilla</author>
  </authors>
  <commentList>
    <comment ref="C9" authorId="0" shapeId="0">
      <text>
        <r>
          <rPr>
            <sz val="11"/>
            <color theme="1"/>
            <rFont val="Calibri"/>
            <family val="2"/>
            <scheme val="minor"/>
          </rPr>
          <t>Lista desplegable: la simulación admite hasta 4 carriles.</t>
        </r>
      </text>
    </comment>
  </commentList>
</comments>
</file>

<file path=xl/sharedStrings.xml><?xml version="1.0" encoding="utf-8"?>
<sst xmlns="http://schemas.openxmlformats.org/spreadsheetml/2006/main" count="415" uniqueCount="342">
  <si>
    <t>Dashboards de simulación · Unidad III en profundidad</t>
  </si>
  <si>
    <t>Bondad de ajuste, generación de variables aleatorias y modelos de colas, inventario y producción, con casos de YOLO y encuestas</t>
  </si>
  <si>
    <t>Hoja</t>
  </si>
  <si>
    <t>Qué hace</t>
  </si>
  <si>
    <t>1 Portería M-M-c</t>
  </si>
  <si>
    <t>Erlang C para 1 a 8 carriles, costo total y simulación de 300 vehículos con el número de carriles elegido (lista desplegable).</t>
  </si>
  <si>
    <t>2 Inventario (Q,R)</t>
  </si>
  <si>
    <t>Simulación de 90 días con Q y R elegidos en listas; KPI de costo y servicio; mapa de costos (Q, R) obtenido con 30 réplicas en Python.</t>
  </si>
  <si>
    <t>3 Producción</t>
  </si>
  <si>
    <t>Línea de 3 estaciones en serie con tiempos triangulares; utilizaciones, cuello de botella automático, tiempo de ciclo y throughput.</t>
  </si>
  <si>
    <t>4 Bondad de ajuste</t>
  </si>
  <si>
    <t>200 datos (reemplazables). Elige la distribución: χ² con 10 clases equiprobables, K-S y A-D; ranking de las cuatro candidatas al estilo Stat::Fit.</t>
  </si>
  <si>
    <t>5 Generación</t>
  </si>
  <si>
    <t>Ocho métodos (inversa, convolución, aceptación-rechazo, composición). Elige uno y compara el histograma con la frecuencia esperada.</t>
  </si>
  <si>
    <t>6 YOLO placas</t>
  </si>
  <si>
    <t>Detecciones sintéticas: Poisson, beta, geométrica, lognormal, normal y serie logarítmica, con todos sus parámetros teóricos y muestrales.</t>
  </si>
  <si>
    <t>7 Encuesta</t>
  </si>
  <si>
    <t>Encuesta de energía renovable: Likert por estrato, χ² de independencia, intervalo de confianza y tamaño de muestra.</t>
  </si>
  <si>
    <t>Cómo usar</t>
  </si>
  <si>
    <t>Celdas amarillas con texto azul = entradas. Las listas desplegables cambian el dashboard. F9 (o Fórmulas → Calcular ahora) genera otra corrida.</t>
  </si>
  <si>
    <t>Colores</t>
  </si>
  <si>
    <t>Tarjetas de color = indicadores clave (KPI). Verde claro = resultado principal. Todos los cálculos son fórmulas visibles: nada está oculto.</t>
  </si>
  <si>
    <t>Compatibilidad</t>
  </si>
  <si>
    <t>Excel 2010 o posterior y LibreOffice Calc. Funciones usadas: RAND, LN, EXP, NORM.INV, GAMMA.DIST, BETA.INV, LOGNORM.INV, CHISQ.INV.RT, COUNTIFS, INDEX/MATCH.</t>
  </si>
  <si>
    <t>Privacidad</t>
  </si>
  <si>
    <t>Las placas de la hoja 6 son sintéticas. Con placas reales aplica la Ley 1581 de 2012 (autorización y política de tratamiento).</t>
  </si>
  <si>
    <t>Portería vehicular: cola M/M/c</t>
  </si>
  <si>
    <t>Elige el número de carriles en la lista (celda C9). Erlang C da la teoría; la simulación usa 300 vehículos. F9 = otra corrida.</t>
  </si>
  <si>
    <t>Entradas</t>
  </si>
  <si>
    <t>#</t>
  </si>
  <si>
    <t>Llegada (min)</t>
  </si>
  <si>
    <t>Servicio</t>
  </si>
  <si>
    <t>Libre 1</t>
  </si>
  <si>
    <t>Libre 2</t>
  </si>
  <si>
    <t>Libre 3</t>
  </si>
  <si>
    <t>Libre 4</t>
  </si>
  <si>
    <t>Carril</t>
  </si>
  <si>
    <t>Inicio</t>
  </si>
  <si>
    <t>Fin</t>
  </si>
  <si>
    <t>Espera</t>
  </si>
  <si>
    <t>λ llegadas (vehículos/h)</t>
  </si>
  <si>
    <t>μ servicio por carril (/h)</t>
  </si>
  <si>
    <t>Costo de espera ($/vehículo-h)</t>
  </si>
  <si>
    <t>Costo por carril ($/h)</t>
  </si>
  <si>
    <t>Carriles c (1 a 4)</t>
  </si>
  <si>
    <t>a = λ/μ (carga)</t>
  </si>
  <si>
    <t>Teoría: Erlang C para c = 1 … 8</t>
  </si>
  <si>
    <t>c</t>
  </si>
  <si>
    <t>a^c/c!</t>
  </si>
  <si>
    <t>Σ_{k&lt;c} a^k/k!</t>
  </si>
  <si>
    <t>ρ = a/c</t>
  </si>
  <si>
    <t>P(esperar)</t>
  </si>
  <si>
    <t>Wq (min)</t>
  </si>
  <si>
    <t>Lq</t>
  </si>
  <si>
    <t>Costo total ($/h)</t>
  </si>
  <si>
    <t>c óptimo (menor costo)</t>
  </si>
  <si>
    <t>Dashboard (carriles elegidos)</t>
  </si>
  <si>
    <t>Utilización ρ</t>
  </si>
  <si>
    <t>P(esperar) teórica</t>
  </si>
  <si>
    <t>Wq teórica (min)</t>
  </si>
  <si>
    <t>Wq simulada (min)</t>
  </si>
  <si>
    <t>P(esperar) simulada</t>
  </si>
  <si>
    <t>Lq simulada</t>
  </si>
  <si>
    <t>Utilización simulada</t>
  </si>
  <si>
    <t>Con 300 vehículos la simulación varía entre corridas; con ρ alto la diferencia frente a la teoría es mayor (régimen transitorio).</t>
  </si>
  <si>
    <t>Inventario con política (Q, R)</t>
  </si>
  <si>
    <t>Elige Q y R en las listas (C5 y C6). Si el inventario final ≤ R y no hay pedido en camino, se piden Q unidades. F9 = otra corrida de 90 días.</t>
  </si>
  <si>
    <t>Día</t>
  </si>
  <si>
    <t>Recibe</t>
  </si>
  <si>
    <t>Inv. inicial</t>
  </si>
  <si>
    <t>Demanda</t>
  </si>
  <si>
    <t>Vende</t>
  </si>
  <si>
    <t>Faltante</t>
  </si>
  <si>
    <t>Inv. final</t>
  </si>
  <si>
    <t>¿Pide?</t>
  </si>
  <si>
    <t>Entrega</t>
  </si>
  <si>
    <t>Llega el día</t>
  </si>
  <si>
    <t>R</t>
  </si>
  <si>
    <t>Pedido en camino</t>
  </si>
  <si>
    <t>Q (cantidad a pedir)</t>
  </si>
  <si>
    <t>R (punto de reorden)</t>
  </si>
  <si>
    <t>Inventario inicial</t>
  </si>
  <si>
    <t>K: costo por pedido ($)</t>
  </si>
  <si>
    <t>h: mantener ($/unidad-día)</t>
  </si>
  <si>
    <t>Costo por faltante ($/unidad)</t>
  </si>
  <si>
    <t>Demanda diaria</t>
  </si>
  <si>
    <t>p</t>
  </si>
  <si>
    <t>Límite inf. de r</t>
  </si>
  <si>
    <t>Entrega (días)</t>
  </si>
  <si>
    <t>Dashboard</t>
  </si>
  <si>
    <t>Costo total 90 días</t>
  </si>
  <si>
    <t>Costo promedio diario</t>
  </si>
  <si>
    <t>Nivel de servicio</t>
  </si>
  <si>
    <t>Pedidos emitidos</t>
  </si>
  <si>
    <t>Inventario promedio</t>
  </si>
  <si>
    <t>Días con faltante</t>
  </si>
  <si>
    <t>Unidades faltantes</t>
  </si>
  <si>
    <t>Demanda media</t>
  </si>
  <si>
    <t>Componente del costo</t>
  </si>
  <si>
    <t>$ (90 días)</t>
  </si>
  <si>
    <t>Pedidos</t>
  </si>
  <si>
    <t>Mantener inventario</t>
  </si>
  <si>
    <t>Faltantes</t>
  </si>
  <si>
    <t>Mapa de costo promedio diario ($) · 30 réplicas de 360 días en Python (valores fijos)</t>
  </si>
  <si>
    <t>R \ Q</t>
  </si>
  <si>
    <t>Subrayado: la combinación (Q, R) elegida arriba. Verde = menor costo.</t>
  </si>
  <si>
    <t>Línea de producción: 3 estaciones en serie</t>
  </si>
  <si>
    <t>Llegadas exponenciales y tiempos triangulares (min). Cambia las entradas amarillas; el cuello de botella se identifica solo. F9 = otra corrida.</t>
  </si>
  <si>
    <t>Pieza</t>
  </si>
  <si>
    <t>Llegada</t>
  </si>
  <si>
    <t>r1</t>
  </si>
  <si>
    <t>Corte</t>
  </si>
  <si>
    <t>Fin 1</t>
  </si>
  <si>
    <t>r2</t>
  </si>
  <si>
    <t>Ensamble</t>
  </si>
  <si>
    <t>Fin 2</t>
  </si>
  <si>
    <t>r3</t>
  </si>
  <si>
    <t>Pintura</t>
  </si>
  <si>
    <t>Fin 3</t>
  </si>
  <si>
    <t>Ciclo</t>
  </si>
  <si>
    <t>Tiempo medio entre llegadas (min)</t>
  </si>
  <si>
    <t>Estación</t>
  </si>
  <si>
    <t>a (mín.)</t>
  </si>
  <si>
    <t>c (moda)</t>
  </si>
  <si>
    <t>b (máx.)</t>
  </si>
  <si>
    <t>F(c)</t>
  </si>
  <si>
    <t>Media</t>
  </si>
  <si>
    <t>Utilización</t>
  </si>
  <si>
    <t>ρ teórica</t>
  </si>
  <si>
    <t>Cuello de botella</t>
  </si>
  <si>
    <t>Tiempo de ciclo medio (min)</t>
  </si>
  <si>
    <t>Throughput (piezas/h)</t>
  </si>
  <si>
    <t>WIP promedio</t>
  </si>
  <si>
    <t>Si una ρ teórica ≥ 100 % el sistema es inestable: la cola de esa estación crece sin límite y el ciclo aumenta en cada corrida.</t>
  </si>
  <si>
    <t>Bondad de ajuste: χ², Kolmogorov-Smirnov y Anderson-Darling</t>
  </si>
  <si>
    <t>Pega tus datos en la columna M (200 filas). Elige la distribución en C5. Los parámetros se estiman de los datos.</t>
  </si>
  <si>
    <t>i</t>
  </si>
  <si>
    <t>Dato</t>
  </si>
  <si>
    <t>ln x</t>
  </si>
  <si>
    <t>x ordenado</t>
  </si>
  <si>
    <t>F0(x)</t>
  </si>
  <si>
    <t>D+</t>
  </si>
  <si>
    <t>D−</t>
  </si>
  <si>
    <t>Término A-D</t>
  </si>
  <si>
    <t>F exp</t>
  </si>
  <si>
    <t>F gamma</t>
  </si>
  <si>
    <t>F normal</t>
  </si>
  <si>
    <t>F lognormal</t>
  </si>
  <si>
    <t>F empírica</t>
  </si>
  <si>
    <t>Distribución a probar</t>
  </si>
  <si>
    <t>Gamma</t>
  </si>
  <si>
    <t>Índice</t>
  </si>
  <si>
    <t>Estadístico</t>
  </si>
  <si>
    <t>Valor</t>
  </si>
  <si>
    <t>n</t>
  </si>
  <si>
    <t>Desviación estándar</t>
  </si>
  <si>
    <t>Gamma α = media²/var</t>
  </si>
  <si>
    <t>Gamma β = var/media</t>
  </si>
  <si>
    <t>Lognormal μ = media de ln x</t>
  </si>
  <si>
    <t>Lognormal σ = desv. de ln x</t>
  </si>
  <si>
    <t>Asimetría</t>
  </si>
  <si>
    <t>CV</t>
  </si>
  <si>
    <t>Chi-cuadrada con 10 clases equiprobables</t>
  </si>
  <si>
    <t>Clase</t>
  </si>
  <si>
    <t>Desde</t>
  </si>
  <si>
    <t>Hasta</t>
  </si>
  <si>
    <t>Observado</t>
  </si>
  <si>
    <t>Esperado</t>
  </si>
  <si>
    <t>(O−E)²/E</t>
  </si>
  <si>
    <t>Dashboard de la distribución elegida</t>
  </si>
  <si>
    <t>χ²₀</t>
  </si>
  <si>
    <t>gl = 10 − 1 − m</t>
  </si>
  <si>
    <t>Crítico χ² (5 %)</t>
  </si>
  <si>
    <t>Valor p</t>
  </si>
  <si>
    <t>K-S: D</t>
  </si>
  <si>
    <t>Crítico K-S (5 %)</t>
  </si>
  <si>
    <t>A-D ajustado</t>
  </si>
  <si>
    <t>Crítico A-D</t>
  </si>
  <si>
    <t>Prueba</t>
  </si>
  <si>
    <t>Decisión (α = 5 %)</t>
  </si>
  <si>
    <t>Chi-cuadrada</t>
  </si>
  <si>
    <t>Kolmogorov-Smirnov</t>
  </si>
  <si>
    <t>Anderson-Darling</t>
  </si>
  <si>
    <t>Con parámetros estimados: K-S es permisiva (Lilliefors); A-D usa la corrección por n de cada caso (gamma y lognormal: crítico aproximado).</t>
  </si>
  <si>
    <t>Ranking de las cuatro candidatas (al estilo Stat::Fit)</t>
  </si>
  <si>
    <t>Distribución</t>
  </si>
  <si>
    <t>A² (sin corregir)</t>
  </si>
  <si>
    <t>Posición (por A²)</t>
  </si>
  <si>
    <t>Exponencial</t>
  </si>
  <si>
    <t>Normal</t>
  </si>
  <si>
    <t>Lognormal</t>
  </si>
  <si>
    <t>Generación de variables aleatorias: ocho métodos</t>
  </si>
  <si>
    <t>Elige el método en C5. Cada columna de la derecha genera 500 valores con fórmulas; F9 = otra muestra.</t>
  </si>
  <si>
    <t>Weibull</t>
  </si>
  <si>
    <t>Geométrica</t>
  </si>
  <si>
    <t>Poisson</t>
  </si>
  <si>
    <t>Erlang</t>
  </si>
  <si>
    <t>Normal 12U</t>
  </si>
  <si>
    <t>Beta A-R</t>
  </si>
  <si>
    <t>Hiperexp.</t>
  </si>
  <si>
    <t>r₁ A-R</t>
  </si>
  <si>
    <t>r₂ A-R</t>
  </si>
  <si>
    <t>r₁ comp.</t>
  </si>
  <si>
    <t>Método</t>
  </si>
  <si>
    <t>Inversa: exponencial</t>
  </si>
  <si>
    <t>¿Discreta? (1 = sí)</t>
  </si>
  <si>
    <t>Dashboard del método elegido</t>
  </si>
  <si>
    <t>Parámetro</t>
  </si>
  <si>
    <t>Uso</t>
  </si>
  <si>
    <t>Media muestral</t>
  </si>
  <si>
    <t>Media teórica</t>
  </si>
  <si>
    <t>Exponencial: media</t>
  </si>
  <si>
    <t>x = −media·ln(1 − r)</t>
  </si>
  <si>
    <t>Weibull: forma k</t>
  </si>
  <si>
    <t>x = λ(−ln(1 − r))^(1/k)</t>
  </si>
  <si>
    <t>Weibull: escala λ</t>
  </si>
  <si>
    <t>Geométrica: p</t>
  </si>
  <si>
    <t>x = techo(ln(1 − r)/ln(1 − p))</t>
  </si>
  <si>
    <t>Varianza muestral</t>
  </si>
  <si>
    <t>Varianza teórica</t>
  </si>
  <si>
    <t>Poisson: λ</t>
  </si>
  <si>
    <t>búsqueda en la acumulada</t>
  </si>
  <si>
    <t>Erlang: k (entero 3)</t>
  </si>
  <si>
    <t>x = −(media/k)·ln(r₁r₂r₃)</t>
  </si>
  <si>
    <t>Erlang: media</t>
  </si>
  <si>
    <t>Normal: μ</t>
  </si>
  <si>
    <t>x = μ + σ(Σ12 r − 6)</t>
  </si>
  <si>
    <t>Valores válidos</t>
  </si>
  <si>
    <t>Aceptación A-R (teórica 66.7 %)</t>
  </si>
  <si>
    <t>Normal: σ</t>
  </si>
  <si>
    <t>Hiperexp.: p₁</t>
  </si>
  <si>
    <t>r₁ elige la rama</t>
  </si>
  <si>
    <t>Hiperexp.: media 1</t>
  </si>
  <si>
    <t>Hiperexp.: media 2</t>
  </si>
  <si>
    <t>k</t>
  </si>
  <si>
    <t>P(X ≤ k − 1)</t>
  </si>
  <si>
    <t>Inversa: Weibull</t>
  </si>
  <si>
    <t>Inversa: geométrica</t>
  </si>
  <si>
    <t>Inversa: Poisson</t>
  </si>
  <si>
    <t>Convolución: Erlang</t>
  </si>
  <si>
    <t>Convolución: normal (12 U)</t>
  </si>
  <si>
    <t>Aceptación-rechazo: Beta(2,2)</t>
  </si>
  <si>
    <t>Composición: hiperexponencial</t>
  </si>
  <si>
    <t>Lectura de placas con YOLO: análisis de distribuciones</t>
  </si>
  <si>
    <t>Datos sintéticos de 300 detecciones y 240 minutos. Elige la variable en C5 para ver sus parámetros teóricos y muestrales. F9 = otra jornada.</t>
  </si>
  <si>
    <t>Veh./min</t>
  </si>
  <si>
    <t>Placa sintética</t>
  </si>
  <si>
    <t>Confianza</t>
  </si>
  <si>
    <t>Intentos</t>
  </si>
  <si>
    <t>Latencia</t>
  </si>
  <si>
    <t>Error px</t>
  </si>
  <si>
    <t>Pasos placa</t>
  </si>
  <si>
    <t>¿Leída?</t>
  </si>
  <si>
    <t>Poisson P(X≤k−1)</t>
  </si>
  <si>
    <t>Logser P(X≤k−1)</t>
  </si>
  <si>
    <t>Logser p(k)</t>
  </si>
  <si>
    <t>Variable</t>
  </si>
  <si>
    <t>Vehículos por minuto (Poisson)</t>
  </si>
  <si>
    <t>λ vehículos por minuto</t>
  </si>
  <si>
    <t>Beta α</t>
  </si>
  <si>
    <t>Beta β</t>
  </si>
  <si>
    <t>Umbral de confianza</t>
  </si>
  <si>
    <t>OCR: p de éxito</t>
  </si>
  <si>
    <t>Latencia: mediana (ms)</t>
  </si>
  <si>
    <t>Latencia: σ de ln</t>
  </si>
  <si>
    <t>Error: σ (px)</t>
  </si>
  <si>
    <t>Serie logarítmica θ</t>
  </si>
  <si>
    <t>Varianza</t>
  </si>
  <si>
    <t>Curtosis exceso</t>
  </si>
  <si>
    <t>Confianza de detección (Beta)</t>
  </si>
  <si>
    <t>Intentos de OCR (geométrica)</t>
  </si>
  <si>
    <t>Latencia en ms (lognormal)</t>
  </si>
  <si>
    <t>Error de posición px (normal)</t>
  </si>
  <si>
    <t>Pasos por placa (serie logarítmica)</t>
  </si>
  <si>
    <t>Dashboard de la variable elegida (teórico · muestra)</t>
  </si>
  <si>
    <t>Asimetría teórica</t>
  </si>
  <si>
    <t>Asimetría muestral</t>
  </si>
  <si>
    <t>Curtosis teórica</t>
  </si>
  <si>
    <t>Curtosis muestral</t>
  </si>
  <si>
    <t>Detecciones aceptadas</t>
  </si>
  <si>
    <t>Placas leídas</t>
  </si>
  <si>
    <t>Cuadros por segundo</t>
  </si>
  <si>
    <t>Datos de la variable</t>
  </si>
  <si>
    <t>Nota: en la serie logarítmica la última clase acumula la cola (k ≥ 40 es prácticamente imposible con θ ≤ 0.9).</t>
  </si>
  <si>
    <t>Encuesta semiestructurada: energía renovable</t>
  </si>
  <si>
    <t>300 respuestas simuladas. Cambia las probabilidades por estrato (amarillo) o pega tus datos en las columnas M y N. F9 = otra muestra.</t>
  </si>
  <si>
    <t>Estrato</t>
  </si>
  <si>
    <t>Likert</t>
  </si>
  <si>
    <t>Pagaría (mill.)</t>
  </si>
  <si>
    <t>Barrera</t>
  </si>
  <si>
    <t>Respuesta abierta</t>
  </si>
  <si>
    <t>Nivel de confianza</t>
  </si>
  <si>
    <t>Error deseado e</t>
  </si>
  <si>
    <t>p esperada</t>
  </si>
  <si>
    <t>z</t>
  </si>
  <si>
    <t>P(estrato)</t>
  </si>
  <si>
    <t>Likert 1</t>
  </si>
  <si>
    <t>2</t>
  </si>
  <si>
    <t>3</t>
  </si>
  <si>
    <t>4</t>
  </si>
  <si>
    <t>5</t>
  </si>
  <si>
    <t>1-2</t>
  </si>
  <si>
    <t>3-4</t>
  </si>
  <si>
    <t>5-6</t>
  </si>
  <si>
    <t>Acumuladas</t>
  </si>
  <si>
    <t>P(estr.) inf.</t>
  </si>
  <si>
    <t>L1 inf.</t>
  </si>
  <si>
    <t>L2</t>
  </si>
  <si>
    <t>L3</t>
  </si>
  <si>
    <t>L4</t>
  </si>
  <si>
    <t>L5</t>
  </si>
  <si>
    <t>Barrera (código)</t>
  </si>
  <si>
    <t>Límite inf.</t>
  </si>
  <si>
    <t>Respuesta abierta típica</t>
  </si>
  <si>
    <t>costo inicial</t>
  </si>
  <si>
    <t>es muy caro instalarlo</t>
  </si>
  <si>
    <t>no sabe cómo</t>
  </si>
  <si>
    <t>no sé a quién acudir</t>
  </si>
  <si>
    <t>vive en arriendo</t>
  </si>
  <si>
    <t>la casa no es mía</t>
  </si>
  <si>
    <t>desconfía</t>
  </si>
  <si>
    <t>no creo que funcione bien</t>
  </si>
  <si>
    <t>ninguna</t>
  </si>
  <si>
    <t>lo haría ya</t>
  </si>
  <si>
    <t>Encuestados</t>
  </si>
  <si>
    <t>Media Likert</t>
  </si>
  <si>
    <t>Favorables (4 o 5)</t>
  </si>
  <si>
    <t>Margen de error ±</t>
  </si>
  <si>
    <t>IC inferior</t>
  </si>
  <si>
    <t>IC superior</t>
  </si>
  <si>
    <t>n requerido (e, p)</t>
  </si>
  <si>
    <t>Disposición a pagar (mill.)</t>
  </si>
  <si>
    <t>Independencia estrato × disposición (observado)</t>
  </si>
  <si>
    <t>No (1-2)</t>
  </si>
  <si>
    <t>Indeciso (3)</t>
  </si>
  <si>
    <t>Sí (4-5)</t>
  </si>
  <si>
    <t>Total</t>
  </si>
  <si>
    <t>Valor p (4 gl)</t>
  </si>
  <si>
    <t>V de Cramér</t>
  </si>
  <si>
    <t>Decisión</t>
  </si>
  <si>
    <t>1</t>
  </si>
  <si>
    <t>Proporción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</si>
</sst>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"/>
    <numFmt numFmtId="165" formatCode="0.0000"/>
    <numFmt numFmtId="166" formatCode="0.0%"/>
    <numFmt numFmtId="167" formatCode="\$#,##0"/>
    <numFmt numFmtId="168" formatCode="\$#,##0.0"/>
    <numFmt numFmtId="169" formatCode="0.0"/>
    <numFmt numFmtId="170" formatCode="&quot;−∞&quot;"/>
    <numFmt numFmtId="171" formatCode="&quot;∞&quot;"/>
    <numFmt numFmtId="172" formatCode="0.00000"/>
  </numFmts>
  <fonts count="11" x14ac:knownFonts="1">
    <font>
      <sz val="11"/>
      <color theme="1"/>
      <name val="Calibri"/>
      <family val="2"/>
      <scheme val="minor"/>
    </font>
    <font>
      <b/>
      <sz val="16"/>
      <color rgb="FF1A1433"/>
      <name val="Arial"/>
    </font>
    <font>
      <i/>
      <sz val="10"/>
      <color rgb="FF6B7280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00000"/>
      <name val="Arial"/>
    </font>
    <font>
      <b/>
      <sz val="12"/>
      <color rgb="FF2D2357"/>
      <name val="Arial"/>
    </font>
    <font>
      <b/>
      <sz val="10"/>
      <color rgb="FF0000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sz val="8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2D2357"/>
      </patternFill>
    </fill>
    <fill>
      <patternFill patternType="solid">
        <fgColor rgb="FFF2F0F9"/>
      </patternFill>
    </fill>
    <fill>
      <patternFill patternType="solid">
        <fgColor rgb="FFFFF2CC"/>
      </patternFill>
    </fill>
    <fill>
      <patternFill patternType="solid">
        <fgColor rgb="FFD5F2EC"/>
      </patternFill>
    </fill>
    <fill>
      <patternFill patternType="solid">
        <fgColor rgb="FF6C4AB6"/>
      </patternFill>
    </fill>
    <fill>
      <patternFill patternType="solid">
        <fgColor rgb="FF3A86C8"/>
      </patternFill>
    </fill>
    <fill>
      <patternFill patternType="solid">
        <fgColor rgb="FF00A896"/>
      </patternFill>
    </fill>
    <fill>
      <patternFill patternType="solid">
        <fgColor rgb="FFE4572E"/>
      </patternFill>
    </fill>
    <fill>
      <patternFill patternType="solid">
        <fgColor rgb="FFF2A900"/>
      </patternFill>
    </fill>
    <fill>
      <patternFill patternType="solid">
        <fgColor rgb="FF6B7280"/>
      </patternFill>
    </fill>
  </fills>
  <borders count="5">
    <border>
      <left/>
      <right/>
      <top/>
      <bottom/>
      <diagonal/>
    </border>
    <border>
      <left style="thin">
        <color rgb="FFD9D5EA"/>
      </left>
      <right style="thin">
        <color rgb="FFD9D5EA"/>
      </right>
      <top style="thin">
        <color rgb="FFD9D5EA"/>
      </top>
      <bottom style="thin">
        <color rgb="FFD9D5EA"/>
      </bottom>
      <diagonal/>
    </border>
    <border>
      <left/>
      <right/>
      <top style="thin">
        <color rgb="FFD9D5EA"/>
      </top>
      <bottom style="thin">
        <color rgb="FFD9D5EA"/>
      </bottom>
      <diagonal/>
    </border>
    <border>
      <left/>
      <right style="thin">
        <color rgb="FFD9D5EA"/>
      </right>
      <top style="thin">
        <color rgb="FFD9D5EA"/>
      </top>
      <bottom style="thin">
        <color rgb="FFD9D5E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5" fillId="3" borderId="1" xfId="0" applyFont="1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1" fontId="5" fillId="0" borderId="1" xfId="0" applyNumberFormat="1" applyFont="1" applyBorder="1" applyAlignment="1">
      <alignment horizontal="center" vertical="center"/>
    </xf>
    <xf numFmtId="170" fontId="5" fillId="0" borderId="1" xfId="0" applyNumberFormat="1" applyFont="1" applyBorder="1" applyAlignment="1">
      <alignment horizontal="center" vertical="center"/>
    </xf>
    <xf numFmtId="171" fontId="5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72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9" fontId="7" fillId="4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67" fontId="9" fillId="9" borderId="0" xfId="0" applyNumberFormat="1" applyFont="1" applyFill="1" applyAlignment="1">
      <alignment horizontal="center" vertical="center" wrapText="1"/>
    </xf>
    <xf numFmtId="0" fontId="0" fillId="9" borderId="0" xfId="0" applyFill="1"/>
    <xf numFmtId="0" fontId="8" fillId="8" borderId="0" xfId="0" applyFont="1" applyFill="1" applyAlignment="1">
      <alignment horizontal="center" vertical="center" wrapText="1"/>
    </xf>
    <xf numFmtId="0" fontId="0" fillId="8" borderId="0" xfId="0" applyFill="1"/>
    <xf numFmtId="166" fontId="9" fillId="7" borderId="0" xfId="0" applyNumberFormat="1" applyFont="1" applyFill="1" applyAlignment="1">
      <alignment horizontal="center" vertical="center" wrapText="1"/>
    </xf>
    <xf numFmtId="0" fontId="0" fillId="7" borderId="0" xfId="0" applyFill="1"/>
    <xf numFmtId="0" fontId="8" fillId="10" borderId="0" xfId="0" applyFont="1" applyFill="1" applyAlignment="1">
      <alignment horizontal="center" vertical="center" wrapText="1"/>
    </xf>
    <xf numFmtId="0" fontId="0" fillId="10" borderId="0" xfId="0" applyFill="1"/>
    <xf numFmtId="0" fontId="8" fillId="7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0" fillId="6" borderId="0" xfId="0" applyFill="1"/>
    <xf numFmtId="2" fontId="9" fillId="8" borderId="0" xfId="0" applyNumberFormat="1" applyFont="1" applyFill="1" applyAlignment="1">
      <alignment horizontal="center" vertical="center" wrapText="1"/>
    </xf>
    <xf numFmtId="166" fontId="9" fillId="6" borderId="0" xfId="0" applyNumberFormat="1" applyFont="1" applyFill="1" applyAlignment="1">
      <alignment horizontal="center" vertical="center" wrapText="1"/>
    </xf>
    <xf numFmtId="164" fontId="9" fillId="10" borderId="0" xfId="0" applyNumberFormat="1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1" fontId="9" fillId="7" borderId="0" xfId="0" applyNumberFormat="1" applyFont="1" applyFill="1" applyAlignment="1">
      <alignment horizontal="center" vertical="center" wrapText="1"/>
    </xf>
    <xf numFmtId="1" fontId="9" fillId="9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0" fillId="11" borderId="0" xfId="0" applyFill="1"/>
    <xf numFmtId="169" fontId="9" fillId="10" borderId="0" xfId="0" applyNumberFormat="1" applyFont="1" applyFill="1" applyAlignment="1">
      <alignment horizontal="center" vertical="center" wrapText="1"/>
    </xf>
    <xf numFmtId="2" fontId="9" fillId="6" borderId="0" xfId="0" applyNumberFormat="1" applyFont="1" applyFill="1" applyAlignment="1">
      <alignment horizontal="center" vertical="center" wrapText="1"/>
    </xf>
    <xf numFmtId="1" fontId="9" fillId="11" borderId="0" xfId="0" applyNumberFormat="1" applyFont="1" applyFill="1" applyAlignment="1">
      <alignment horizontal="center" vertical="center" wrapText="1"/>
    </xf>
    <xf numFmtId="166" fontId="9" fillId="8" borderId="0" xfId="0" applyNumberFormat="1" applyFont="1" applyFill="1" applyAlignment="1">
      <alignment horizontal="center" vertical="center" wrapText="1"/>
    </xf>
    <xf numFmtId="168" fontId="9" fillId="6" borderId="0" xfId="0" applyNumberFormat="1" applyFont="1" applyFill="1" applyAlignment="1">
      <alignment horizontal="center" vertical="center" wrapText="1"/>
    </xf>
    <xf numFmtId="169" fontId="9" fillId="7" borderId="0" xfId="0" applyNumberFormat="1" applyFont="1" applyFill="1" applyAlignment="1">
      <alignment horizontal="center" vertical="center" wrapText="1"/>
    </xf>
    <xf numFmtId="49" fontId="9" fillId="9" borderId="0" xfId="0" applyNumberFormat="1" applyFont="1" applyFill="1" applyAlignment="1">
      <alignment horizontal="center" vertical="center" wrapText="1"/>
    </xf>
    <xf numFmtId="169" fontId="9" fillId="6" borderId="0" xfId="0" applyNumberFormat="1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64" fontId="9" fillId="8" borderId="0" xfId="0" applyNumberFormat="1" applyFont="1" applyFill="1" applyAlignment="1">
      <alignment horizontal="center" vertical="center" wrapText="1"/>
    </xf>
    <xf numFmtId="165" fontId="9" fillId="11" borderId="0" xfId="0" applyNumberFormat="1" applyFont="1" applyFill="1" applyAlignment="1">
      <alignment horizontal="center" vertical="center" wrapText="1"/>
    </xf>
    <xf numFmtId="164" fontId="9" fillId="6" borderId="0" xfId="0" applyNumberFormat="1" applyFont="1" applyFill="1" applyAlignment="1">
      <alignment horizontal="center" vertical="center" wrapText="1"/>
    </xf>
    <xf numFmtId="165" fontId="9" fillId="7" borderId="0" xfId="0" applyNumberFormat="1" applyFont="1" applyFill="1" applyAlignment="1">
      <alignment horizontal="center" vertical="center" wrapText="1"/>
    </xf>
    <xf numFmtId="164" fontId="9" fillId="11" borderId="0" xfId="0" applyNumberFormat="1" applyFont="1" applyFill="1" applyAlignment="1">
      <alignment horizontal="center" vertical="center" wrapText="1"/>
    </xf>
    <xf numFmtId="165" fontId="9" fillId="6" borderId="0" xfId="0" applyNumberFormat="1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66" fontId="9" fillId="10" borderId="0" xfId="0" applyNumberFormat="1" applyFont="1" applyFill="1" applyAlignment="1">
      <alignment horizontal="center" vertical="center" wrapText="1"/>
    </xf>
    <xf numFmtId="49" fontId="9" fillId="8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8">
    <dxf>
      <font>
        <b/>
      </font>
      <fill>
        <patternFill patternType="solid">
          <fgColor rgb="FFFBEFC9"/>
        </patternFill>
      </fill>
    </dxf>
    <dxf>
      <font>
        <b/>
      </font>
      <fill>
        <patternFill patternType="solid">
          <fgColor rgb="FFFBEFC9"/>
        </patternFill>
      </fill>
    </dxf>
    <dxf>
      <font>
        <b/>
      </font>
      <fill>
        <patternFill patternType="solid">
          <fgColor rgb="FFD5F2EC"/>
        </patternFill>
      </fill>
    </dxf>
    <dxf>
      <fill>
        <patternFill patternType="solid">
          <fgColor rgb="FFFADDD5"/>
        </patternFill>
      </fill>
    </dxf>
    <dxf>
      <fill>
        <patternFill patternType="solid">
          <fgColor rgb="FFD5F2EC"/>
        </patternFill>
      </fill>
    </dxf>
    <dxf>
      <font>
        <b/>
      </font>
      <fill>
        <patternFill patternType="solid">
          <fgColor rgb="FFF8D3C7"/>
        </patternFill>
      </fill>
    </dxf>
    <dxf>
      <font>
        <b/>
        <u/>
        <color rgb="FF1A1433"/>
      </font>
    </dxf>
    <dxf>
      <font>
        <b/>
      </font>
      <fill>
        <patternFill patternType="solid">
          <fgColor rgb="FFFBEF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Costo total por número de carriles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Costo total ($/h)</c:v>
          </c:tx>
          <c:spPr>
            <a:solidFill>
              <a:srgbClr val="6C4AB6"/>
            </a:solidFill>
            <a:ln>
              <a:solidFill>
                <a:srgbClr val="6C4AB6"/>
              </a:solidFill>
              <a:prstDash val="solid"/>
            </a:ln>
          </c:spPr>
          <c:invertIfNegative val="1"/>
          <c:cat>
            <c:numRef>
              <c:f>'1 Portería M-M-c'!$B$14:$B$21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'1 Portería M-M-c'!$I$14:$I$21</c:f>
              <c:numCache>
                <c:formatCode>\$#,##0</c:formatCode>
                <c:ptCount val="8"/>
                <c:pt idx="0">
                  <c:v>150000</c:v>
                </c:pt>
                <c:pt idx="1">
                  <c:v>55252.100840336134</c:v>
                </c:pt>
                <c:pt idx="2">
                  <c:v>75665.885361176217</c:v>
                </c:pt>
                <c:pt idx="3">
                  <c:v>100087.03232310855</c:v>
                </c:pt>
                <c:pt idx="4">
                  <c:v>125010.47866543717</c:v>
                </c:pt>
                <c:pt idx="5">
                  <c:v>150001.13588881007</c:v>
                </c:pt>
                <c:pt idx="6">
                  <c:v>175000.11074536541</c:v>
                </c:pt>
                <c:pt idx="7">
                  <c:v>200000.00976142019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C4A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76-4CD4-A7E8-04F41F13C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Carriles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$ por hora</a:t>
                </a:r>
              </a:p>
            </c:rich>
          </c:tx>
          <c:layout/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Espera de cada vehículo en la simulación (min)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 Portería M-M-c'!$V$4</c:f>
              <c:strCache>
                <c:ptCount val="1"/>
                <c:pt idx="0">
                  <c:v>Espera</c:v>
                </c:pt>
              </c:strCache>
            </c:strRef>
          </c:tx>
          <c:spPr>
            <a:ln w="22000">
              <a:solidFill>
                <a:srgbClr val="E4572E"/>
              </a:solidFill>
              <a:prstDash val="solid"/>
            </a:ln>
          </c:spPr>
          <c:marker>
            <c:symbol val="none"/>
          </c:marker>
          <c:cat>
            <c:numRef>
              <c:f>'1 Portería M-M-c'!$L$5:$L$304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'1 Portería M-M-c'!$V$5:$V$304</c:f>
              <c:numCache>
                <c:formatCode>0.00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0.22373683528527621</c:v>
                </c:pt>
                <c:pt idx="13">
                  <c:v>2.1780123489204328E-2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0.23607654514858467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0.31959875042451813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0.1580021950900985</c:v>
                </c:pt>
                <c:pt idx="56">
                  <c:v>0.52623185571415831</c:v>
                </c:pt>
                <c:pt idx="57">
                  <c:v>0.53602279930033347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1.770915801580486</c:v>
                </c:pt>
                <c:pt idx="93">
                  <c:v>1.8569072595506384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2.2091280920875533E-2</c:v>
                </c:pt>
                <c:pt idx="103">
                  <c:v>0</c:v>
                </c:pt>
                <c:pt idx="104">
                  <c:v>0</c:v>
                </c:pt>
                <c:pt idx="105">
                  <c:v>1.112715533937461</c:v>
                </c:pt>
                <c:pt idx="106">
                  <c:v>0.48307548126571476</c:v>
                </c:pt>
                <c:pt idx="107">
                  <c:v>0.54391029532341406</c:v>
                </c:pt>
                <c:pt idx="108">
                  <c:v>0.90163031555466944</c:v>
                </c:pt>
                <c:pt idx="109">
                  <c:v>0.22357780105153324</c:v>
                </c:pt>
                <c:pt idx="110">
                  <c:v>0.37212711771104523</c:v>
                </c:pt>
                <c:pt idx="111">
                  <c:v>0.13615797025376253</c:v>
                </c:pt>
                <c:pt idx="112">
                  <c:v>0</c:v>
                </c:pt>
                <c:pt idx="113">
                  <c:v>0</c:v>
                </c:pt>
                <c:pt idx="114">
                  <c:v>0.58870515584629857</c:v>
                </c:pt>
                <c:pt idx="115">
                  <c:v>1.4080784876319967</c:v>
                </c:pt>
                <c:pt idx="116">
                  <c:v>1.8151732321634881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1.1418139463614807E-3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0.48614060037550644</c:v>
                </c:pt>
                <c:pt idx="131">
                  <c:v>0.30599327090519068</c:v>
                </c:pt>
                <c:pt idx="132">
                  <c:v>0</c:v>
                </c:pt>
                <c:pt idx="133">
                  <c:v>0.27842566058197349</c:v>
                </c:pt>
                <c:pt idx="134">
                  <c:v>0.13418637678617529</c:v>
                </c:pt>
                <c:pt idx="135">
                  <c:v>0.88942784913447781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0.80233003018688009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0.16774735497574511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0.38639464434595538</c:v>
                </c:pt>
                <c:pt idx="177">
                  <c:v>0.51227468079358118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0.30341444626256475</c:v>
                </c:pt>
                <c:pt idx="191">
                  <c:v>0</c:v>
                </c:pt>
                <c:pt idx="192">
                  <c:v>0.62776652919166054</c:v>
                </c:pt>
                <c:pt idx="193">
                  <c:v>0.34013689728305962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0.3139932240312362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0.70938742417706635</c:v>
                </c:pt>
                <c:pt idx="210">
                  <c:v>0.39355152768916923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0.21738184949555261</c:v>
                </c:pt>
                <c:pt idx="226">
                  <c:v>0.20304422917456577</c:v>
                </c:pt>
                <c:pt idx="227">
                  <c:v>0</c:v>
                </c:pt>
                <c:pt idx="228">
                  <c:v>0.100517389394156</c:v>
                </c:pt>
                <c:pt idx="229">
                  <c:v>0.6635498282178105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6.9559178603242344E-2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8.6399744149787239E-2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0.72808849499296002</c:v>
                </c:pt>
                <c:pt idx="264">
                  <c:v>0.99750868074613663</c:v>
                </c:pt>
                <c:pt idx="265">
                  <c:v>1.113863060882295</c:v>
                </c:pt>
                <c:pt idx="266">
                  <c:v>0.16252134945210628</c:v>
                </c:pt>
                <c:pt idx="267">
                  <c:v>0.4913805998889984</c:v>
                </c:pt>
                <c:pt idx="268">
                  <c:v>0.36450479384814116</c:v>
                </c:pt>
                <c:pt idx="269">
                  <c:v>0.21065621493391973</c:v>
                </c:pt>
                <c:pt idx="270">
                  <c:v>0</c:v>
                </c:pt>
                <c:pt idx="271">
                  <c:v>0.17045193980794693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0.14023909925862199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0.16503360681724644</c:v>
                </c:pt>
                <c:pt idx="286">
                  <c:v>0.7912809882055285</c:v>
                </c:pt>
                <c:pt idx="287">
                  <c:v>0.61631353754012252</c:v>
                </c:pt>
                <c:pt idx="288">
                  <c:v>0.30835944901843959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0.35900317000709947</c:v>
                </c:pt>
                <c:pt idx="294">
                  <c:v>0</c:v>
                </c:pt>
                <c:pt idx="295">
                  <c:v>3.6159374875921912E-2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D-4EF5-B319-632C8BB84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Vehículo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Minutos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Inventario al final del día y punto de reorden R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 Inventario (Q,R)'!$R$4</c:f>
              <c:strCache>
                <c:ptCount val="1"/>
                <c:pt idx="0">
                  <c:v>Inv. final</c:v>
                </c:pt>
              </c:strCache>
            </c:strRef>
          </c:tx>
          <c:spPr>
            <a:ln w="22000">
              <a:solidFill>
                <a:srgbClr val="6C4AB6"/>
              </a:solidFill>
              <a:prstDash val="solid"/>
            </a:ln>
          </c:spPr>
          <c:marker>
            <c:symbol val="none"/>
          </c:marker>
          <c:cat>
            <c:numRef>
              <c:f>'2 Inventario (Q,R)'!$L$5:$L$94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cat>
          <c:val>
            <c:numRef>
              <c:f>'2 Inventario (Q,R)'!$R$5:$R$94</c:f>
              <c:numCache>
                <c:formatCode>General</c:formatCode>
                <c:ptCount val="90"/>
                <c:pt idx="0">
                  <c:v>38</c:v>
                </c:pt>
                <c:pt idx="1">
                  <c:v>30</c:v>
                </c:pt>
                <c:pt idx="2">
                  <c:v>18</c:v>
                </c:pt>
                <c:pt idx="3">
                  <c:v>8</c:v>
                </c:pt>
                <c:pt idx="4">
                  <c:v>0</c:v>
                </c:pt>
                <c:pt idx="5">
                  <c:v>40</c:v>
                </c:pt>
                <c:pt idx="6">
                  <c:v>28</c:v>
                </c:pt>
                <c:pt idx="7">
                  <c:v>22</c:v>
                </c:pt>
                <c:pt idx="8">
                  <c:v>14</c:v>
                </c:pt>
                <c:pt idx="9">
                  <c:v>50</c:v>
                </c:pt>
                <c:pt idx="10">
                  <c:v>42</c:v>
                </c:pt>
                <c:pt idx="11">
                  <c:v>32</c:v>
                </c:pt>
                <c:pt idx="12">
                  <c:v>24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36</c:v>
                </c:pt>
                <c:pt idx="17">
                  <c:v>28</c:v>
                </c:pt>
                <c:pt idx="18">
                  <c:v>16</c:v>
                </c:pt>
                <c:pt idx="19">
                  <c:v>6</c:v>
                </c:pt>
                <c:pt idx="20">
                  <c:v>0</c:v>
                </c:pt>
                <c:pt idx="21">
                  <c:v>42</c:v>
                </c:pt>
                <c:pt idx="22">
                  <c:v>30</c:v>
                </c:pt>
                <c:pt idx="23">
                  <c:v>20</c:v>
                </c:pt>
                <c:pt idx="24">
                  <c:v>8</c:v>
                </c:pt>
                <c:pt idx="25">
                  <c:v>0</c:v>
                </c:pt>
                <c:pt idx="26">
                  <c:v>42</c:v>
                </c:pt>
                <c:pt idx="27">
                  <c:v>32</c:v>
                </c:pt>
                <c:pt idx="28">
                  <c:v>22</c:v>
                </c:pt>
                <c:pt idx="29">
                  <c:v>16</c:v>
                </c:pt>
                <c:pt idx="30">
                  <c:v>10</c:v>
                </c:pt>
                <c:pt idx="31">
                  <c:v>52</c:v>
                </c:pt>
                <c:pt idx="32">
                  <c:v>44</c:v>
                </c:pt>
                <c:pt idx="33">
                  <c:v>34</c:v>
                </c:pt>
                <c:pt idx="34">
                  <c:v>22</c:v>
                </c:pt>
                <c:pt idx="35">
                  <c:v>12</c:v>
                </c:pt>
                <c:pt idx="36">
                  <c:v>4</c:v>
                </c:pt>
                <c:pt idx="37">
                  <c:v>48</c:v>
                </c:pt>
                <c:pt idx="38">
                  <c:v>36</c:v>
                </c:pt>
                <c:pt idx="39">
                  <c:v>24</c:v>
                </c:pt>
                <c:pt idx="40">
                  <c:v>16</c:v>
                </c:pt>
                <c:pt idx="41">
                  <c:v>54</c:v>
                </c:pt>
                <c:pt idx="42">
                  <c:v>46</c:v>
                </c:pt>
                <c:pt idx="43">
                  <c:v>40</c:v>
                </c:pt>
                <c:pt idx="44">
                  <c:v>30</c:v>
                </c:pt>
                <c:pt idx="45">
                  <c:v>18</c:v>
                </c:pt>
                <c:pt idx="46">
                  <c:v>4</c:v>
                </c:pt>
                <c:pt idx="47">
                  <c:v>0</c:v>
                </c:pt>
                <c:pt idx="48">
                  <c:v>40</c:v>
                </c:pt>
                <c:pt idx="49">
                  <c:v>32</c:v>
                </c:pt>
                <c:pt idx="50">
                  <c:v>26</c:v>
                </c:pt>
                <c:pt idx="51">
                  <c:v>14</c:v>
                </c:pt>
                <c:pt idx="52">
                  <c:v>4</c:v>
                </c:pt>
                <c:pt idx="53">
                  <c:v>0</c:v>
                </c:pt>
                <c:pt idx="54">
                  <c:v>38</c:v>
                </c:pt>
                <c:pt idx="55">
                  <c:v>28</c:v>
                </c:pt>
                <c:pt idx="56">
                  <c:v>22</c:v>
                </c:pt>
                <c:pt idx="57">
                  <c:v>12</c:v>
                </c:pt>
                <c:pt idx="58">
                  <c:v>0</c:v>
                </c:pt>
                <c:pt idx="59">
                  <c:v>36</c:v>
                </c:pt>
                <c:pt idx="60">
                  <c:v>26</c:v>
                </c:pt>
                <c:pt idx="61">
                  <c:v>18</c:v>
                </c:pt>
                <c:pt idx="62">
                  <c:v>8</c:v>
                </c:pt>
                <c:pt idx="63">
                  <c:v>0</c:v>
                </c:pt>
                <c:pt idx="64">
                  <c:v>40</c:v>
                </c:pt>
                <c:pt idx="65">
                  <c:v>28</c:v>
                </c:pt>
                <c:pt idx="66">
                  <c:v>18</c:v>
                </c:pt>
                <c:pt idx="67">
                  <c:v>10</c:v>
                </c:pt>
                <c:pt idx="68">
                  <c:v>4</c:v>
                </c:pt>
                <c:pt idx="69">
                  <c:v>40</c:v>
                </c:pt>
                <c:pt idx="70">
                  <c:v>28</c:v>
                </c:pt>
                <c:pt idx="71">
                  <c:v>18</c:v>
                </c:pt>
                <c:pt idx="72">
                  <c:v>6</c:v>
                </c:pt>
                <c:pt idx="73">
                  <c:v>0</c:v>
                </c:pt>
                <c:pt idx="74">
                  <c:v>36</c:v>
                </c:pt>
                <c:pt idx="75">
                  <c:v>24</c:v>
                </c:pt>
                <c:pt idx="76">
                  <c:v>12</c:v>
                </c:pt>
                <c:pt idx="77">
                  <c:v>2</c:v>
                </c:pt>
                <c:pt idx="78">
                  <c:v>0</c:v>
                </c:pt>
                <c:pt idx="79">
                  <c:v>42</c:v>
                </c:pt>
                <c:pt idx="80">
                  <c:v>36</c:v>
                </c:pt>
                <c:pt idx="81">
                  <c:v>30</c:v>
                </c:pt>
                <c:pt idx="82">
                  <c:v>22</c:v>
                </c:pt>
                <c:pt idx="83">
                  <c:v>12</c:v>
                </c:pt>
                <c:pt idx="84">
                  <c:v>6</c:v>
                </c:pt>
                <c:pt idx="85">
                  <c:v>50</c:v>
                </c:pt>
                <c:pt idx="86">
                  <c:v>40</c:v>
                </c:pt>
                <c:pt idx="87">
                  <c:v>32</c:v>
                </c:pt>
                <c:pt idx="88">
                  <c:v>24</c:v>
                </c:pt>
                <c:pt idx="8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41-4574-A438-FA6DD19EF5F1}"/>
            </c:ext>
          </c:extLst>
        </c:ser>
        <c:ser>
          <c:idx val="1"/>
          <c:order val="1"/>
          <c:tx>
            <c:strRef>
              <c:f>'2 Inventario (Q,R)'!$V$4</c:f>
              <c:strCache>
                <c:ptCount val="1"/>
                <c:pt idx="0">
                  <c:v>R</c:v>
                </c:pt>
              </c:strCache>
            </c:strRef>
          </c:tx>
          <c:spPr>
            <a:ln w="22000">
              <a:solidFill>
                <a:srgbClr val="E4572E"/>
              </a:solidFill>
              <a:prstDash val="solid"/>
            </a:ln>
          </c:spPr>
          <c:marker>
            <c:symbol val="none"/>
          </c:marker>
          <c:cat>
            <c:numRef>
              <c:f>'2 Inventario (Q,R)'!$L$5:$L$94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cat>
          <c:val>
            <c:numRef>
              <c:f>'2 Inventario (Q,R)'!$V$5:$V$94</c:f>
              <c:numCache>
                <c:formatCode>General</c:formatCode>
                <c:ptCount val="9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1-4574-A438-FA6DD19EF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Día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Unidades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¿De dónde viene el costo?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Costo</c:v>
          </c:tx>
          <c:spPr>
            <a:solidFill>
              <a:srgbClr val="F2A900"/>
            </a:solidFill>
            <a:ln>
              <a:solidFill>
                <a:srgbClr val="F2A900"/>
              </a:solidFill>
              <a:prstDash val="solid"/>
            </a:ln>
          </c:spPr>
          <c:invertIfNegative val="1"/>
          <c:cat>
            <c:strRef>
              <c:f>'2 Inventario (Q,R)'!$B$35:$B$37</c:f>
              <c:strCache>
                <c:ptCount val="3"/>
                <c:pt idx="0">
                  <c:v>Pedidos</c:v>
                </c:pt>
                <c:pt idx="1">
                  <c:v>Mantener inventario</c:v>
                </c:pt>
                <c:pt idx="2">
                  <c:v>Faltantes</c:v>
                </c:pt>
              </c:strCache>
            </c:strRef>
          </c:cat>
          <c:val>
            <c:numRef>
              <c:f>'2 Inventario (Q,R)'!$C$35:$C$37</c:f>
              <c:numCache>
                <c:formatCode>\$#,##0</c:formatCode>
                <c:ptCount val="3"/>
                <c:pt idx="0">
                  <c:v>1700</c:v>
                </c:pt>
                <c:pt idx="1">
                  <c:v>2022</c:v>
                </c:pt>
                <c:pt idx="2">
                  <c:v>230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2A9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1E3-4165-B34A-15C87090E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$</a:t>
                </a:r>
              </a:p>
            </c:rich>
          </c:tx>
          <c:layout/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Utilización por estación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Utilización simulada</c:v>
          </c:tx>
          <c:spPr>
            <a:solidFill>
              <a:srgbClr val="6C4AB6"/>
            </a:solidFill>
            <a:ln>
              <a:solidFill>
                <a:srgbClr val="6C4AB6"/>
              </a:solidFill>
              <a:prstDash val="solid"/>
            </a:ln>
          </c:spPr>
          <c:invertIfNegative val="1"/>
          <c:cat>
            <c:strRef>
              <c:f>'3 Producción'!$B$15:$B$17</c:f>
              <c:strCache>
                <c:ptCount val="3"/>
                <c:pt idx="0">
                  <c:v>Corte</c:v>
                </c:pt>
                <c:pt idx="1">
                  <c:v>Ensamble</c:v>
                </c:pt>
                <c:pt idx="2">
                  <c:v>Pintura</c:v>
                </c:pt>
              </c:strCache>
            </c:strRef>
          </c:cat>
          <c:val>
            <c:numRef>
              <c:f>'3 Producción'!$C$15:$C$17</c:f>
              <c:numCache>
                <c:formatCode>0.0%</c:formatCode>
                <c:ptCount val="3"/>
                <c:pt idx="0">
                  <c:v>0.80267963012864596</c:v>
                </c:pt>
                <c:pt idx="1">
                  <c:v>0.99610033071600912</c:v>
                </c:pt>
                <c:pt idx="2">
                  <c:v>0.62313086544114982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C4A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237-4D0E-8B3F-CF4A41D8F898}"/>
            </c:ext>
          </c:extLst>
        </c:ser>
        <c:ser>
          <c:idx val="1"/>
          <c:order val="1"/>
          <c:tx>
            <c:v>ρ teórica</c:v>
          </c:tx>
          <c:spPr>
            <a:solidFill>
              <a:srgbClr val="F2A900"/>
            </a:solidFill>
            <a:ln>
              <a:solidFill>
                <a:srgbClr val="F2A900"/>
              </a:solidFill>
              <a:prstDash val="solid"/>
            </a:ln>
          </c:spPr>
          <c:invertIfNegative val="1"/>
          <c:cat>
            <c:strRef>
              <c:f>'3 Producción'!$B$15:$B$17</c:f>
              <c:strCache>
                <c:ptCount val="3"/>
                <c:pt idx="0">
                  <c:v>Corte</c:v>
                </c:pt>
                <c:pt idx="1">
                  <c:v>Ensamble</c:v>
                </c:pt>
                <c:pt idx="2">
                  <c:v>Pintura</c:v>
                </c:pt>
              </c:strCache>
            </c:strRef>
          </c:cat>
          <c:val>
            <c:numRef>
              <c:f>'3 Producción'!$D$15:$D$17</c:f>
              <c:numCache>
                <c:formatCode>0.0%</c:formatCode>
                <c:ptCount val="3"/>
                <c:pt idx="0">
                  <c:v>0.78787878787878785</c:v>
                </c:pt>
                <c:pt idx="1">
                  <c:v>0.96969696969696961</c:v>
                </c:pt>
                <c:pt idx="2">
                  <c:v>0.60606060606060608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2A9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237-4D0E-8B3F-CF4A41D8F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100000000000000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2051840277777771"/>
          <c:y val="0.88034860252106906"/>
          <c:w val="0.3677824652777778"/>
          <c:h val="7.9740624999999996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Tiempo de ciclo de cada pieza (min)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 Producción'!$W$4</c:f>
              <c:strCache>
                <c:ptCount val="1"/>
                <c:pt idx="0">
                  <c:v>Ciclo</c:v>
                </c:pt>
              </c:strCache>
            </c:strRef>
          </c:tx>
          <c:spPr>
            <a:ln w="22000">
              <a:solidFill>
                <a:srgbClr val="E4572E"/>
              </a:solidFill>
              <a:prstDash val="solid"/>
            </a:ln>
          </c:spPr>
          <c:marker>
            <c:symbol val="none"/>
          </c:marker>
          <c:cat>
            <c:numRef>
              <c:f>'3 Producción'!$L$5:$L$304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'3 Producción'!$W$5:$W$304</c:f>
              <c:numCache>
                <c:formatCode>0.0</c:formatCode>
                <c:ptCount val="300"/>
                <c:pt idx="0">
                  <c:v>13.479633933232865</c:v>
                </c:pt>
                <c:pt idx="1">
                  <c:v>16.910295715652687</c:v>
                </c:pt>
                <c:pt idx="2">
                  <c:v>21.869351153538098</c:v>
                </c:pt>
                <c:pt idx="3">
                  <c:v>28.494743630207573</c:v>
                </c:pt>
                <c:pt idx="4">
                  <c:v>32.367112286885082</c:v>
                </c:pt>
                <c:pt idx="5">
                  <c:v>37.760582697570513</c:v>
                </c:pt>
                <c:pt idx="6">
                  <c:v>34.110935221217915</c:v>
                </c:pt>
                <c:pt idx="7">
                  <c:v>38.917268453530767</c:v>
                </c:pt>
                <c:pt idx="8">
                  <c:v>41.776592846789988</c:v>
                </c:pt>
                <c:pt idx="9">
                  <c:v>39.112918392067968</c:v>
                </c:pt>
                <c:pt idx="10">
                  <c:v>41.878166132780727</c:v>
                </c:pt>
                <c:pt idx="11">
                  <c:v>48.071473023785515</c:v>
                </c:pt>
                <c:pt idx="12">
                  <c:v>37.277854421736684</c:v>
                </c:pt>
                <c:pt idx="13">
                  <c:v>41.425499845719429</c:v>
                </c:pt>
                <c:pt idx="14">
                  <c:v>40.915406278091439</c:v>
                </c:pt>
                <c:pt idx="15">
                  <c:v>45.038949667877738</c:v>
                </c:pt>
                <c:pt idx="16">
                  <c:v>48.582491380327674</c:v>
                </c:pt>
                <c:pt idx="17">
                  <c:v>50.612351150034364</c:v>
                </c:pt>
                <c:pt idx="18">
                  <c:v>44.68173989601874</c:v>
                </c:pt>
                <c:pt idx="19">
                  <c:v>44.903245864438333</c:v>
                </c:pt>
                <c:pt idx="20">
                  <c:v>48.691925903180248</c:v>
                </c:pt>
                <c:pt idx="21">
                  <c:v>48.9988645806595</c:v>
                </c:pt>
                <c:pt idx="22">
                  <c:v>51.482169119361458</c:v>
                </c:pt>
                <c:pt idx="23">
                  <c:v>54.416052280228769</c:v>
                </c:pt>
                <c:pt idx="24">
                  <c:v>56.868518581524981</c:v>
                </c:pt>
                <c:pt idx="25">
                  <c:v>53.002989351014207</c:v>
                </c:pt>
                <c:pt idx="26">
                  <c:v>56.9096188753729</c:v>
                </c:pt>
                <c:pt idx="27">
                  <c:v>61.729550843458213</c:v>
                </c:pt>
                <c:pt idx="28">
                  <c:v>64.208697090300973</c:v>
                </c:pt>
                <c:pt idx="29">
                  <c:v>63.501493558836927</c:v>
                </c:pt>
                <c:pt idx="30">
                  <c:v>70.66770326361906</c:v>
                </c:pt>
                <c:pt idx="31">
                  <c:v>72.473434391688897</c:v>
                </c:pt>
                <c:pt idx="32">
                  <c:v>75.988453931435828</c:v>
                </c:pt>
                <c:pt idx="33">
                  <c:v>69.085964737477099</c:v>
                </c:pt>
                <c:pt idx="34">
                  <c:v>73.494363292691844</c:v>
                </c:pt>
                <c:pt idx="35">
                  <c:v>76.736902690602847</c:v>
                </c:pt>
                <c:pt idx="36">
                  <c:v>79.231936266856252</c:v>
                </c:pt>
                <c:pt idx="37">
                  <c:v>79.493817611225751</c:v>
                </c:pt>
                <c:pt idx="38">
                  <c:v>84.720239065538806</c:v>
                </c:pt>
                <c:pt idx="39">
                  <c:v>89.605031453084507</c:v>
                </c:pt>
                <c:pt idx="40">
                  <c:v>93.423292659724069</c:v>
                </c:pt>
                <c:pt idx="41">
                  <c:v>94.588257334704309</c:v>
                </c:pt>
                <c:pt idx="42">
                  <c:v>92.720881482669341</c:v>
                </c:pt>
                <c:pt idx="43">
                  <c:v>96.549675637342943</c:v>
                </c:pt>
                <c:pt idx="44">
                  <c:v>99.118544356855722</c:v>
                </c:pt>
                <c:pt idx="45">
                  <c:v>99.209802902358319</c:v>
                </c:pt>
                <c:pt idx="46">
                  <c:v>102.31706456854687</c:v>
                </c:pt>
                <c:pt idx="47">
                  <c:v>105.9752005510471</c:v>
                </c:pt>
                <c:pt idx="48">
                  <c:v>108.67464578946615</c:v>
                </c:pt>
                <c:pt idx="49">
                  <c:v>111.3390364933953</c:v>
                </c:pt>
                <c:pt idx="50">
                  <c:v>110.59808748915427</c:v>
                </c:pt>
                <c:pt idx="51">
                  <c:v>111.03708010874857</c:v>
                </c:pt>
                <c:pt idx="52">
                  <c:v>103.64677421594496</c:v>
                </c:pt>
                <c:pt idx="53">
                  <c:v>97.771892640699576</c:v>
                </c:pt>
                <c:pt idx="54">
                  <c:v>101.50802989545576</c:v>
                </c:pt>
                <c:pt idx="55">
                  <c:v>101.65171241510663</c:v>
                </c:pt>
                <c:pt idx="56">
                  <c:v>106.15236629706513</c:v>
                </c:pt>
                <c:pt idx="57">
                  <c:v>107.66528875733641</c:v>
                </c:pt>
                <c:pt idx="58">
                  <c:v>107.1213279078728</c:v>
                </c:pt>
                <c:pt idx="59">
                  <c:v>111.34443569250024</c:v>
                </c:pt>
                <c:pt idx="60">
                  <c:v>113.49590281567029</c:v>
                </c:pt>
                <c:pt idx="61">
                  <c:v>117.91024935473655</c:v>
                </c:pt>
                <c:pt idx="62">
                  <c:v>113.34123059125483</c:v>
                </c:pt>
                <c:pt idx="63">
                  <c:v>110.72235479239768</c:v>
                </c:pt>
                <c:pt idx="64">
                  <c:v>113.48840156700626</c:v>
                </c:pt>
                <c:pt idx="65">
                  <c:v>116.65841740588829</c:v>
                </c:pt>
                <c:pt idx="66">
                  <c:v>119.70116286787805</c:v>
                </c:pt>
                <c:pt idx="67">
                  <c:v>108.45233919412613</c:v>
                </c:pt>
                <c:pt idx="68">
                  <c:v>107.33729200294908</c:v>
                </c:pt>
                <c:pt idx="69">
                  <c:v>102.08247097984025</c:v>
                </c:pt>
                <c:pt idx="70">
                  <c:v>104.64324335411459</c:v>
                </c:pt>
                <c:pt idx="71">
                  <c:v>106.42700538092396</c:v>
                </c:pt>
                <c:pt idx="72">
                  <c:v>108.47504758912061</c:v>
                </c:pt>
                <c:pt idx="73">
                  <c:v>114.3718883353813</c:v>
                </c:pt>
                <c:pt idx="74">
                  <c:v>115.89997183718486</c:v>
                </c:pt>
                <c:pt idx="75">
                  <c:v>114.28833820167</c:v>
                </c:pt>
                <c:pt idx="76">
                  <c:v>109.28848024591179</c:v>
                </c:pt>
                <c:pt idx="77">
                  <c:v>110.18257952006974</c:v>
                </c:pt>
                <c:pt idx="78">
                  <c:v>107.58031495035686</c:v>
                </c:pt>
                <c:pt idx="79">
                  <c:v>106.01706038431058</c:v>
                </c:pt>
                <c:pt idx="80">
                  <c:v>112.2547451985472</c:v>
                </c:pt>
                <c:pt idx="81">
                  <c:v>118.23531230360118</c:v>
                </c:pt>
                <c:pt idx="82">
                  <c:v>119.83787317206736</c:v>
                </c:pt>
                <c:pt idx="83">
                  <c:v>122.68121541488955</c:v>
                </c:pt>
                <c:pt idx="84">
                  <c:v>95.354325043012636</c:v>
                </c:pt>
                <c:pt idx="85">
                  <c:v>98.890402410751108</c:v>
                </c:pt>
                <c:pt idx="86">
                  <c:v>100.82025031546203</c:v>
                </c:pt>
                <c:pt idx="87">
                  <c:v>105.75157276322039</c:v>
                </c:pt>
                <c:pt idx="88">
                  <c:v>111.66503265336479</c:v>
                </c:pt>
                <c:pt idx="89">
                  <c:v>113.52401805989598</c:v>
                </c:pt>
                <c:pt idx="90">
                  <c:v>117.4564490947663</c:v>
                </c:pt>
                <c:pt idx="91">
                  <c:v>121.15331859144294</c:v>
                </c:pt>
                <c:pt idx="92">
                  <c:v>125.29014368396054</c:v>
                </c:pt>
                <c:pt idx="93">
                  <c:v>127.12182826915051</c:v>
                </c:pt>
                <c:pt idx="94">
                  <c:v>131.85239456604921</c:v>
                </c:pt>
                <c:pt idx="95">
                  <c:v>136.18281095675536</c:v>
                </c:pt>
                <c:pt idx="96">
                  <c:v>124.26974099139841</c:v>
                </c:pt>
                <c:pt idx="97">
                  <c:v>125.53303646404225</c:v>
                </c:pt>
                <c:pt idx="98">
                  <c:v>129.08997249548179</c:v>
                </c:pt>
                <c:pt idx="99">
                  <c:v>130.95553696528418</c:v>
                </c:pt>
                <c:pt idx="100">
                  <c:v>131.85052125781397</c:v>
                </c:pt>
                <c:pt idx="101">
                  <c:v>133.32247357440593</c:v>
                </c:pt>
                <c:pt idx="102">
                  <c:v>139.8845412907807</c:v>
                </c:pt>
                <c:pt idx="103">
                  <c:v>143.00413462166824</c:v>
                </c:pt>
                <c:pt idx="104">
                  <c:v>143.65823509034175</c:v>
                </c:pt>
                <c:pt idx="105">
                  <c:v>138.30849005669336</c:v>
                </c:pt>
                <c:pt idx="106">
                  <c:v>139.18260206495626</c:v>
                </c:pt>
                <c:pt idx="107">
                  <c:v>144.61710947740613</c:v>
                </c:pt>
                <c:pt idx="108">
                  <c:v>136.78825374570306</c:v>
                </c:pt>
                <c:pt idx="109">
                  <c:v>136.23062748106128</c:v>
                </c:pt>
                <c:pt idx="110">
                  <c:v>141.3443984661277</c:v>
                </c:pt>
                <c:pt idx="111">
                  <c:v>146.18291800781896</c:v>
                </c:pt>
                <c:pt idx="112">
                  <c:v>144.85275979696695</c:v>
                </c:pt>
                <c:pt idx="113">
                  <c:v>143.27915946824317</c:v>
                </c:pt>
                <c:pt idx="114">
                  <c:v>141.82893782647108</c:v>
                </c:pt>
                <c:pt idx="115">
                  <c:v>144.51461605383201</c:v>
                </c:pt>
                <c:pt idx="116">
                  <c:v>148.86279492865458</c:v>
                </c:pt>
                <c:pt idx="117">
                  <c:v>151.92594150211676</c:v>
                </c:pt>
                <c:pt idx="118">
                  <c:v>141.77711717215351</c:v>
                </c:pt>
                <c:pt idx="119">
                  <c:v>144.27841764687537</c:v>
                </c:pt>
                <c:pt idx="120">
                  <c:v>148.45376673898136</c:v>
                </c:pt>
                <c:pt idx="121">
                  <c:v>151.48778301595473</c:v>
                </c:pt>
                <c:pt idx="122">
                  <c:v>153.50949024194472</c:v>
                </c:pt>
                <c:pt idx="123">
                  <c:v>159.00861352136121</c:v>
                </c:pt>
                <c:pt idx="124">
                  <c:v>160.5901119523279</c:v>
                </c:pt>
                <c:pt idx="125">
                  <c:v>164.16377602929265</c:v>
                </c:pt>
                <c:pt idx="126">
                  <c:v>168.34179211154913</c:v>
                </c:pt>
                <c:pt idx="127">
                  <c:v>167.52498718453921</c:v>
                </c:pt>
                <c:pt idx="128">
                  <c:v>172.24894581570504</c:v>
                </c:pt>
                <c:pt idx="129">
                  <c:v>176.46991423872396</c:v>
                </c:pt>
                <c:pt idx="130">
                  <c:v>171.43854788424335</c:v>
                </c:pt>
                <c:pt idx="131">
                  <c:v>171.27760146986157</c:v>
                </c:pt>
                <c:pt idx="132">
                  <c:v>174.20585069740139</c:v>
                </c:pt>
                <c:pt idx="133">
                  <c:v>178.93349735399318</c:v>
                </c:pt>
                <c:pt idx="134">
                  <c:v>170.60809296853517</c:v>
                </c:pt>
                <c:pt idx="135">
                  <c:v>173.59414359157404</c:v>
                </c:pt>
                <c:pt idx="136">
                  <c:v>173.86355199837374</c:v>
                </c:pt>
                <c:pt idx="137">
                  <c:v>170.81884366430086</c:v>
                </c:pt>
                <c:pt idx="138">
                  <c:v>170.08266834360381</c:v>
                </c:pt>
                <c:pt idx="139">
                  <c:v>175.0339205068309</c:v>
                </c:pt>
                <c:pt idx="140">
                  <c:v>174.3255540550673</c:v>
                </c:pt>
                <c:pt idx="141">
                  <c:v>158.14308936672546</c:v>
                </c:pt>
                <c:pt idx="142">
                  <c:v>163.61712008256598</c:v>
                </c:pt>
                <c:pt idx="143">
                  <c:v>147.55988220290931</c:v>
                </c:pt>
                <c:pt idx="144">
                  <c:v>147.80061800286285</c:v>
                </c:pt>
                <c:pt idx="145">
                  <c:v>150.65857573899928</c:v>
                </c:pt>
                <c:pt idx="146">
                  <c:v>155.23998229440826</c:v>
                </c:pt>
                <c:pt idx="147">
                  <c:v>152.4595981244363</c:v>
                </c:pt>
                <c:pt idx="148">
                  <c:v>155.77907670231048</c:v>
                </c:pt>
                <c:pt idx="149">
                  <c:v>154.4500631549904</c:v>
                </c:pt>
                <c:pt idx="150">
                  <c:v>153.3253617746459</c:v>
                </c:pt>
                <c:pt idx="151">
                  <c:v>159.09515390269519</c:v>
                </c:pt>
                <c:pt idx="152">
                  <c:v>158.36269001367941</c:v>
                </c:pt>
                <c:pt idx="153">
                  <c:v>152.34262459431818</c:v>
                </c:pt>
                <c:pt idx="154">
                  <c:v>151.99424908323169</c:v>
                </c:pt>
                <c:pt idx="155">
                  <c:v>138.70426525723201</c:v>
                </c:pt>
                <c:pt idx="156">
                  <c:v>130.9468185083831</c:v>
                </c:pt>
                <c:pt idx="157">
                  <c:v>134.92161619178773</c:v>
                </c:pt>
                <c:pt idx="158">
                  <c:v>137.68622683299679</c:v>
                </c:pt>
                <c:pt idx="159">
                  <c:v>136.49970913577556</c:v>
                </c:pt>
                <c:pt idx="160">
                  <c:v>141.258546634808</c:v>
                </c:pt>
                <c:pt idx="161">
                  <c:v>147.19300636397975</c:v>
                </c:pt>
                <c:pt idx="162">
                  <c:v>154.10816904584897</c:v>
                </c:pt>
                <c:pt idx="163">
                  <c:v>157.68029803348225</c:v>
                </c:pt>
                <c:pt idx="164">
                  <c:v>153.97448573449424</c:v>
                </c:pt>
                <c:pt idx="165">
                  <c:v>157.41993077124005</c:v>
                </c:pt>
                <c:pt idx="166">
                  <c:v>161.30440779000924</c:v>
                </c:pt>
                <c:pt idx="167">
                  <c:v>165.67909786402163</c:v>
                </c:pt>
                <c:pt idx="168">
                  <c:v>169.70977742398918</c:v>
                </c:pt>
                <c:pt idx="169">
                  <c:v>171.04886544250951</c:v>
                </c:pt>
                <c:pt idx="170">
                  <c:v>175.31570589628723</c:v>
                </c:pt>
                <c:pt idx="171">
                  <c:v>173.89525824882321</c:v>
                </c:pt>
                <c:pt idx="172">
                  <c:v>176.7517784443337</c:v>
                </c:pt>
                <c:pt idx="173">
                  <c:v>176.12293872292628</c:v>
                </c:pt>
                <c:pt idx="174">
                  <c:v>179.79256252741266</c:v>
                </c:pt>
                <c:pt idx="175">
                  <c:v>183.45553839098261</c:v>
                </c:pt>
                <c:pt idx="176">
                  <c:v>186.52290127802587</c:v>
                </c:pt>
                <c:pt idx="177">
                  <c:v>184.55396815977747</c:v>
                </c:pt>
                <c:pt idx="178">
                  <c:v>183.93050657410367</c:v>
                </c:pt>
                <c:pt idx="179">
                  <c:v>184.66730017296186</c:v>
                </c:pt>
                <c:pt idx="180">
                  <c:v>183.66193038053257</c:v>
                </c:pt>
                <c:pt idx="181">
                  <c:v>188.41249173253709</c:v>
                </c:pt>
                <c:pt idx="182">
                  <c:v>180.3039857473841</c:v>
                </c:pt>
                <c:pt idx="183">
                  <c:v>183.60082202065053</c:v>
                </c:pt>
                <c:pt idx="184">
                  <c:v>182.98958038626085</c:v>
                </c:pt>
                <c:pt idx="185">
                  <c:v>185.3651919522149</c:v>
                </c:pt>
                <c:pt idx="186">
                  <c:v>188.12933904385443</c:v>
                </c:pt>
                <c:pt idx="187">
                  <c:v>190.02484393407315</c:v>
                </c:pt>
                <c:pt idx="188">
                  <c:v>187.85436736132112</c:v>
                </c:pt>
                <c:pt idx="189">
                  <c:v>190.00856309608673</c:v>
                </c:pt>
                <c:pt idx="190">
                  <c:v>186.71625367987417</c:v>
                </c:pt>
                <c:pt idx="191">
                  <c:v>187.45058122454589</c:v>
                </c:pt>
                <c:pt idx="192">
                  <c:v>188.09157168707281</c:v>
                </c:pt>
                <c:pt idx="193">
                  <c:v>192.69978176443408</c:v>
                </c:pt>
                <c:pt idx="194">
                  <c:v>195.31958736404351</c:v>
                </c:pt>
                <c:pt idx="195">
                  <c:v>201.10027435636084</c:v>
                </c:pt>
                <c:pt idx="196">
                  <c:v>201.66814442270277</c:v>
                </c:pt>
                <c:pt idx="197">
                  <c:v>204.46402294658935</c:v>
                </c:pt>
                <c:pt idx="198">
                  <c:v>202.71665092037631</c:v>
                </c:pt>
                <c:pt idx="199">
                  <c:v>201.4513112637477</c:v>
                </c:pt>
                <c:pt idx="200">
                  <c:v>197.41371956295404</c:v>
                </c:pt>
                <c:pt idx="201">
                  <c:v>199.34287981877526</c:v>
                </c:pt>
                <c:pt idx="202">
                  <c:v>201.37191364958824</c:v>
                </c:pt>
                <c:pt idx="203">
                  <c:v>196.66143096750739</c:v>
                </c:pt>
                <c:pt idx="204">
                  <c:v>199.00373390045979</c:v>
                </c:pt>
                <c:pt idx="205">
                  <c:v>192.08277500646523</c:v>
                </c:pt>
                <c:pt idx="206">
                  <c:v>189.23392244097442</c:v>
                </c:pt>
                <c:pt idx="207">
                  <c:v>195.25601130190444</c:v>
                </c:pt>
                <c:pt idx="208">
                  <c:v>193.90294462629186</c:v>
                </c:pt>
                <c:pt idx="209">
                  <c:v>193.83954170881987</c:v>
                </c:pt>
                <c:pt idx="210">
                  <c:v>180.12244954921869</c:v>
                </c:pt>
                <c:pt idx="211">
                  <c:v>182.67091484012792</c:v>
                </c:pt>
                <c:pt idx="212">
                  <c:v>186.87621412844283</c:v>
                </c:pt>
                <c:pt idx="213">
                  <c:v>187.82293437828298</c:v>
                </c:pt>
                <c:pt idx="214">
                  <c:v>188.06122919309428</c:v>
                </c:pt>
                <c:pt idx="215">
                  <c:v>191.30539204841216</c:v>
                </c:pt>
                <c:pt idx="216">
                  <c:v>194.50391652090366</c:v>
                </c:pt>
                <c:pt idx="217">
                  <c:v>193.5379967184731</c:v>
                </c:pt>
                <c:pt idx="218">
                  <c:v>189.07556988200474</c:v>
                </c:pt>
                <c:pt idx="219">
                  <c:v>193.60462008252534</c:v>
                </c:pt>
                <c:pt idx="220">
                  <c:v>179.36707699284409</c:v>
                </c:pt>
                <c:pt idx="221">
                  <c:v>183.08478123036321</c:v>
                </c:pt>
                <c:pt idx="222">
                  <c:v>169.83670270074458</c:v>
                </c:pt>
                <c:pt idx="223">
                  <c:v>171.60235134376671</c:v>
                </c:pt>
                <c:pt idx="224">
                  <c:v>175.7278386752273</c:v>
                </c:pt>
                <c:pt idx="225">
                  <c:v>181.25264427711659</c:v>
                </c:pt>
                <c:pt idx="226">
                  <c:v>184.27803911053593</c:v>
                </c:pt>
                <c:pt idx="227">
                  <c:v>183.04120230424223</c:v>
                </c:pt>
                <c:pt idx="228">
                  <c:v>183.24448789752</c:v>
                </c:pt>
                <c:pt idx="229">
                  <c:v>188.58050617455069</c:v>
                </c:pt>
                <c:pt idx="230">
                  <c:v>190.92558391417197</c:v>
                </c:pt>
                <c:pt idx="231">
                  <c:v>187.52020919767756</c:v>
                </c:pt>
                <c:pt idx="232">
                  <c:v>191.70277744235023</c:v>
                </c:pt>
                <c:pt idx="233">
                  <c:v>189.99998502172116</c:v>
                </c:pt>
                <c:pt idx="234">
                  <c:v>195.2295696903318</c:v>
                </c:pt>
                <c:pt idx="235">
                  <c:v>201.44749650909057</c:v>
                </c:pt>
                <c:pt idx="236">
                  <c:v>204.67056436146595</c:v>
                </c:pt>
                <c:pt idx="237">
                  <c:v>207.16953874589785</c:v>
                </c:pt>
                <c:pt idx="238">
                  <c:v>209.283033924459</c:v>
                </c:pt>
                <c:pt idx="239">
                  <c:v>203.98344452580818</c:v>
                </c:pt>
                <c:pt idx="240">
                  <c:v>205.04717581299678</c:v>
                </c:pt>
                <c:pt idx="241">
                  <c:v>193.23386028683581</c:v>
                </c:pt>
                <c:pt idx="242">
                  <c:v>197.80483004258895</c:v>
                </c:pt>
                <c:pt idx="243">
                  <c:v>200.39778784134205</c:v>
                </c:pt>
                <c:pt idx="244">
                  <c:v>203.64195294790329</c:v>
                </c:pt>
                <c:pt idx="245">
                  <c:v>193.73558755750719</c:v>
                </c:pt>
                <c:pt idx="246">
                  <c:v>190.86517303365304</c:v>
                </c:pt>
                <c:pt idx="247">
                  <c:v>191.55073052444345</c:v>
                </c:pt>
                <c:pt idx="248">
                  <c:v>185.08103689337918</c:v>
                </c:pt>
                <c:pt idx="249">
                  <c:v>181.38495144799754</c:v>
                </c:pt>
                <c:pt idx="250">
                  <c:v>177.1067141030544</c:v>
                </c:pt>
                <c:pt idx="251">
                  <c:v>180.505515449227</c:v>
                </c:pt>
                <c:pt idx="252">
                  <c:v>173.49785429723033</c:v>
                </c:pt>
                <c:pt idx="253">
                  <c:v>174.85188342178481</c:v>
                </c:pt>
                <c:pt idx="254">
                  <c:v>173.65664264015027</c:v>
                </c:pt>
                <c:pt idx="255">
                  <c:v>172.63965848798489</c:v>
                </c:pt>
                <c:pt idx="256">
                  <c:v>176.73682306986461</c:v>
                </c:pt>
                <c:pt idx="257">
                  <c:v>178.83230277046528</c:v>
                </c:pt>
                <c:pt idx="258">
                  <c:v>181.71954580820716</c:v>
                </c:pt>
                <c:pt idx="259">
                  <c:v>176.34713270252223</c:v>
                </c:pt>
                <c:pt idx="260">
                  <c:v>176.68779366108811</c:v>
                </c:pt>
                <c:pt idx="261">
                  <c:v>171.08492535999403</c:v>
                </c:pt>
                <c:pt idx="262">
                  <c:v>172.44332072593352</c:v>
                </c:pt>
                <c:pt idx="263">
                  <c:v>178.4785623285436</c:v>
                </c:pt>
                <c:pt idx="264">
                  <c:v>179.44408985923383</c:v>
                </c:pt>
                <c:pt idx="265">
                  <c:v>173.92586944248046</c:v>
                </c:pt>
                <c:pt idx="266">
                  <c:v>177.07811010007322</c:v>
                </c:pt>
                <c:pt idx="267">
                  <c:v>181.85987973750321</c:v>
                </c:pt>
                <c:pt idx="268">
                  <c:v>186.08031167056924</c:v>
                </c:pt>
                <c:pt idx="269">
                  <c:v>187.98292677233394</c:v>
                </c:pt>
                <c:pt idx="270">
                  <c:v>194.00964846340253</c:v>
                </c:pt>
                <c:pt idx="271">
                  <c:v>199.19123907191329</c:v>
                </c:pt>
                <c:pt idx="272">
                  <c:v>196.90007899964576</c:v>
                </c:pt>
                <c:pt idx="273">
                  <c:v>198.67029864005235</c:v>
                </c:pt>
                <c:pt idx="274">
                  <c:v>198.86967769152147</c:v>
                </c:pt>
                <c:pt idx="275">
                  <c:v>205.27205374894288</c:v>
                </c:pt>
                <c:pt idx="276">
                  <c:v>207.16489840166764</c:v>
                </c:pt>
                <c:pt idx="277">
                  <c:v>212.18116256525832</c:v>
                </c:pt>
                <c:pt idx="278">
                  <c:v>213.01631157486167</c:v>
                </c:pt>
                <c:pt idx="279">
                  <c:v>217.87637989765517</c:v>
                </c:pt>
                <c:pt idx="280">
                  <c:v>218.56811625247042</c:v>
                </c:pt>
                <c:pt idx="281">
                  <c:v>224.02419422442472</c:v>
                </c:pt>
                <c:pt idx="282">
                  <c:v>224.83083475027229</c:v>
                </c:pt>
                <c:pt idx="283">
                  <c:v>226.66117511873017</c:v>
                </c:pt>
                <c:pt idx="284">
                  <c:v>232.48034233407407</c:v>
                </c:pt>
                <c:pt idx="285">
                  <c:v>203.48158009980352</c:v>
                </c:pt>
                <c:pt idx="286">
                  <c:v>204.31493825021425</c:v>
                </c:pt>
                <c:pt idx="287">
                  <c:v>205.06777116434796</c:v>
                </c:pt>
                <c:pt idx="288">
                  <c:v>197.29257864849887</c:v>
                </c:pt>
                <c:pt idx="289">
                  <c:v>198.96111400709515</c:v>
                </c:pt>
                <c:pt idx="290">
                  <c:v>199.49227434339605</c:v>
                </c:pt>
                <c:pt idx="291">
                  <c:v>189.49389183277185</c:v>
                </c:pt>
                <c:pt idx="292">
                  <c:v>196.93208639748377</c:v>
                </c:pt>
                <c:pt idx="293">
                  <c:v>199.5760823173066</c:v>
                </c:pt>
                <c:pt idx="294">
                  <c:v>193.81284610927219</c:v>
                </c:pt>
                <c:pt idx="295">
                  <c:v>195.57990799415234</c:v>
                </c:pt>
                <c:pt idx="296">
                  <c:v>195.20671360392021</c:v>
                </c:pt>
                <c:pt idx="297">
                  <c:v>198.68247906197507</c:v>
                </c:pt>
                <c:pt idx="298">
                  <c:v>199.13885866680789</c:v>
                </c:pt>
                <c:pt idx="299">
                  <c:v>204.98606090692442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6-4680-BE2E-AEFD314A2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Pieza</a:t>
                </a:r>
              </a:p>
            </c:rich>
          </c:tx>
          <c:layout>
            <c:manualLayout>
              <c:xMode val="edge"/>
              <c:yMode val="edge"/>
              <c:x val="0.49760868055555563"/>
              <c:y val="0.92854027777777781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Minutos</a:t>
                </a:r>
              </a:p>
            </c:rich>
          </c:tx>
          <c:layout/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Frecuencias por clase equiprobable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Observado</c:v>
          </c:tx>
          <c:spPr>
            <a:solidFill>
              <a:srgbClr val="6C4AB6"/>
            </a:solidFill>
            <a:ln>
              <a:solidFill>
                <a:srgbClr val="6C4AB6"/>
              </a:solidFill>
              <a:prstDash val="solid"/>
            </a:ln>
          </c:spPr>
          <c:invertIfNegative val="1"/>
          <c:cat>
            <c:numRef>
              <c:f>'4 Bondad de ajuste'!$B$21:$B$30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'4 Bondad de ajuste'!$E$21:$E$30</c:f>
              <c:numCache>
                <c:formatCode>General</c:formatCode>
                <c:ptCount val="10"/>
                <c:pt idx="0">
                  <c:v>21</c:v>
                </c:pt>
                <c:pt idx="1">
                  <c:v>18</c:v>
                </c:pt>
                <c:pt idx="2">
                  <c:v>21</c:v>
                </c:pt>
                <c:pt idx="3">
                  <c:v>16</c:v>
                </c:pt>
                <c:pt idx="4">
                  <c:v>22</c:v>
                </c:pt>
                <c:pt idx="5">
                  <c:v>31</c:v>
                </c:pt>
                <c:pt idx="6">
                  <c:v>13</c:v>
                </c:pt>
                <c:pt idx="7">
                  <c:v>16</c:v>
                </c:pt>
                <c:pt idx="8">
                  <c:v>24</c:v>
                </c:pt>
                <c:pt idx="9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C4A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15-4FFB-A5A5-5F209F854C20}"/>
            </c:ext>
          </c:extLst>
        </c:ser>
        <c:ser>
          <c:idx val="1"/>
          <c:order val="1"/>
          <c:tx>
            <c:v>Esperado</c:v>
          </c:tx>
          <c:spPr>
            <a:solidFill>
              <a:srgbClr val="00A896"/>
            </a:solidFill>
            <a:ln>
              <a:solidFill>
                <a:srgbClr val="00A896"/>
              </a:solidFill>
              <a:prstDash val="solid"/>
            </a:ln>
          </c:spPr>
          <c:invertIfNegative val="1"/>
          <c:cat>
            <c:numRef>
              <c:f>'4 Bondad de ajuste'!$B$21:$B$30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'4 Bondad de ajuste'!$F$21:$F$30</c:f>
              <c:numCache>
                <c:formatCode>0.0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A89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15-4FFB-A5A5-5F209F854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Clase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Acumulada empírica frente a la teórica (K-S)</a:t>
            </a:r>
          </a:p>
        </c:rich>
      </c:tx>
      <c:layout/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F0 teórica</c:v>
          </c:tx>
          <c:spPr>
            <a:ln w="22000">
              <a:solidFill>
                <a:srgbClr val="00A896"/>
              </a:solidFill>
              <a:prstDash val="solid"/>
            </a:ln>
          </c:spPr>
          <c:marker>
            <c:symbol val="none"/>
          </c:marker>
          <c:xVal>
            <c:numRef>
              <c:f>'4 Bondad de ajuste'!$O$5:$O$204</c:f>
              <c:numCache>
                <c:formatCode>0.00</c:formatCode>
                <c:ptCount val="200"/>
                <c:pt idx="0">
                  <c:v>0.55000000000000004</c:v>
                </c:pt>
                <c:pt idx="1">
                  <c:v>0.62</c:v>
                </c:pt>
                <c:pt idx="2">
                  <c:v>0.68</c:v>
                </c:pt>
                <c:pt idx="3">
                  <c:v>0.71</c:v>
                </c:pt>
                <c:pt idx="4">
                  <c:v>0.72</c:v>
                </c:pt>
                <c:pt idx="5">
                  <c:v>0.74</c:v>
                </c:pt>
                <c:pt idx="6">
                  <c:v>0.86</c:v>
                </c:pt>
                <c:pt idx="7">
                  <c:v>1</c:v>
                </c:pt>
                <c:pt idx="8">
                  <c:v>1.02</c:v>
                </c:pt>
                <c:pt idx="9">
                  <c:v>1.1299999999999999</c:v>
                </c:pt>
                <c:pt idx="10">
                  <c:v>1.19</c:v>
                </c:pt>
                <c:pt idx="11">
                  <c:v>1.2</c:v>
                </c:pt>
                <c:pt idx="12">
                  <c:v>1.21</c:v>
                </c:pt>
                <c:pt idx="13">
                  <c:v>1.23</c:v>
                </c:pt>
                <c:pt idx="14">
                  <c:v>1.31</c:v>
                </c:pt>
                <c:pt idx="15">
                  <c:v>1.31</c:v>
                </c:pt>
                <c:pt idx="16">
                  <c:v>1.32</c:v>
                </c:pt>
                <c:pt idx="17">
                  <c:v>1.37</c:v>
                </c:pt>
                <c:pt idx="18">
                  <c:v>1.39</c:v>
                </c:pt>
                <c:pt idx="19">
                  <c:v>1.45</c:v>
                </c:pt>
                <c:pt idx="20">
                  <c:v>1.46</c:v>
                </c:pt>
                <c:pt idx="21">
                  <c:v>1.56</c:v>
                </c:pt>
                <c:pt idx="22">
                  <c:v>1.57</c:v>
                </c:pt>
                <c:pt idx="23">
                  <c:v>1.57</c:v>
                </c:pt>
                <c:pt idx="24">
                  <c:v>1.65</c:v>
                </c:pt>
                <c:pt idx="25">
                  <c:v>1.67</c:v>
                </c:pt>
                <c:pt idx="26">
                  <c:v>1.69</c:v>
                </c:pt>
                <c:pt idx="27">
                  <c:v>1.72</c:v>
                </c:pt>
                <c:pt idx="28">
                  <c:v>1.75</c:v>
                </c:pt>
                <c:pt idx="29">
                  <c:v>1.75</c:v>
                </c:pt>
                <c:pt idx="30">
                  <c:v>1.81</c:v>
                </c:pt>
                <c:pt idx="31">
                  <c:v>1.82</c:v>
                </c:pt>
                <c:pt idx="32">
                  <c:v>1.91</c:v>
                </c:pt>
                <c:pt idx="33">
                  <c:v>1.93</c:v>
                </c:pt>
                <c:pt idx="34">
                  <c:v>1.98</c:v>
                </c:pt>
                <c:pt idx="35">
                  <c:v>2.02</c:v>
                </c:pt>
                <c:pt idx="36">
                  <c:v>2.0499999999999998</c:v>
                </c:pt>
                <c:pt idx="37">
                  <c:v>2.06</c:v>
                </c:pt>
                <c:pt idx="38">
                  <c:v>2.11</c:v>
                </c:pt>
                <c:pt idx="39">
                  <c:v>2.1800000000000002</c:v>
                </c:pt>
                <c:pt idx="40">
                  <c:v>2.19</c:v>
                </c:pt>
                <c:pt idx="41">
                  <c:v>2.21</c:v>
                </c:pt>
                <c:pt idx="42">
                  <c:v>2.27</c:v>
                </c:pt>
                <c:pt idx="43">
                  <c:v>2.27</c:v>
                </c:pt>
                <c:pt idx="44">
                  <c:v>2.36</c:v>
                </c:pt>
                <c:pt idx="45">
                  <c:v>2.36</c:v>
                </c:pt>
                <c:pt idx="46">
                  <c:v>2.37</c:v>
                </c:pt>
                <c:pt idx="47">
                  <c:v>2.39</c:v>
                </c:pt>
                <c:pt idx="48">
                  <c:v>2.39</c:v>
                </c:pt>
                <c:pt idx="49">
                  <c:v>2.41</c:v>
                </c:pt>
                <c:pt idx="50">
                  <c:v>2.41</c:v>
                </c:pt>
                <c:pt idx="51">
                  <c:v>2.42</c:v>
                </c:pt>
                <c:pt idx="52">
                  <c:v>2.44</c:v>
                </c:pt>
                <c:pt idx="53">
                  <c:v>2.61</c:v>
                </c:pt>
                <c:pt idx="54">
                  <c:v>2.61</c:v>
                </c:pt>
                <c:pt idx="55">
                  <c:v>2.63</c:v>
                </c:pt>
                <c:pt idx="56">
                  <c:v>2.63</c:v>
                </c:pt>
                <c:pt idx="57">
                  <c:v>2.64</c:v>
                </c:pt>
                <c:pt idx="58">
                  <c:v>2.67</c:v>
                </c:pt>
                <c:pt idx="59">
                  <c:v>2.72</c:v>
                </c:pt>
                <c:pt idx="60">
                  <c:v>2.73</c:v>
                </c:pt>
                <c:pt idx="61">
                  <c:v>2.74</c:v>
                </c:pt>
                <c:pt idx="62">
                  <c:v>2.82</c:v>
                </c:pt>
                <c:pt idx="63">
                  <c:v>2.88</c:v>
                </c:pt>
                <c:pt idx="64">
                  <c:v>2.9</c:v>
                </c:pt>
                <c:pt idx="65">
                  <c:v>2.92</c:v>
                </c:pt>
                <c:pt idx="66">
                  <c:v>3</c:v>
                </c:pt>
                <c:pt idx="67">
                  <c:v>3.01</c:v>
                </c:pt>
                <c:pt idx="68">
                  <c:v>3.01</c:v>
                </c:pt>
                <c:pt idx="69">
                  <c:v>3.04</c:v>
                </c:pt>
                <c:pt idx="70">
                  <c:v>3.08</c:v>
                </c:pt>
                <c:pt idx="71">
                  <c:v>3.11</c:v>
                </c:pt>
                <c:pt idx="72">
                  <c:v>3.11</c:v>
                </c:pt>
                <c:pt idx="73">
                  <c:v>3.13</c:v>
                </c:pt>
                <c:pt idx="74">
                  <c:v>3.15</c:v>
                </c:pt>
                <c:pt idx="75">
                  <c:v>3.28</c:v>
                </c:pt>
                <c:pt idx="76">
                  <c:v>3.34</c:v>
                </c:pt>
                <c:pt idx="77">
                  <c:v>3.39</c:v>
                </c:pt>
                <c:pt idx="78">
                  <c:v>3.41</c:v>
                </c:pt>
                <c:pt idx="79">
                  <c:v>3.44</c:v>
                </c:pt>
                <c:pt idx="80">
                  <c:v>3.47</c:v>
                </c:pt>
                <c:pt idx="81">
                  <c:v>3.5</c:v>
                </c:pt>
                <c:pt idx="82">
                  <c:v>3.5</c:v>
                </c:pt>
                <c:pt idx="83">
                  <c:v>3.51</c:v>
                </c:pt>
                <c:pt idx="84">
                  <c:v>3.58</c:v>
                </c:pt>
                <c:pt idx="85">
                  <c:v>3.58</c:v>
                </c:pt>
                <c:pt idx="86">
                  <c:v>3.59</c:v>
                </c:pt>
                <c:pt idx="87">
                  <c:v>3.71</c:v>
                </c:pt>
                <c:pt idx="88">
                  <c:v>3.75</c:v>
                </c:pt>
                <c:pt idx="89">
                  <c:v>3.76</c:v>
                </c:pt>
                <c:pt idx="90">
                  <c:v>3.76</c:v>
                </c:pt>
                <c:pt idx="91">
                  <c:v>3.76</c:v>
                </c:pt>
                <c:pt idx="92">
                  <c:v>3.78</c:v>
                </c:pt>
                <c:pt idx="93">
                  <c:v>3.78</c:v>
                </c:pt>
                <c:pt idx="94">
                  <c:v>3.79</c:v>
                </c:pt>
                <c:pt idx="95">
                  <c:v>3.9</c:v>
                </c:pt>
                <c:pt idx="96">
                  <c:v>3.93</c:v>
                </c:pt>
                <c:pt idx="97">
                  <c:v>3.93</c:v>
                </c:pt>
                <c:pt idx="98">
                  <c:v>3.96</c:v>
                </c:pt>
                <c:pt idx="99">
                  <c:v>3.99</c:v>
                </c:pt>
                <c:pt idx="100">
                  <c:v>4.01</c:v>
                </c:pt>
                <c:pt idx="101">
                  <c:v>4.05</c:v>
                </c:pt>
                <c:pt idx="102">
                  <c:v>4.08</c:v>
                </c:pt>
                <c:pt idx="103">
                  <c:v>4.09</c:v>
                </c:pt>
                <c:pt idx="104">
                  <c:v>4.0999999999999996</c:v>
                </c:pt>
                <c:pt idx="105">
                  <c:v>4.1399999999999997</c:v>
                </c:pt>
                <c:pt idx="106">
                  <c:v>4.16</c:v>
                </c:pt>
                <c:pt idx="107">
                  <c:v>4.17</c:v>
                </c:pt>
                <c:pt idx="108">
                  <c:v>4.1900000000000004</c:v>
                </c:pt>
                <c:pt idx="109">
                  <c:v>4.22</c:v>
                </c:pt>
                <c:pt idx="110">
                  <c:v>4.2300000000000004</c:v>
                </c:pt>
                <c:pt idx="111">
                  <c:v>4.25</c:v>
                </c:pt>
                <c:pt idx="112">
                  <c:v>4.3099999999999996</c:v>
                </c:pt>
                <c:pt idx="113">
                  <c:v>4.32</c:v>
                </c:pt>
                <c:pt idx="114">
                  <c:v>4.34</c:v>
                </c:pt>
                <c:pt idx="115">
                  <c:v>4.3600000000000003</c:v>
                </c:pt>
                <c:pt idx="116">
                  <c:v>4.37</c:v>
                </c:pt>
                <c:pt idx="117">
                  <c:v>4.4000000000000004</c:v>
                </c:pt>
                <c:pt idx="118">
                  <c:v>4.45</c:v>
                </c:pt>
                <c:pt idx="119">
                  <c:v>4.45</c:v>
                </c:pt>
                <c:pt idx="120">
                  <c:v>4.47</c:v>
                </c:pt>
                <c:pt idx="121">
                  <c:v>4.4800000000000004</c:v>
                </c:pt>
                <c:pt idx="122">
                  <c:v>4.5</c:v>
                </c:pt>
                <c:pt idx="123">
                  <c:v>4.51</c:v>
                </c:pt>
                <c:pt idx="124">
                  <c:v>4.5199999999999996</c:v>
                </c:pt>
                <c:pt idx="125">
                  <c:v>4.55</c:v>
                </c:pt>
                <c:pt idx="126">
                  <c:v>4.5599999999999996</c:v>
                </c:pt>
                <c:pt idx="127">
                  <c:v>4.58</c:v>
                </c:pt>
                <c:pt idx="128">
                  <c:v>4.58</c:v>
                </c:pt>
                <c:pt idx="129">
                  <c:v>4.6500000000000004</c:v>
                </c:pt>
                <c:pt idx="130">
                  <c:v>4.6900000000000004</c:v>
                </c:pt>
                <c:pt idx="131">
                  <c:v>4.78</c:v>
                </c:pt>
                <c:pt idx="132">
                  <c:v>4.8099999999999996</c:v>
                </c:pt>
                <c:pt idx="133">
                  <c:v>4.92</c:v>
                </c:pt>
                <c:pt idx="134">
                  <c:v>4.93</c:v>
                </c:pt>
                <c:pt idx="135">
                  <c:v>5</c:v>
                </c:pt>
                <c:pt idx="136">
                  <c:v>5.1100000000000003</c:v>
                </c:pt>
                <c:pt idx="137">
                  <c:v>5.27</c:v>
                </c:pt>
                <c:pt idx="138">
                  <c:v>5.34</c:v>
                </c:pt>
                <c:pt idx="139">
                  <c:v>5.4</c:v>
                </c:pt>
                <c:pt idx="140">
                  <c:v>5.41</c:v>
                </c:pt>
                <c:pt idx="141">
                  <c:v>5.44</c:v>
                </c:pt>
                <c:pt idx="142">
                  <c:v>5.49</c:v>
                </c:pt>
                <c:pt idx="143">
                  <c:v>5.55</c:v>
                </c:pt>
                <c:pt idx="144">
                  <c:v>5.58</c:v>
                </c:pt>
                <c:pt idx="145">
                  <c:v>5.59</c:v>
                </c:pt>
                <c:pt idx="146">
                  <c:v>5.64</c:v>
                </c:pt>
                <c:pt idx="147">
                  <c:v>5.81</c:v>
                </c:pt>
                <c:pt idx="148">
                  <c:v>5.94</c:v>
                </c:pt>
                <c:pt idx="149">
                  <c:v>5.95</c:v>
                </c:pt>
                <c:pt idx="150">
                  <c:v>6</c:v>
                </c:pt>
                <c:pt idx="151">
                  <c:v>6</c:v>
                </c:pt>
                <c:pt idx="152">
                  <c:v>6.05</c:v>
                </c:pt>
                <c:pt idx="153">
                  <c:v>6.17</c:v>
                </c:pt>
                <c:pt idx="154">
                  <c:v>6.18</c:v>
                </c:pt>
                <c:pt idx="155">
                  <c:v>6.26</c:v>
                </c:pt>
                <c:pt idx="156">
                  <c:v>6.29</c:v>
                </c:pt>
                <c:pt idx="157">
                  <c:v>6.55</c:v>
                </c:pt>
                <c:pt idx="158">
                  <c:v>6.61</c:v>
                </c:pt>
                <c:pt idx="159">
                  <c:v>6.61</c:v>
                </c:pt>
                <c:pt idx="160">
                  <c:v>6.62</c:v>
                </c:pt>
                <c:pt idx="161">
                  <c:v>6.66</c:v>
                </c:pt>
                <c:pt idx="162">
                  <c:v>6.67</c:v>
                </c:pt>
                <c:pt idx="163">
                  <c:v>6.7</c:v>
                </c:pt>
                <c:pt idx="164">
                  <c:v>6.76</c:v>
                </c:pt>
                <c:pt idx="165">
                  <c:v>6.88</c:v>
                </c:pt>
                <c:pt idx="166">
                  <c:v>6.91</c:v>
                </c:pt>
                <c:pt idx="167">
                  <c:v>6.96</c:v>
                </c:pt>
                <c:pt idx="168">
                  <c:v>7.05</c:v>
                </c:pt>
                <c:pt idx="169">
                  <c:v>7.06</c:v>
                </c:pt>
                <c:pt idx="170">
                  <c:v>7.31</c:v>
                </c:pt>
                <c:pt idx="171">
                  <c:v>7.33</c:v>
                </c:pt>
                <c:pt idx="172">
                  <c:v>7.4</c:v>
                </c:pt>
                <c:pt idx="173">
                  <c:v>7.45</c:v>
                </c:pt>
                <c:pt idx="174">
                  <c:v>7.49</c:v>
                </c:pt>
                <c:pt idx="175">
                  <c:v>7.65</c:v>
                </c:pt>
                <c:pt idx="176">
                  <c:v>7.77</c:v>
                </c:pt>
                <c:pt idx="177">
                  <c:v>7.84</c:v>
                </c:pt>
                <c:pt idx="178">
                  <c:v>8</c:v>
                </c:pt>
                <c:pt idx="179">
                  <c:v>8.1199999999999992</c:v>
                </c:pt>
                <c:pt idx="180">
                  <c:v>8.23</c:v>
                </c:pt>
                <c:pt idx="181">
                  <c:v>8.27</c:v>
                </c:pt>
                <c:pt idx="182">
                  <c:v>8.59</c:v>
                </c:pt>
                <c:pt idx="183">
                  <c:v>8.65</c:v>
                </c:pt>
                <c:pt idx="184">
                  <c:v>8.6999999999999993</c:v>
                </c:pt>
                <c:pt idx="185">
                  <c:v>8.86</c:v>
                </c:pt>
                <c:pt idx="186">
                  <c:v>9.56</c:v>
                </c:pt>
                <c:pt idx="187">
                  <c:v>10.11</c:v>
                </c:pt>
                <c:pt idx="188">
                  <c:v>10.31</c:v>
                </c:pt>
                <c:pt idx="189">
                  <c:v>10.34</c:v>
                </c:pt>
                <c:pt idx="190">
                  <c:v>10.48</c:v>
                </c:pt>
                <c:pt idx="191">
                  <c:v>10.5</c:v>
                </c:pt>
                <c:pt idx="192">
                  <c:v>10.54</c:v>
                </c:pt>
                <c:pt idx="193">
                  <c:v>10.55</c:v>
                </c:pt>
                <c:pt idx="194">
                  <c:v>11.64</c:v>
                </c:pt>
                <c:pt idx="195">
                  <c:v>12.5</c:v>
                </c:pt>
                <c:pt idx="196">
                  <c:v>13.29</c:v>
                </c:pt>
                <c:pt idx="197">
                  <c:v>13.39</c:v>
                </c:pt>
                <c:pt idx="198">
                  <c:v>14.87</c:v>
                </c:pt>
                <c:pt idx="199">
                  <c:v>14.96</c:v>
                </c:pt>
              </c:numCache>
            </c:numRef>
          </c:xVal>
          <c:yVal>
            <c:numRef>
              <c:f>'4 Bondad de ajuste'!$P$5:$P$204</c:f>
              <c:numCache>
                <c:formatCode>0.0000</c:formatCode>
                <c:ptCount val="200"/>
                <c:pt idx="0">
                  <c:v>1.1674060841402049E-2</c:v>
                </c:pt>
                <c:pt idx="1">
                  <c:v>1.5406644684579274E-2</c:v>
                </c:pt>
                <c:pt idx="2">
                  <c:v>1.9036795830897586E-2</c:v>
                </c:pt>
                <c:pt idx="3">
                  <c:v>2.0999529838112568E-2</c:v>
                </c:pt>
                <c:pt idx="4">
                  <c:v>2.1675468853026323E-2</c:v>
                </c:pt>
                <c:pt idx="5">
                  <c:v>2.3059699892244167E-2</c:v>
                </c:pt>
                <c:pt idx="6">
                  <c:v>3.2255459624220224E-2</c:v>
                </c:pt>
                <c:pt idx="7">
                  <c:v>4.4837904319261213E-2</c:v>
                </c:pt>
                <c:pt idx="8">
                  <c:v>4.6790873114735496E-2</c:v>
                </c:pt>
                <c:pt idx="9">
                  <c:v>5.8190738058743613E-2</c:v>
                </c:pt>
                <c:pt idx="10">
                  <c:v>6.4859228103048838E-2</c:v>
                </c:pt>
                <c:pt idx="11">
                  <c:v>6.6000260853960727E-2</c:v>
                </c:pt>
                <c:pt idx="12">
                  <c:v>6.7149588679194142E-2</c:v>
                </c:pt>
                <c:pt idx="13">
                  <c:v>6.9472876861493255E-2</c:v>
                </c:pt>
                <c:pt idx="14">
                  <c:v>7.908512963441669E-2</c:v>
                </c:pt>
                <c:pt idx="15">
                  <c:v>7.908512963441669E-2</c:v>
                </c:pt>
                <c:pt idx="16">
                  <c:v>8.0321503679851081E-2</c:v>
                </c:pt>
                <c:pt idx="17">
                  <c:v>8.6615008540560506E-2</c:v>
                </c:pt>
                <c:pt idx="18">
                  <c:v>8.9183300589247824E-2</c:v>
                </c:pt>
                <c:pt idx="19">
                  <c:v>9.7055931081525146E-2</c:v>
                </c:pt>
                <c:pt idx="20">
                  <c:v>9.8391821494876075E-2</c:v>
                </c:pt>
                <c:pt idx="21">
                  <c:v>0.11210440614742236</c:v>
                </c:pt>
                <c:pt idx="22">
                  <c:v>0.11350962130568043</c:v>
                </c:pt>
                <c:pt idx="23">
                  <c:v>0.11350962130568043</c:v>
                </c:pt>
                <c:pt idx="24">
                  <c:v>0.12495908982292402</c:v>
                </c:pt>
                <c:pt idx="25">
                  <c:v>0.12787685368018206</c:v>
                </c:pt>
                <c:pt idx="26">
                  <c:v>0.13081577532732797</c:v>
                </c:pt>
                <c:pt idx="27">
                  <c:v>0.13526274424125492</c:v>
                </c:pt>
                <c:pt idx="28">
                  <c:v>0.13975453998447002</c:v>
                </c:pt>
                <c:pt idx="29">
                  <c:v>0.13975453998447002</c:v>
                </c:pt>
                <c:pt idx="30">
                  <c:v>0.14886603504370066</c:v>
                </c:pt>
                <c:pt idx="31">
                  <c:v>0.1504004944884075</c:v>
                </c:pt>
                <c:pt idx="32">
                  <c:v>0.16440053120089451</c:v>
                </c:pt>
                <c:pt idx="33">
                  <c:v>0.16755550494848154</c:v>
                </c:pt>
                <c:pt idx="34">
                  <c:v>0.1755073551811426</c:v>
                </c:pt>
                <c:pt idx="35">
                  <c:v>0.18193138451333857</c:v>
                </c:pt>
                <c:pt idx="36">
                  <c:v>0.18678357030031134</c:v>
                </c:pt>
                <c:pt idx="37">
                  <c:v>0.18840718225168132</c:v>
                </c:pt>
                <c:pt idx="38">
                  <c:v>0.19656945149946853</c:v>
                </c:pt>
                <c:pt idx="39">
                  <c:v>0.20811083294502386</c:v>
                </c:pt>
                <c:pt idx="40">
                  <c:v>0.20976958163209555</c:v>
                </c:pt>
                <c:pt idx="41">
                  <c:v>0.21309405651585006</c:v>
                </c:pt>
                <c:pt idx="42">
                  <c:v>0.22311972475484773</c:v>
                </c:pt>
                <c:pt idx="43">
                  <c:v>0.22311972475484773</c:v>
                </c:pt>
                <c:pt idx="44">
                  <c:v>0.23828662636779935</c:v>
                </c:pt>
                <c:pt idx="45">
                  <c:v>0.23828662636779935</c:v>
                </c:pt>
                <c:pt idx="46">
                  <c:v>0.23998008898520096</c:v>
                </c:pt>
                <c:pt idx="47">
                  <c:v>0.24337141282990676</c:v>
                </c:pt>
                <c:pt idx="48">
                  <c:v>0.24337141282990676</c:v>
                </c:pt>
                <c:pt idx="49">
                  <c:v>0.24676830107862643</c:v>
                </c:pt>
                <c:pt idx="50">
                  <c:v>0.24676830107862643</c:v>
                </c:pt>
                <c:pt idx="51">
                  <c:v>0.24846872022378727</c:v>
                </c:pt>
                <c:pt idx="52">
                  <c:v>0.2518732876802115</c:v>
                </c:pt>
                <c:pt idx="53">
                  <c:v>0.28096691353244185</c:v>
                </c:pt>
                <c:pt idx="54">
                  <c:v>0.28096691353244185</c:v>
                </c:pt>
                <c:pt idx="55">
                  <c:v>0.28440242699261831</c:v>
                </c:pt>
                <c:pt idx="56">
                  <c:v>0.28440242699261831</c:v>
                </c:pt>
                <c:pt idx="57">
                  <c:v>0.28612079196881884</c:v>
                </c:pt>
                <c:pt idx="58">
                  <c:v>0.29127786186246823</c:v>
                </c:pt>
                <c:pt idx="59">
                  <c:v>0.2998773151716817</c:v>
                </c:pt>
                <c:pt idx="60">
                  <c:v>0.30159752532620787</c:v>
                </c:pt>
                <c:pt idx="61">
                  <c:v>0.30331775768537356</c:v>
                </c:pt>
                <c:pt idx="62">
                  <c:v>0.31707619786028984</c:v>
                </c:pt>
                <c:pt idx="63">
                  <c:v>0.32738387392653356</c:v>
                </c:pt>
                <c:pt idx="64">
                  <c:v>0.33081623167021207</c:v>
                </c:pt>
                <c:pt idx="65">
                  <c:v>0.33424639685186641</c:v>
                </c:pt>
                <c:pt idx="66">
                  <c:v>0.34794020522065605</c:v>
                </c:pt>
                <c:pt idx="67">
                  <c:v>0.34964841542134334</c:v>
                </c:pt>
                <c:pt idx="68">
                  <c:v>0.34964841542134334</c:v>
                </c:pt>
                <c:pt idx="69">
                  <c:v>0.3547676586097428</c:v>
                </c:pt>
                <c:pt idx="70">
                  <c:v>0.36157969291248115</c:v>
                </c:pt>
                <c:pt idx="71">
                  <c:v>0.3666775369689883</c:v>
                </c:pt>
                <c:pt idx="72">
                  <c:v>0.3666775369689883</c:v>
                </c:pt>
                <c:pt idx="73">
                  <c:v>0.37007037231906759</c:v>
                </c:pt>
                <c:pt idx="74">
                  <c:v>0.37345838109938539</c:v>
                </c:pt>
                <c:pt idx="75">
                  <c:v>0.3953489299566067</c:v>
                </c:pt>
                <c:pt idx="76">
                  <c:v>0.40536587556407694</c:v>
                </c:pt>
                <c:pt idx="77">
                  <c:v>0.41366672186840031</c:v>
                </c:pt>
                <c:pt idx="78">
                  <c:v>0.41697455788452709</c:v>
                </c:pt>
                <c:pt idx="79">
                  <c:v>0.42192241050864571</c:v>
                </c:pt>
                <c:pt idx="80">
                  <c:v>0.42685311146557403</c:v>
                </c:pt>
                <c:pt idx="81">
                  <c:v>0.43176614666826679</c:v>
                </c:pt>
                <c:pt idx="82">
                  <c:v>0.43176614666826679</c:v>
                </c:pt>
                <c:pt idx="83">
                  <c:v>0.43339981276519873</c:v>
                </c:pt>
                <c:pt idx="84">
                  <c:v>0.44477746722403394</c:v>
                </c:pt>
                <c:pt idx="85">
                  <c:v>0.44477746722403394</c:v>
                </c:pt>
                <c:pt idx="86">
                  <c:v>0.44639435173721925</c:v>
                </c:pt>
                <c:pt idx="87">
                  <c:v>0.46562281600451416</c:v>
                </c:pt>
                <c:pt idx="88">
                  <c:v>0.47195808724887656</c:v>
                </c:pt>
                <c:pt idx="89">
                  <c:v>0.47353590148950747</c:v>
                </c:pt>
                <c:pt idx="90">
                  <c:v>0.47353590148950747</c:v>
                </c:pt>
                <c:pt idx="91">
                  <c:v>0.47353590148950747</c:v>
                </c:pt>
                <c:pt idx="92">
                  <c:v>0.47668422985560144</c:v>
                </c:pt>
                <c:pt idx="93">
                  <c:v>0.47668422985560144</c:v>
                </c:pt>
                <c:pt idx="94">
                  <c:v>0.47825471726513186</c:v>
                </c:pt>
                <c:pt idx="95">
                  <c:v>0.49536437404969036</c:v>
                </c:pt>
                <c:pt idx="96">
                  <c:v>0.49997665214194048</c:v>
                </c:pt>
                <c:pt idx="97">
                  <c:v>0.49997665214194048</c:v>
                </c:pt>
                <c:pt idx="98">
                  <c:v>0.50456521069388416</c:v>
                </c:pt>
                <c:pt idx="99">
                  <c:v>0.50912976298618939</c:v>
                </c:pt>
                <c:pt idx="100">
                  <c:v>0.51215932484079496</c:v>
                </c:pt>
                <c:pt idx="101">
                  <c:v>0.51818576119290283</c:v>
                </c:pt>
                <c:pt idx="102">
                  <c:v>0.52267669227801183</c:v>
                </c:pt>
                <c:pt idx="103">
                  <c:v>0.52416811722560097</c:v>
                </c:pt>
                <c:pt idx="104">
                  <c:v>0.52565675163296932</c:v>
                </c:pt>
                <c:pt idx="105">
                  <c:v>0.53158321593500768</c:v>
                </c:pt>
                <c:pt idx="106">
                  <c:v>0.53452949026599572</c:v>
                </c:pt>
                <c:pt idx="107">
                  <c:v>0.5359983604405355</c:v>
                </c:pt>
                <c:pt idx="108">
                  <c:v>0.53892752892946483</c:v>
                </c:pt>
                <c:pt idx="109">
                  <c:v>0.54329974220553845</c:v>
                </c:pt>
                <c:pt idx="110">
                  <c:v>0.54475137437606258</c:v>
                </c:pt>
                <c:pt idx="111">
                  <c:v>0.54764593922959337</c:v>
                </c:pt>
                <c:pt idx="112">
                  <c:v>0.55625957100744661</c:v>
                </c:pt>
                <c:pt idx="113">
                  <c:v>0.55768489387625308</c:v>
                </c:pt>
                <c:pt idx="114">
                  <c:v>0.56052667336251216</c:v>
                </c:pt>
                <c:pt idx="115">
                  <c:v>0.56335659423532958</c:v>
                </c:pt>
                <c:pt idx="116">
                  <c:v>0.56476709426428162</c:v>
                </c:pt>
                <c:pt idx="117">
                  <c:v>0.56898069096725723</c:v>
                </c:pt>
                <c:pt idx="118">
                  <c:v>0.57594338362441722</c:v>
                </c:pt>
                <c:pt idx="119">
                  <c:v>0.57594338362441722</c:v>
                </c:pt>
                <c:pt idx="120">
                  <c:v>0.57870736565482483</c:v>
                </c:pt>
                <c:pt idx="121">
                  <c:v>0.58008481929560096</c:v>
                </c:pt>
                <c:pt idx="122">
                  <c:v>0.58283063186976547</c:v>
                </c:pt>
                <c:pt idx="123">
                  <c:v>0.58419898312771279</c:v>
                </c:pt>
                <c:pt idx="124">
                  <c:v>0.58556429275192445</c:v>
                </c:pt>
                <c:pt idx="125">
                  <c:v>0.58964193647142404</c:v>
                </c:pt>
                <c:pt idx="126">
                  <c:v>0.59099504470584208</c:v>
                </c:pt>
                <c:pt idx="127">
                  <c:v>0.59369208237747206</c:v>
                </c:pt>
                <c:pt idx="128">
                  <c:v>0.59369208237747206</c:v>
                </c:pt>
                <c:pt idx="129">
                  <c:v>0.6030350320286737</c:v>
                </c:pt>
                <c:pt idx="130">
                  <c:v>0.6083060907362523</c:v>
                </c:pt>
                <c:pt idx="131">
                  <c:v>0.6199849558267162</c:v>
                </c:pt>
                <c:pt idx="132">
                  <c:v>0.62382206144730867</c:v>
                </c:pt>
                <c:pt idx="133">
                  <c:v>0.63765193036467838</c:v>
                </c:pt>
                <c:pt idx="134">
                  <c:v>0.63889051066239877</c:v>
                </c:pt>
                <c:pt idx="135">
                  <c:v>0.64747337057776755</c:v>
                </c:pt>
                <c:pt idx="136">
                  <c:v>0.66065263700359478</c:v>
                </c:pt>
                <c:pt idx="137">
                  <c:v>0.67915260881921014</c:v>
                </c:pt>
                <c:pt idx="138">
                  <c:v>0.68699812077595679</c:v>
                </c:pt>
                <c:pt idx="139">
                  <c:v>0.6936033833420725</c:v>
                </c:pt>
                <c:pt idx="140">
                  <c:v>0.69469358022572369</c:v>
                </c:pt>
                <c:pt idx="141">
                  <c:v>0.69794591587011467</c:v>
                </c:pt>
                <c:pt idx="142">
                  <c:v>0.70330579727549514</c:v>
                </c:pt>
                <c:pt idx="143">
                  <c:v>0.70963800294704837</c:v>
                </c:pt>
                <c:pt idx="144">
                  <c:v>0.7127635412043799</c:v>
                </c:pt>
                <c:pt idx="145">
                  <c:v>0.7137994001246063</c:v>
                </c:pt>
                <c:pt idx="146">
                  <c:v>0.71893394871950567</c:v>
                </c:pt>
                <c:pt idx="147">
                  <c:v>0.73583894137352845</c:v>
                </c:pt>
                <c:pt idx="148">
                  <c:v>0.74819936251220898</c:v>
                </c:pt>
                <c:pt idx="149">
                  <c:v>0.74913012450045535</c:v>
                </c:pt>
                <c:pt idx="150">
                  <c:v>0.75374142481205419</c:v>
                </c:pt>
                <c:pt idx="151">
                  <c:v>0.75374142481205419</c:v>
                </c:pt>
                <c:pt idx="152">
                  <c:v>0.7582823064426254</c:v>
                </c:pt>
                <c:pt idx="153">
                  <c:v>0.76889672369888196</c:v>
                </c:pt>
                <c:pt idx="154">
                  <c:v>0.76976337245761672</c:v>
                </c:pt>
                <c:pt idx="155">
                  <c:v>0.77659877824390411</c:v>
                </c:pt>
                <c:pt idx="156">
                  <c:v>0.77911757878122279</c:v>
                </c:pt>
                <c:pt idx="157">
                  <c:v>0.79995563454116536</c:v>
                </c:pt>
                <c:pt idx="158">
                  <c:v>0.80451801854724103</c:v>
                </c:pt>
                <c:pt idx="159">
                  <c:v>0.80451801854724103</c:v>
                </c:pt>
                <c:pt idx="160">
                  <c:v>0.80526964557733272</c:v>
                </c:pt>
                <c:pt idx="161">
                  <c:v>0.80825130138742995</c:v>
                </c:pt>
                <c:pt idx="162">
                  <c:v>0.80899053041649538</c:v>
                </c:pt>
                <c:pt idx="163">
                  <c:v>0.81119346400858661</c:v>
                </c:pt>
                <c:pt idx="164">
                  <c:v>0.81553345033671343</c:v>
                </c:pt>
                <c:pt idx="165">
                  <c:v>0.82395420248089024</c:v>
                </c:pt>
                <c:pt idx="166">
                  <c:v>0.82600628639275797</c:v>
                </c:pt>
                <c:pt idx="167">
                  <c:v>0.82937998716280248</c:v>
                </c:pt>
                <c:pt idx="168">
                  <c:v>0.83530841732877315</c:v>
                </c:pt>
                <c:pt idx="169">
                  <c:v>0.83595582866204365</c:v>
                </c:pt>
                <c:pt idx="170">
                  <c:v>0.85142820614165804</c:v>
                </c:pt>
                <c:pt idx="171">
                  <c:v>0.85260821578530477</c:v>
                </c:pt>
                <c:pt idx="172">
                  <c:v>0.85667287898927214</c:v>
                </c:pt>
                <c:pt idx="173">
                  <c:v>0.85951474766026537</c:v>
                </c:pt>
                <c:pt idx="174">
                  <c:v>0.86175190892407894</c:v>
                </c:pt>
                <c:pt idx="175">
                  <c:v>0.87038508659332792</c:v>
                </c:pt>
                <c:pt idx="176">
                  <c:v>0.87653871383761417</c:v>
                </c:pt>
                <c:pt idx="177">
                  <c:v>0.88000544086615806</c:v>
                </c:pt>
                <c:pt idx="178">
                  <c:v>0.88760099921856317</c:v>
                </c:pt>
                <c:pt idx="179">
                  <c:v>0.89300827557190821</c:v>
                </c:pt>
                <c:pt idx="180">
                  <c:v>0.89775563994981078</c:v>
                </c:pt>
                <c:pt idx="181">
                  <c:v>0.89943370259809352</c:v>
                </c:pt>
                <c:pt idx="182">
                  <c:v>0.91197683092666626</c:v>
                </c:pt>
                <c:pt idx="183">
                  <c:v>0.91416198918942659</c:v>
                </c:pt>
                <c:pt idx="184">
                  <c:v>0.91594461633674285</c:v>
                </c:pt>
                <c:pt idx="185">
                  <c:v>0.92142175136189386</c:v>
                </c:pt>
                <c:pt idx="186">
                  <c:v>0.94170766549402884</c:v>
                </c:pt>
                <c:pt idx="187">
                  <c:v>0.95408453695946138</c:v>
                </c:pt>
                <c:pt idx="188">
                  <c:v>0.95793558489664488</c:v>
                </c:pt>
                <c:pt idx="189">
                  <c:v>0.95848617889484555</c:v>
                </c:pt>
                <c:pt idx="190">
                  <c:v>0.96096655749987869</c:v>
                </c:pt>
                <c:pt idx="191">
                  <c:v>0.96130920972052425</c:v>
                </c:pt>
                <c:pt idx="192">
                  <c:v>0.96198597075032699</c:v>
                </c:pt>
                <c:pt idx="193">
                  <c:v>0.96215339706024627</c:v>
                </c:pt>
                <c:pt idx="194">
                  <c:v>0.97673852730042066</c:v>
                </c:pt>
                <c:pt idx="195">
                  <c:v>0.9842689566254299</c:v>
                </c:pt>
                <c:pt idx="196">
                  <c:v>0.98907068071850857</c:v>
                </c:pt>
                <c:pt idx="197">
                  <c:v>0.98956628151741155</c:v>
                </c:pt>
                <c:pt idx="198">
                  <c:v>0.99478810373649273</c:v>
                </c:pt>
                <c:pt idx="199">
                  <c:v>0.99500556621605574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F8-4611-8CB8-BB44A709E7E5}"/>
            </c:ext>
          </c:extLst>
        </c:ser>
        <c:ser>
          <c:idx val="1"/>
          <c:order val="1"/>
          <c:tx>
            <c:v>F empírica</c:v>
          </c:tx>
          <c:spPr>
            <a:ln>
              <a:noFill/>
              <a:prstDash val="solid"/>
            </a:ln>
          </c:spPr>
          <c:marker>
            <c:symbol val="circle"/>
            <c:size val="3"/>
            <c:spPr>
              <a:solidFill>
                <a:srgbClr val="6C4AB6"/>
              </a:solidFill>
              <a:ln>
                <a:solidFill>
                  <a:srgbClr val="6C4AB6"/>
                </a:solidFill>
                <a:prstDash val="solid"/>
              </a:ln>
            </c:spPr>
          </c:marker>
          <c:xVal>
            <c:numRef>
              <c:f>'4 Bondad de ajuste'!$O$5:$O$204</c:f>
              <c:numCache>
                <c:formatCode>0.00</c:formatCode>
                <c:ptCount val="200"/>
                <c:pt idx="0">
                  <c:v>0.55000000000000004</c:v>
                </c:pt>
                <c:pt idx="1">
                  <c:v>0.62</c:v>
                </c:pt>
                <c:pt idx="2">
                  <c:v>0.68</c:v>
                </c:pt>
                <c:pt idx="3">
                  <c:v>0.71</c:v>
                </c:pt>
                <c:pt idx="4">
                  <c:v>0.72</c:v>
                </c:pt>
                <c:pt idx="5">
                  <c:v>0.74</c:v>
                </c:pt>
                <c:pt idx="6">
                  <c:v>0.86</c:v>
                </c:pt>
                <c:pt idx="7">
                  <c:v>1</c:v>
                </c:pt>
                <c:pt idx="8">
                  <c:v>1.02</c:v>
                </c:pt>
                <c:pt idx="9">
                  <c:v>1.1299999999999999</c:v>
                </c:pt>
                <c:pt idx="10">
                  <c:v>1.19</c:v>
                </c:pt>
                <c:pt idx="11">
                  <c:v>1.2</c:v>
                </c:pt>
                <c:pt idx="12">
                  <c:v>1.21</c:v>
                </c:pt>
                <c:pt idx="13">
                  <c:v>1.23</c:v>
                </c:pt>
                <c:pt idx="14">
                  <c:v>1.31</c:v>
                </c:pt>
                <c:pt idx="15">
                  <c:v>1.31</c:v>
                </c:pt>
                <c:pt idx="16">
                  <c:v>1.32</c:v>
                </c:pt>
                <c:pt idx="17">
                  <c:v>1.37</c:v>
                </c:pt>
                <c:pt idx="18">
                  <c:v>1.39</c:v>
                </c:pt>
                <c:pt idx="19">
                  <c:v>1.45</c:v>
                </c:pt>
                <c:pt idx="20">
                  <c:v>1.46</c:v>
                </c:pt>
                <c:pt idx="21">
                  <c:v>1.56</c:v>
                </c:pt>
                <c:pt idx="22">
                  <c:v>1.57</c:v>
                </c:pt>
                <c:pt idx="23">
                  <c:v>1.57</c:v>
                </c:pt>
                <c:pt idx="24">
                  <c:v>1.65</c:v>
                </c:pt>
                <c:pt idx="25">
                  <c:v>1.67</c:v>
                </c:pt>
                <c:pt idx="26">
                  <c:v>1.69</c:v>
                </c:pt>
                <c:pt idx="27">
                  <c:v>1.72</c:v>
                </c:pt>
                <c:pt idx="28">
                  <c:v>1.75</c:v>
                </c:pt>
                <c:pt idx="29">
                  <c:v>1.75</c:v>
                </c:pt>
                <c:pt idx="30">
                  <c:v>1.81</c:v>
                </c:pt>
                <c:pt idx="31">
                  <c:v>1.82</c:v>
                </c:pt>
                <c:pt idx="32">
                  <c:v>1.91</c:v>
                </c:pt>
                <c:pt idx="33">
                  <c:v>1.93</c:v>
                </c:pt>
                <c:pt idx="34">
                  <c:v>1.98</c:v>
                </c:pt>
                <c:pt idx="35">
                  <c:v>2.02</c:v>
                </c:pt>
                <c:pt idx="36">
                  <c:v>2.0499999999999998</c:v>
                </c:pt>
                <c:pt idx="37">
                  <c:v>2.06</c:v>
                </c:pt>
                <c:pt idx="38">
                  <c:v>2.11</c:v>
                </c:pt>
                <c:pt idx="39">
                  <c:v>2.1800000000000002</c:v>
                </c:pt>
                <c:pt idx="40">
                  <c:v>2.19</c:v>
                </c:pt>
                <c:pt idx="41">
                  <c:v>2.21</c:v>
                </c:pt>
                <c:pt idx="42">
                  <c:v>2.27</c:v>
                </c:pt>
                <c:pt idx="43">
                  <c:v>2.27</c:v>
                </c:pt>
                <c:pt idx="44">
                  <c:v>2.36</c:v>
                </c:pt>
                <c:pt idx="45">
                  <c:v>2.36</c:v>
                </c:pt>
                <c:pt idx="46">
                  <c:v>2.37</c:v>
                </c:pt>
                <c:pt idx="47">
                  <c:v>2.39</c:v>
                </c:pt>
                <c:pt idx="48">
                  <c:v>2.39</c:v>
                </c:pt>
                <c:pt idx="49">
                  <c:v>2.41</c:v>
                </c:pt>
                <c:pt idx="50">
                  <c:v>2.41</c:v>
                </c:pt>
                <c:pt idx="51">
                  <c:v>2.42</c:v>
                </c:pt>
                <c:pt idx="52">
                  <c:v>2.44</c:v>
                </c:pt>
                <c:pt idx="53">
                  <c:v>2.61</c:v>
                </c:pt>
                <c:pt idx="54">
                  <c:v>2.61</c:v>
                </c:pt>
                <c:pt idx="55">
                  <c:v>2.63</c:v>
                </c:pt>
                <c:pt idx="56">
                  <c:v>2.63</c:v>
                </c:pt>
                <c:pt idx="57">
                  <c:v>2.64</c:v>
                </c:pt>
                <c:pt idx="58">
                  <c:v>2.67</c:v>
                </c:pt>
                <c:pt idx="59">
                  <c:v>2.72</c:v>
                </c:pt>
                <c:pt idx="60">
                  <c:v>2.73</c:v>
                </c:pt>
                <c:pt idx="61">
                  <c:v>2.74</c:v>
                </c:pt>
                <c:pt idx="62">
                  <c:v>2.82</c:v>
                </c:pt>
                <c:pt idx="63">
                  <c:v>2.88</c:v>
                </c:pt>
                <c:pt idx="64">
                  <c:v>2.9</c:v>
                </c:pt>
                <c:pt idx="65">
                  <c:v>2.92</c:v>
                </c:pt>
                <c:pt idx="66">
                  <c:v>3</c:v>
                </c:pt>
                <c:pt idx="67">
                  <c:v>3.01</c:v>
                </c:pt>
                <c:pt idx="68">
                  <c:v>3.01</c:v>
                </c:pt>
                <c:pt idx="69">
                  <c:v>3.04</c:v>
                </c:pt>
                <c:pt idx="70">
                  <c:v>3.08</c:v>
                </c:pt>
                <c:pt idx="71">
                  <c:v>3.11</c:v>
                </c:pt>
                <c:pt idx="72">
                  <c:v>3.11</c:v>
                </c:pt>
                <c:pt idx="73">
                  <c:v>3.13</c:v>
                </c:pt>
                <c:pt idx="74">
                  <c:v>3.15</c:v>
                </c:pt>
                <c:pt idx="75">
                  <c:v>3.28</c:v>
                </c:pt>
                <c:pt idx="76">
                  <c:v>3.34</c:v>
                </c:pt>
                <c:pt idx="77">
                  <c:v>3.39</c:v>
                </c:pt>
                <c:pt idx="78">
                  <c:v>3.41</c:v>
                </c:pt>
                <c:pt idx="79">
                  <c:v>3.44</c:v>
                </c:pt>
                <c:pt idx="80">
                  <c:v>3.47</c:v>
                </c:pt>
                <c:pt idx="81">
                  <c:v>3.5</c:v>
                </c:pt>
                <c:pt idx="82">
                  <c:v>3.5</c:v>
                </c:pt>
                <c:pt idx="83">
                  <c:v>3.51</c:v>
                </c:pt>
                <c:pt idx="84">
                  <c:v>3.58</c:v>
                </c:pt>
                <c:pt idx="85">
                  <c:v>3.58</c:v>
                </c:pt>
                <c:pt idx="86">
                  <c:v>3.59</c:v>
                </c:pt>
                <c:pt idx="87">
                  <c:v>3.71</c:v>
                </c:pt>
                <c:pt idx="88">
                  <c:v>3.75</c:v>
                </c:pt>
                <c:pt idx="89">
                  <c:v>3.76</c:v>
                </c:pt>
                <c:pt idx="90">
                  <c:v>3.76</c:v>
                </c:pt>
                <c:pt idx="91">
                  <c:v>3.76</c:v>
                </c:pt>
                <c:pt idx="92">
                  <c:v>3.78</c:v>
                </c:pt>
                <c:pt idx="93">
                  <c:v>3.78</c:v>
                </c:pt>
                <c:pt idx="94">
                  <c:v>3.79</c:v>
                </c:pt>
                <c:pt idx="95">
                  <c:v>3.9</c:v>
                </c:pt>
                <c:pt idx="96">
                  <c:v>3.93</c:v>
                </c:pt>
                <c:pt idx="97">
                  <c:v>3.93</c:v>
                </c:pt>
                <c:pt idx="98">
                  <c:v>3.96</c:v>
                </c:pt>
                <c:pt idx="99">
                  <c:v>3.99</c:v>
                </c:pt>
                <c:pt idx="100">
                  <c:v>4.01</c:v>
                </c:pt>
                <c:pt idx="101">
                  <c:v>4.05</c:v>
                </c:pt>
                <c:pt idx="102">
                  <c:v>4.08</c:v>
                </c:pt>
                <c:pt idx="103">
                  <c:v>4.09</c:v>
                </c:pt>
                <c:pt idx="104">
                  <c:v>4.0999999999999996</c:v>
                </c:pt>
                <c:pt idx="105">
                  <c:v>4.1399999999999997</c:v>
                </c:pt>
                <c:pt idx="106">
                  <c:v>4.16</c:v>
                </c:pt>
                <c:pt idx="107">
                  <c:v>4.17</c:v>
                </c:pt>
                <c:pt idx="108">
                  <c:v>4.1900000000000004</c:v>
                </c:pt>
                <c:pt idx="109">
                  <c:v>4.22</c:v>
                </c:pt>
                <c:pt idx="110">
                  <c:v>4.2300000000000004</c:v>
                </c:pt>
                <c:pt idx="111">
                  <c:v>4.25</c:v>
                </c:pt>
                <c:pt idx="112">
                  <c:v>4.3099999999999996</c:v>
                </c:pt>
                <c:pt idx="113">
                  <c:v>4.32</c:v>
                </c:pt>
                <c:pt idx="114">
                  <c:v>4.34</c:v>
                </c:pt>
                <c:pt idx="115">
                  <c:v>4.3600000000000003</c:v>
                </c:pt>
                <c:pt idx="116">
                  <c:v>4.37</c:v>
                </c:pt>
                <c:pt idx="117">
                  <c:v>4.4000000000000004</c:v>
                </c:pt>
                <c:pt idx="118">
                  <c:v>4.45</c:v>
                </c:pt>
                <c:pt idx="119">
                  <c:v>4.45</c:v>
                </c:pt>
                <c:pt idx="120">
                  <c:v>4.47</c:v>
                </c:pt>
                <c:pt idx="121">
                  <c:v>4.4800000000000004</c:v>
                </c:pt>
                <c:pt idx="122">
                  <c:v>4.5</c:v>
                </c:pt>
                <c:pt idx="123">
                  <c:v>4.51</c:v>
                </c:pt>
                <c:pt idx="124">
                  <c:v>4.5199999999999996</c:v>
                </c:pt>
                <c:pt idx="125">
                  <c:v>4.55</c:v>
                </c:pt>
                <c:pt idx="126">
                  <c:v>4.5599999999999996</c:v>
                </c:pt>
                <c:pt idx="127">
                  <c:v>4.58</c:v>
                </c:pt>
                <c:pt idx="128">
                  <c:v>4.58</c:v>
                </c:pt>
                <c:pt idx="129">
                  <c:v>4.6500000000000004</c:v>
                </c:pt>
                <c:pt idx="130">
                  <c:v>4.6900000000000004</c:v>
                </c:pt>
                <c:pt idx="131">
                  <c:v>4.78</c:v>
                </c:pt>
                <c:pt idx="132">
                  <c:v>4.8099999999999996</c:v>
                </c:pt>
                <c:pt idx="133">
                  <c:v>4.92</c:v>
                </c:pt>
                <c:pt idx="134">
                  <c:v>4.93</c:v>
                </c:pt>
                <c:pt idx="135">
                  <c:v>5</c:v>
                </c:pt>
                <c:pt idx="136">
                  <c:v>5.1100000000000003</c:v>
                </c:pt>
                <c:pt idx="137">
                  <c:v>5.27</c:v>
                </c:pt>
                <c:pt idx="138">
                  <c:v>5.34</c:v>
                </c:pt>
                <c:pt idx="139">
                  <c:v>5.4</c:v>
                </c:pt>
                <c:pt idx="140">
                  <c:v>5.41</c:v>
                </c:pt>
                <c:pt idx="141">
                  <c:v>5.44</c:v>
                </c:pt>
                <c:pt idx="142">
                  <c:v>5.49</c:v>
                </c:pt>
                <c:pt idx="143">
                  <c:v>5.55</c:v>
                </c:pt>
                <c:pt idx="144">
                  <c:v>5.58</c:v>
                </c:pt>
                <c:pt idx="145">
                  <c:v>5.59</c:v>
                </c:pt>
                <c:pt idx="146">
                  <c:v>5.64</c:v>
                </c:pt>
                <c:pt idx="147">
                  <c:v>5.81</c:v>
                </c:pt>
                <c:pt idx="148">
                  <c:v>5.94</c:v>
                </c:pt>
                <c:pt idx="149">
                  <c:v>5.95</c:v>
                </c:pt>
                <c:pt idx="150">
                  <c:v>6</c:v>
                </c:pt>
                <c:pt idx="151">
                  <c:v>6</c:v>
                </c:pt>
                <c:pt idx="152">
                  <c:v>6.05</c:v>
                </c:pt>
                <c:pt idx="153">
                  <c:v>6.17</c:v>
                </c:pt>
                <c:pt idx="154">
                  <c:v>6.18</c:v>
                </c:pt>
                <c:pt idx="155">
                  <c:v>6.26</c:v>
                </c:pt>
                <c:pt idx="156">
                  <c:v>6.29</c:v>
                </c:pt>
                <c:pt idx="157">
                  <c:v>6.55</c:v>
                </c:pt>
                <c:pt idx="158">
                  <c:v>6.61</c:v>
                </c:pt>
                <c:pt idx="159">
                  <c:v>6.61</c:v>
                </c:pt>
                <c:pt idx="160">
                  <c:v>6.62</c:v>
                </c:pt>
                <c:pt idx="161">
                  <c:v>6.66</c:v>
                </c:pt>
                <c:pt idx="162">
                  <c:v>6.67</c:v>
                </c:pt>
                <c:pt idx="163">
                  <c:v>6.7</c:v>
                </c:pt>
                <c:pt idx="164">
                  <c:v>6.76</c:v>
                </c:pt>
                <c:pt idx="165">
                  <c:v>6.88</c:v>
                </c:pt>
                <c:pt idx="166">
                  <c:v>6.91</c:v>
                </c:pt>
                <c:pt idx="167">
                  <c:v>6.96</c:v>
                </c:pt>
                <c:pt idx="168">
                  <c:v>7.05</c:v>
                </c:pt>
                <c:pt idx="169">
                  <c:v>7.06</c:v>
                </c:pt>
                <c:pt idx="170">
                  <c:v>7.31</c:v>
                </c:pt>
                <c:pt idx="171">
                  <c:v>7.33</c:v>
                </c:pt>
                <c:pt idx="172">
                  <c:v>7.4</c:v>
                </c:pt>
                <c:pt idx="173">
                  <c:v>7.45</c:v>
                </c:pt>
                <c:pt idx="174">
                  <c:v>7.49</c:v>
                </c:pt>
                <c:pt idx="175">
                  <c:v>7.65</c:v>
                </c:pt>
                <c:pt idx="176">
                  <c:v>7.77</c:v>
                </c:pt>
                <c:pt idx="177">
                  <c:v>7.84</c:v>
                </c:pt>
                <c:pt idx="178">
                  <c:v>8</c:v>
                </c:pt>
                <c:pt idx="179">
                  <c:v>8.1199999999999992</c:v>
                </c:pt>
                <c:pt idx="180">
                  <c:v>8.23</c:v>
                </c:pt>
                <c:pt idx="181">
                  <c:v>8.27</c:v>
                </c:pt>
                <c:pt idx="182">
                  <c:v>8.59</c:v>
                </c:pt>
                <c:pt idx="183">
                  <c:v>8.65</c:v>
                </c:pt>
                <c:pt idx="184">
                  <c:v>8.6999999999999993</c:v>
                </c:pt>
                <c:pt idx="185">
                  <c:v>8.86</c:v>
                </c:pt>
                <c:pt idx="186">
                  <c:v>9.56</c:v>
                </c:pt>
                <c:pt idx="187">
                  <c:v>10.11</c:v>
                </c:pt>
                <c:pt idx="188">
                  <c:v>10.31</c:v>
                </c:pt>
                <c:pt idx="189">
                  <c:v>10.34</c:v>
                </c:pt>
                <c:pt idx="190">
                  <c:v>10.48</c:v>
                </c:pt>
                <c:pt idx="191">
                  <c:v>10.5</c:v>
                </c:pt>
                <c:pt idx="192">
                  <c:v>10.54</c:v>
                </c:pt>
                <c:pt idx="193">
                  <c:v>10.55</c:v>
                </c:pt>
                <c:pt idx="194">
                  <c:v>11.64</c:v>
                </c:pt>
                <c:pt idx="195">
                  <c:v>12.5</c:v>
                </c:pt>
                <c:pt idx="196">
                  <c:v>13.29</c:v>
                </c:pt>
                <c:pt idx="197">
                  <c:v>13.39</c:v>
                </c:pt>
                <c:pt idx="198">
                  <c:v>14.87</c:v>
                </c:pt>
                <c:pt idx="199">
                  <c:v>14.96</c:v>
                </c:pt>
              </c:numCache>
            </c:numRef>
          </c:xVal>
          <c:yVal>
            <c:numRef>
              <c:f>'4 Bondad de ajuste'!$X$5:$X$204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F8-4611-8CB8-BB44A709E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x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F(x)</a:t>
                </a:r>
              </a:p>
            </c:rich>
          </c:tx>
          <c:layout/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Histograma de la muestra y frecuencia esperada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Observado</c:v>
          </c:tx>
          <c:spPr>
            <a:solidFill>
              <a:srgbClr val="6C4AB6"/>
            </a:solidFill>
            <a:ln>
              <a:solidFill>
                <a:srgbClr val="6C4AB6"/>
              </a:solidFill>
              <a:prstDash val="solid"/>
            </a:ln>
          </c:spPr>
          <c:invertIfNegative val="1"/>
          <c:cat>
            <c:numRef>
              <c:f>'5 Generación'!$F$23:$F$42</c:f>
              <c:numCache>
                <c:formatCode>0.00</c:formatCode>
                <c:ptCount val="20"/>
                <c:pt idx="0">
                  <c:v>2.0038913966067165E-3</c:v>
                </c:pt>
                <c:pt idx="1">
                  <c:v>0.9776439998122104</c:v>
                </c:pt>
                <c:pt idx="2">
                  <c:v>1.9532841082278141</c:v>
                </c:pt>
                <c:pt idx="3">
                  <c:v>2.9289242166434177</c:v>
                </c:pt>
                <c:pt idx="4">
                  <c:v>3.9045643250590212</c:v>
                </c:pt>
                <c:pt idx="5">
                  <c:v>4.8802044334746251</c:v>
                </c:pt>
                <c:pt idx="6">
                  <c:v>5.855844541890229</c:v>
                </c:pt>
                <c:pt idx="7">
                  <c:v>6.8314846503058329</c:v>
                </c:pt>
                <c:pt idx="8">
                  <c:v>7.8071247587214367</c:v>
                </c:pt>
                <c:pt idx="9">
                  <c:v>8.7827648671370397</c:v>
                </c:pt>
                <c:pt idx="10">
                  <c:v>9.7584049755526436</c:v>
                </c:pt>
                <c:pt idx="11">
                  <c:v>10.734045083968248</c:v>
                </c:pt>
                <c:pt idx="12">
                  <c:v>11.709685192383851</c:v>
                </c:pt>
                <c:pt idx="13">
                  <c:v>12.685325300799455</c:v>
                </c:pt>
                <c:pt idx="14">
                  <c:v>13.660965409215059</c:v>
                </c:pt>
                <c:pt idx="15">
                  <c:v>14.636605517630663</c:v>
                </c:pt>
                <c:pt idx="16">
                  <c:v>15.612245626046267</c:v>
                </c:pt>
                <c:pt idx="17">
                  <c:v>16.587885734461871</c:v>
                </c:pt>
                <c:pt idx="18">
                  <c:v>17.563525842877475</c:v>
                </c:pt>
                <c:pt idx="19">
                  <c:v>18.539165951293079</c:v>
                </c:pt>
              </c:numCache>
            </c:numRef>
          </c:cat>
          <c:val>
            <c:numRef>
              <c:f>'5 Generación'!$H$23:$H$42</c:f>
              <c:numCache>
                <c:formatCode>General</c:formatCode>
                <c:ptCount val="20"/>
                <c:pt idx="0">
                  <c:v>105</c:v>
                </c:pt>
                <c:pt idx="1">
                  <c:v>93</c:v>
                </c:pt>
                <c:pt idx="2">
                  <c:v>52</c:v>
                </c:pt>
                <c:pt idx="3">
                  <c:v>55</c:v>
                </c:pt>
                <c:pt idx="4">
                  <c:v>55</c:v>
                </c:pt>
                <c:pt idx="5">
                  <c:v>40</c:v>
                </c:pt>
                <c:pt idx="6">
                  <c:v>23</c:v>
                </c:pt>
                <c:pt idx="7">
                  <c:v>23</c:v>
                </c:pt>
                <c:pt idx="8">
                  <c:v>8</c:v>
                </c:pt>
                <c:pt idx="9">
                  <c:v>10</c:v>
                </c:pt>
                <c:pt idx="10">
                  <c:v>11</c:v>
                </c:pt>
                <c:pt idx="11">
                  <c:v>5</c:v>
                </c:pt>
                <c:pt idx="12">
                  <c:v>10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C4A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270-446F-91A5-102D9A993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"/>
        <c:axId val="100"/>
      </c:barChart>
      <c:lineChart>
        <c:grouping val="standard"/>
        <c:varyColors val="1"/>
        <c:ser>
          <c:idx val="1"/>
          <c:order val="1"/>
          <c:tx>
            <c:v>Esperado</c:v>
          </c:tx>
          <c:spPr>
            <a:ln w="22000">
              <a:solidFill>
                <a:srgbClr val="F2A90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'5 Generación'!$I$23:$I$42</c:f>
              <c:numCache>
                <c:formatCode>0.0</c:formatCode>
                <c:ptCount val="20"/>
                <c:pt idx="0">
                  <c:v>108.16673278507649</c:v>
                </c:pt>
                <c:pt idx="1">
                  <c:v>84.754922878552406</c:v>
                </c:pt>
                <c:pt idx="2">
                  <c:v>66.410408886274865</c:v>
                </c:pt>
                <c:pt idx="3">
                  <c:v>52.036415805155279</c:v>
                </c:pt>
                <c:pt idx="4">
                  <c:v>40.773556664648602</c:v>
                </c:pt>
                <c:pt idx="5">
                  <c:v>31.948451817094714</c:v>
                </c:pt>
                <c:pt idx="6">
                  <c:v>25.033469164935372</c:v>
                </c:pt>
                <c:pt idx="7">
                  <c:v>19.615178288434343</c:v>
                </c:pt>
                <c:pt idx="8">
                  <c:v>15.369632420982882</c:v>
                </c:pt>
                <c:pt idx="9">
                  <c:v>12.043000439889706</c:v>
                </c:pt>
                <c:pt idx="10">
                  <c:v>9.4363909053010726</c:v>
                </c:pt>
                <c:pt idx="11">
                  <c:v>7.393960812515199</c:v>
                </c:pt>
                <c:pt idx="12">
                  <c:v>5.7935981081812526</c:v>
                </c:pt>
                <c:pt idx="13">
                  <c:v>4.5396209001145049</c:v>
                </c:pt>
                <c:pt idx="14">
                  <c:v>3.5570568637915967</c:v>
                </c:pt>
                <c:pt idx="15">
                  <c:v>2.7871608248009605</c:v>
                </c:pt>
                <c:pt idx="16">
                  <c:v>2.1839025241291443</c:v>
                </c:pt>
                <c:pt idx="17">
                  <c:v>1.7112145780959764</c:v>
                </c:pt>
                <c:pt idx="18">
                  <c:v>1.3408360949883069</c:v>
                </c:pt>
                <c:pt idx="19">
                  <c:v>1.050623024291264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0-446F-91A5-102D9A993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Límite inferior de la clase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Histograma de la variable elegida frente a su distribución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Observado</c:v>
          </c:tx>
          <c:spPr>
            <a:solidFill>
              <a:srgbClr val="6C4AB6"/>
            </a:solidFill>
            <a:ln>
              <a:solidFill>
                <a:srgbClr val="6C4AB6"/>
              </a:solidFill>
              <a:prstDash val="solid"/>
            </a:ln>
          </c:spPr>
          <c:invertIfNegative val="1"/>
          <c:cat>
            <c:numRef>
              <c:f>'6 YOLO placas'!$B$42:$B$57</c:f>
              <c:numCache>
                <c:formatCode>0.000</c:formatCode>
                <c:ptCount val="16"/>
                <c:pt idx="0">
                  <c:v>-0.5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3.5</c:v>
                </c:pt>
                <c:pt idx="5">
                  <c:v>4.5</c:v>
                </c:pt>
                <c:pt idx="6">
                  <c:v>5.5</c:v>
                </c:pt>
                <c:pt idx="7">
                  <c:v>6.5</c:v>
                </c:pt>
                <c:pt idx="8">
                  <c:v>7.5</c:v>
                </c:pt>
                <c:pt idx="9">
                  <c:v>8.5</c:v>
                </c:pt>
                <c:pt idx="10">
                  <c:v>9.5</c:v>
                </c:pt>
                <c:pt idx="11">
                  <c:v>10.5</c:v>
                </c:pt>
                <c:pt idx="12">
                  <c:v>11.5</c:v>
                </c:pt>
                <c:pt idx="13">
                  <c:v>12.5</c:v>
                </c:pt>
                <c:pt idx="14">
                  <c:v>13.5</c:v>
                </c:pt>
                <c:pt idx="15">
                  <c:v>14.5</c:v>
                </c:pt>
              </c:numCache>
            </c:numRef>
          </c:cat>
          <c:val>
            <c:numRef>
              <c:f>'6 YOLO placas'!$D$42:$D$57</c:f>
              <c:numCache>
                <c:formatCode>General</c:formatCode>
                <c:ptCount val="16"/>
                <c:pt idx="0">
                  <c:v>6</c:v>
                </c:pt>
                <c:pt idx="1">
                  <c:v>32</c:v>
                </c:pt>
                <c:pt idx="2">
                  <c:v>66</c:v>
                </c:pt>
                <c:pt idx="3">
                  <c:v>54</c:v>
                </c:pt>
                <c:pt idx="4">
                  <c:v>38</c:v>
                </c:pt>
                <c:pt idx="5">
                  <c:v>32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C4A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87A-4FDA-BE3D-744C62743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"/>
        <c:axId val="100"/>
      </c:barChart>
      <c:lineChart>
        <c:grouping val="standard"/>
        <c:varyColors val="1"/>
        <c:ser>
          <c:idx val="1"/>
          <c:order val="1"/>
          <c:tx>
            <c:v>Esperado (teórico)</c:v>
          </c:tx>
          <c:spPr>
            <a:ln w="22000">
              <a:solidFill>
                <a:srgbClr val="F2A90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'6 YOLO placas'!$E$42:$E$57</c:f>
              <c:numCache>
                <c:formatCode>0.0</c:formatCode>
                <c:ptCount val="16"/>
                <c:pt idx="0">
                  <c:v>11.948896408287347</c:v>
                </c:pt>
                <c:pt idx="1">
                  <c:v>35.84668922486204</c:v>
                </c:pt>
                <c:pt idx="2">
                  <c:v>53.770033837293035</c:v>
                </c:pt>
                <c:pt idx="3">
                  <c:v>53.770033837293084</c:v>
                </c:pt>
                <c:pt idx="4">
                  <c:v>40.327525377969799</c:v>
                </c:pt>
                <c:pt idx="5">
                  <c:v>24.196515226781877</c:v>
                </c:pt>
                <c:pt idx="6">
                  <c:v>12.098257613390953</c:v>
                </c:pt>
                <c:pt idx="7">
                  <c:v>5.1849675485960844</c:v>
                </c:pt>
                <c:pt idx="8">
                  <c:v>1.944362830723545</c:v>
                </c:pt>
                <c:pt idx="9">
                  <c:v>0.64812094357452388</c:v>
                </c:pt>
                <c:pt idx="10">
                  <c:v>0.1944362830723545</c:v>
                </c:pt>
                <c:pt idx="11">
                  <c:v>5.3028077201551227E-2</c:v>
                </c:pt>
                <c:pt idx="12">
                  <c:v>1.3257019300381145E-2</c:v>
                </c:pt>
                <c:pt idx="13">
                  <c:v>3.0593121462541006E-3</c:v>
                </c:pt>
                <c:pt idx="14">
                  <c:v>6.5556688848111833E-4</c:v>
                </c:pt>
                <c:pt idx="15">
                  <c:v>1.3111337770155274E-4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A-4FDA-BE3D-744C62743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Límite inferior de la clase</a:t>
                </a:r>
              </a:p>
            </c:rich>
          </c:tx>
          <c:layout/>
          <c:overlay val="1"/>
        </c:title>
        <c:numFmt formatCode="0.0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¿Instalaría paneles solares? (por estrato)</a:t>
            </a:r>
          </a:p>
        </c:rich>
      </c:tx>
      <c:layout/>
      <c:overlay val="1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v>Likert 1</c:v>
          </c:tx>
          <c:spPr>
            <a:solidFill>
              <a:srgbClr val="E4572E"/>
            </a:solidFill>
            <a:ln>
              <a:solidFill>
                <a:srgbClr val="E4572E"/>
              </a:solidFill>
              <a:prstDash val="solid"/>
            </a:ln>
          </c:spPr>
          <c:invertIfNegative val="1"/>
          <c:cat>
            <c:strRef>
              <c:f>'7 Encuesta'!$B$53:$B$55</c:f>
              <c:strCache>
                <c:ptCount val="3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</c:strCache>
            </c:strRef>
          </c:cat>
          <c:val>
            <c:numRef>
              <c:f>'7 Encuesta'!$C$53:$C$55</c:f>
              <c:numCache>
                <c:formatCode>0%</c:formatCode>
                <c:ptCount val="3"/>
                <c:pt idx="0">
                  <c:v>0.10989010989010989</c:v>
                </c:pt>
                <c:pt idx="1">
                  <c:v>6.3380281690140844E-2</c:v>
                </c:pt>
                <c:pt idx="2">
                  <c:v>2.9850746268656716E-2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4572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23-4AB9-99E6-B56BE7C521DB}"/>
            </c:ext>
          </c:extLst>
        </c:ser>
        <c:ser>
          <c:idx val="1"/>
          <c:order val="1"/>
          <c:tx>
            <c:v>Likert 2</c:v>
          </c:tx>
          <c:spPr>
            <a:solidFill>
              <a:srgbClr val="F2A900"/>
            </a:solidFill>
            <a:ln>
              <a:solidFill>
                <a:srgbClr val="F2A900"/>
              </a:solidFill>
              <a:prstDash val="solid"/>
            </a:ln>
          </c:spPr>
          <c:invertIfNegative val="1"/>
          <c:cat>
            <c:strRef>
              <c:f>'7 Encuesta'!$B$53:$B$55</c:f>
              <c:strCache>
                <c:ptCount val="3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</c:strCache>
            </c:strRef>
          </c:cat>
          <c:val>
            <c:numRef>
              <c:f>'7 Encuesta'!$D$53:$D$55</c:f>
              <c:numCache>
                <c:formatCode>0%</c:formatCode>
                <c:ptCount val="3"/>
                <c:pt idx="0">
                  <c:v>0.17582417582417584</c:v>
                </c:pt>
                <c:pt idx="1">
                  <c:v>4.9295774647887321E-2</c:v>
                </c:pt>
                <c:pt idx="2">
                  <c:v>5.9701492537313432E-2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2A9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823-4AB9-99E6-B56BE7C521DB}"/>
            </c:ext>
          </c:extLst>
        </c:ser>
        <c:ser>
          <c:idx val="2"/>
          <c:order val="2"/>
          <c:tx>
            <c:v>Likert 3</c:v>
          </c:tx>
          <c:spPr>
            <a:solidFill>
              <a:srgbClr val="C9C3DD"/>
            </a:solidFill>
            <a:ln>
              <a:solidFill>
                <a:srgbClr val="C9C3DD"/>
              </a:solidFill>
              <a:prstDash val="solid"/>
            </a:ln>
          </c:spPr>
          <c:invertIfNegative val="1"/>
          <c:cat>
            <c:strRef>
              <c:f>'7 Encuesta'!$B$53:$B$55</c:f>
              <c:strCache>
                <c:ptCount val="3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</c:strCache>
            </c:strRef>
          </c:cat>
          <c:val>
            <c:numRef>
              <c:f>'7 Encuesta'!$E$53:$E$55</c:f>
              <c:numCache>
                <c:formatCode>0%</c:formatCode>
                <c:ptCount val="3"/>
                <c:pt idx="0">
                  <c:v>0.16483516483516483</c:v>
                </c:pt>
                <c:pt idx="1">
                  <c:v>0.26056338028169013</c:v>
                </c:pt>
                <c:pt idx="2">
                  <c:v>0.20895522388059701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9C3D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823-4AB9-99E6-B56BE7C521DB}"/>
            </c:ext>
          </c:extLst>
        </c:ser>
        <c:ser>
          <c:idx val="3"/>
          <c:order val="3"/>
          <c:tx>
            <c:v>Likert 4</c:v>
          </c:tx>
          <c:spPr>
            <a:solidFill>
              <a:srgbClr val="3A86C8"/>
            </a:solidFill>
            <a:ln>
              <a:solidFill>
                <a:srgbClr val="3A86C8"/>
              </a:solidFill>
              <a:prstDash val="solid"/>
            </a:ln>
          </c:spPr>
          <c:invertIfNegative val="1"/>
          <c:cat>
            <c:strRef>
              <c:f>'7 Encuesta'!$B$53:$B$55</c:f>
              <c:strCache>
                <c:ptCount val="3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</c:strCache>
            </c:strRef>
          </c:cat>
          <c:val>
            <c:numRef>
              <c:f>'7 Encuesta'!$F$53:$F$55</c:f>
              <c:numCache>
                <c:formatCode>0%</c:formatCode>
                <c:ptCount val="3"/>
                <c:pt idx="0">
                  <c:v>0.35164835164835168</c:v>
                </c:pt>
                <c:pt idx="1">
                  <c:v>0.36619718309859156</c:v>
                </c:pt>
                <c:pt idx="2">
                  <c:v>0.35820895522388058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A86C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823-4AB9-99E6-B56BE7C521DB}"/>
            </c:ext>
          </c:extLst>
        </c:ser>
        <c:ser>
          <c:idx val="4"/>
          <c:order val="4"/>
          <c:tx>
            <c:v>Likert 5</c:v>
          </c:tx>
          <c:spPr>
            <a:solidFill>
              <a:srgbClr val="00A896"/>
            </a:solidFill>
            <a:ln>
              <a:solidFill>
                <a:srgbClr val="00A896"/>
              </a:solidFill>
              <a:prstDash val="solid"/>
            </a:ln>
          </c:spPr>
          <c:invertIfNegative val="1"/>
          <c:cat>
            <c:strRef>
              <c:f>'7 Encuesta'!$B$53:$B$55</c:f>
              <c:strCache>
                <c:ptCount val="3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</c:strCache>
            </c:strRef>
          </c:cat>
          <c:val>
            <c:numRef>
              <c:f>'7 Encuesta'!$G$53:$G$55</c:f>
              <c:numCache>
                <c:formatCode>0%</c:formatCode>
                <c:ptCount val="3"/>
                <c:pt idx="0">
                  <c:v>0.19780219780219779</c:v>
                </c:pt>
                <c:pt idx="1">
                  <c:v>0.26056338028169013</c:v>
                </c:pt>
                <c:pt idx="2">
                  <c:v>0.34328358208955223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A89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823-4AB9-99E6-B56BE7C52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Barreras (respuesta abierta codificada)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Proporción</c:v>
          </c:tx>
          <c:spPr>
            <a:solidFill>
              <a:srgbClr val="6C4AB6"/>
            </a:solidFill>
            <a:ln>
              <a:solidFill>
                <a:srgbClr val="6C4AB6"/>
              </a:solidFill>
              <a:prstDash val="solid"/>
            </a:ln>
          </c:spPr>
          <c:invertIfNegative val="1"/>
          <c:cat>
            <c:strRef>
              <c:f>'7 Encuesta'!$B$75:$B$79</c:f>
              <c:strCache>
                <c:ptCount val="5"/>
                <c:pt idx="0">
                  <c:v>costo inicial</c:v>
                </c:pt>
                <c:pt idx="1">
                  <c:v>no sabe cómo</c:v>
                </c:pt>
                <c:pt idx="2">
                  <c:v>vive en arriendo</c:v>
                </c:pt>
                <c:pt idx="3">
                  <c:v>desconfía</c:v>
                </c:pt>
                <c:pt idx="4">
                  <c:v>ninguna</c:v>
                </c:pt>
              </c:strCache>
            </c:strRef>
          </c:cat>
          <c:val>
            <c:numRef>
              <c:f>'7 Encuesta'!$C$75:$C$79</c:f>
              <c:numCache>
                <c:formatCode>0.0%</c:formatCode>
                <c:ptCount val="5"/>
                <c:pt idx="0">
                  <c:v>0.40333333333333332</c:v>
                </c:pt>
                <c:pt idx="1">
                  <c:v>0.20666666666666667</c:v>
                </c:pt>
                <c:pt idx="2">
                  <c:v>0.15</c:v>
                </c:pt>
                <c:pt idx="3">
                  <c:v>0.10333333333333333</c:v>
                </c:pt>
                <c:pt idx="4">
                  <c:v>0.13666666666666666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C4A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1ED-4DE3-A60D-467DB9570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35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52</xdr:row>
      <xdr:rowOff>0</xdr:rowOff>
    </xdr:from>
    <xdr:ext cx="576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33</xdr:row>
      <xdr:rowOff>0</xdr:rowOff>
    </xdr:from>
    <xdr:ext cx="450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39</xdr:row>
      <xdr:rowOff>0</xdr:rowOff>
    </xdr:from>
    <xdr:ext cx="306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190499</xdr:rowOff>
    </xdr:from>
    <xdr:ext cx="5760000" cy="3033713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4762</xdr:colOff>
      <xdr:row>40</xdr:row>
      <xdr:rowOff>176212</xdr:rowOff>
    </xdr:from>
    <xdr:ext cx="576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4320000" cy="2628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55</xdr:row>
      <xdr:rowOff>0</xdr:rowOff>
    </xdr:from>
    <xdr:ext cx="576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648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60</xdr:row>
      <xdr:rowOff>0</xdr:rowOff>
    </xdr:from>
    <xdr:ext cx="648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80</xdr:row>
      <xdr:rowOff>0</xdr:rowOff>
    </xdr:from>
    <xdr:ext cx="576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showGridLines="0" workbookViewId="0"/>
  </sheetViews>
  <sheetFormatPr baseColWidth="10" defaultColWidth="9.06640625" defaultRowHeight="14.25" x14ac:dyDescent="0.45"/>
  <cols>
    <col min="1" max="1" width="4" customWidth="1"/>
    <col min="2" max="2" width="26" customWidth="1"/>
    <col min="3" max="3" width="100" customWidth="1"/>
  </cols>
  <sheetData>
    <row r="2" spans="2:3" ht="20.65" x14ac:dyDescent="0.6">
      <c r="B2" s="1" t="s">
        <v>0</v>
      </c>
    </row>
    <row r="3" spans="2:3" x14ac:dyDescent="0.45">
      <c r="B3" s="2" t="s">
        <v>1</v>
      </c>
    </row>
    <row r="5" spans="2:3" ht="30" customHeight="1" x14ac:dyDescent="0.45">
      <c r="B5" s="3" t="s">
        <v>2</v>
      </c>
      <c r="C5" s="3" t="s">
        <v>3</v>
      </c>
    </row>
    <row r="6" spans="2:3" ht="30" customHeight="1" x14ac:dyDescent="0.45">
      <c r="B6" s="4" t="s">
        <v>4</v>
      </c>
      <c r="C6" s="5" t="s">
        <v>5</v>
      </c>
    </row>
    <row r="7" spans="2:3" ht="30" customHeight="1" x14ac:dyDescent="0.45">
      <c r="B7" s="4" t="s">
        <v>6</v>
      </c>
      <c r="C7" s="5" t="s">
        <v>7</v>
      </c>
    </row>
    <row r="8" spans="2:3" ht="30" customHeight="1" x14ac:dyDescent="0.45">
      <c r="B8" s="4" t="s">
        <v>8</v>
      </c>
      <c r="C8" s="5" t="s">
        <v>9</v>
      </c>
    </row>
    <row r="9" spans="2:3" ht="30" customHeight="1" x14ac:dyDescent="0.45">
      <c r="B9" s="4" t="s">
        <v>10</v>
      </c>
      <c r="C9" s="5" t="s">
        <v>11</v>
      </c>
    </row>
    <row r="10" spans="2:3" ht="30" customHeight="1" x14ac:dyDescent="0.45">
      <c r="B10" s="4" t="s">
        <v>12</v>
      </c>
      <c r="C10" s="5" t="s">
        <v>13</v>
      </c>
    </row>
    <row r="11" spans="2:3" ht="30" customHeight="1" x14ac:dyDescent="0.45">
      <c r="B11" s="4" t="s">
        <v>14</v>
      </c>
      <c r="C11" s="5" t="s">
        <v>15</v>
      </c>
    </row>
    <row r="12" spans="2:3" ht="30" customHeight="1" x14ac:dyDescent="0.45">
      <c r="B12" s="4" t="s">
        <v>16</v>
      </c>
      <c r="C12" s="5" t="s">
        <v>17</v>
      </c>
    </row>
    <row r="13" spans="2:3" ht="10.050000000000001" customHeight="1" x14ac:dyDescent="0.45"/>
    <row r="14" spans="2:3" ht="30" customHeight="1" x14ac:dyDescent="0.45">
      <c r="B14" s="4" t="s">
        <v>18</v>
      </c>
      <c r="C14" s="5" t="s">
        <v>19</v>
      </c>
    </row>
    <row r="15" spans="2:3" ht="30" customHeight="1" x14ac:dyDescent="0.45">
      <c r="B15" s="4" t="s">
        <v>20</v>
      </c>
      <c r="C15" s="5" t="s">
        <v>21</v>
      </c>
    </row>
    <row r="16" spans="2:3" ht="30" customHeight="1" x14ac:dyDescent="0.45">
      <c r="B16" s="4" t="s">
        <v>22</v>
      </c>
      <c r="C16" s="5" t="s">
        <v>23</v>
      </c>
    </row>
    <row r="17" spans="2:3" ht="30" customHeight="1" x14ac:dyDescent="0.45">
      <c r="B17" s="4" t="s">
        <v>24</v>
      </c>
      <c r="C17" s="5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04"/>
  <sheetViews>
    <sheetView showGridLines="0" workbookViewId="0">
      <pane ySplit="3" topLeftCell="A4" activePane="bottomLeft" state="frozen"/>
      <selection pane="bottomLeft"/>
    </sheetView>
  </sheetViews>
  <sheetFormatPr baseColWidth="10" defaultColWidth="9.06640625" defaultRowHeight="14.25" x14ac:dyDescent="0.45"/>
  <cols>
    <col min="1" max="1" width="3" customWidth="1"/>
    <col min="2" max="2" width="34" customWidth="1"/>
    <col min="3" max="10" width="12" customWidth="1"/>
    <col min="11" max="11" width="3" customWidth="1"/>
    <col min="12" max="12" width="8" customWidth="1"/>
    <col min="13" max="15" width="10" customWidth="1"/>
    <col min="16" max="19" width="9" customWidth="1"/>
    <col min="20" max="20" width="6" customWidth="1"/>
    <col min="21" max="23" width="10" customWidth="1"/>
  </cols>
  <sheetData>
    <row r="1" spans="1:22" ht="15" customHeight="1" x14ac:dyDescent="0.6">
      <c r="A1" s="1" t="s">
        <v>26</v>
      </c>
    </row>
    <row r="2" spans="1:22" ht="15" customHeight="1" x14ac:dyDescent="0.45">
      <c r="A2" s="2" t="s">
        <v>27</v>
      </c>
    </row>
    <row r="3" spans="1:22" ht="15" customHeight="1" x14ac:dyDescent="0.45"/>
    <row r="4" spans="1:22" ht="28.05" customHeight="1" x14ac:dyDescent="0.45">
      <c r="B4" s="6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  <c r="S4" s="3" t="s">
        <v>36</v>
      </c>
      <c r="T4" s="3" t="s">
        <v>37</v>
      </c>
      <c r="U4" s="3" t="s">
        <v>38</v>
      </c>
      <c r="V4" s="3" t="s">
        <v>39</v>
      </c>
    </row>
    <row r="5" spans="1:22" ht="15" customHeight="1" x14ac:dyDescent="0.45">
      <c r="B5" s="7" t="s">
        <v>40</v>
      </c>
      <c r="C5" s="8">
        <v>50</v>
      </c>
      <c r="L5" s="9">
        <v>1</v>
      </c>
      <c r="M5" s="10">
        <f ca="1">-60/$C$5*LN(1-RAND())</f>
        <v>7.8967482626942864E-2</v>
      </c>
      <c r="N5" s="10">
        <f t="shared" ref="N5:N68" ca="1" si="0">-60/$C$6*LN(1-RAND())</f>
        <v>3.2425604867926609E-2</v>
      </c>
      <c r="O5" s="10">
        <f>IF(1&lt;=$C$9,0,1000000000)</f>
        <v>0</v>
      </c>
      <c r="P5" s="10">
        <f>IF(2&lt;=$C$9,0,1000000000)</f>
        <v>0</v>
      </c>
      <c r="Q5" s="10">
        <f>IF(3&lt;=$C$9,0,1000000000)</f>
        <v>1000000000</v>
      </c>
      <c r="R5" s="10">
        <f>IF(4&lt;=$C$9,0,1000000000)</f>
        <v>1000000000</v>
      </c>
      <c r="S5" s="9">
        <f t="shared" ref="S5:S68" si="1">MATCH(MIN(O5:R5),O5:R5,0)</f>
        <v>1</v>
      </c>
      <c r="T5" s="10">
        <f t="shared" ref="T5:T68" ca="1" si="2">MAX(M5,MIN(O5:R5))</f>
        <v>7.8967482626942864E-2</v>
      </c>
      <c r="U5" s="10">
        <f t="shared" ref="U5:U68" ca="1" si="3">T5+N5</f>
        <v>0.11139308749486948</v>
      </c>
      <c r="V5" s="10">
        <f t="shared" ref="V5:V68" ca="1" si="4">T5-M5</f>
        <v>0</v>
      </c>
    </row>
    <row r="6" spans="1:22" ht="15" customHeight="1" x14ac:dyDescent="0.45">
      <c r="B6" s="7" t="s">
        <v>41</v>
      </c>
      <c r="C6" s="8">
        <v>60</v>
      </c>
      <c r="L6" s="9">
        <v>2</v>
      </c>
      <c r="M6" s="10">
        <f t="shared" ref="M6:M69" ca="1" si="5">M5-60/$C$5*LN(1-RAND())</f>
        <v>0.90318146839173896</v>
      </c>
      <c r="N6" s="10">
        <f t="shared" ca="1" si="0"/>
        <v>6.4831456369431689E-2</v>
      </c>
      <c r="O6" s="10">
        <f t="shared" ref="O6:O69" ca="1" si="6">IF(S5=1,U5,O5)</f>
        <v>0.11139308749486948</v>
      </c>
      <c r="P6" s="10">
        <f t="shared" ref="P6:P69" si="7">IF(S5=2,U5,P5)</f>
        <v>0</v>
      </c>
      <c r="Q6" s="10">
        <f t="shared" ref="Q6:Q69" si="8">IF(S5=3,U5,Q5)</f>
        <v>1000000000</v>
      </c>
      <c r="R6" s="10">
        <f t="shared" ref="R6:R69" si="9">IF(S5=4,U5,R5)</f>
        <v>1000000000</v>
      </c>
      <c r="S6" s="9">
        <f t="shared" ca="1" si="1"/>
        <v>2</v>
      </c>
      <c r="T6" s="10">
        <f t="shared" ca="1" si="2"/>
        <v>0.90318146839173896</v>
      </c>
      <c r="U6" s="10">
        <f t="shared" ca="1" si="3"/>
        <v>0.96801292476117062</v>
      </c>
      <c r="V6" s="10">
        <f t="shared" ca="1" si="4"/>
        <v>0</v>
      </c>
    </row>
    <row r="7" spans="1:22" ht="15" customHeight="1" x14ac:dyDescent="0.45">
      <c r="B7" s="7" t="s">
        <v>42</v>
      </c>
      <c r="C7" s="8">
        <v>30000</v>
      </c>
      <c r="L7" s="9">
        <v>3</v>
      </c>
      <c r="M7" s="10">
        <f t="shared" ca="1" si="5"/>
        <v>3.3667055438986395</v>
      </c>
      <c r="N7" s="10">
        <f t="shared" ca="1" si="0"/>
        <v>0.83952914421261593</v>
      </c>
      <c r="O7" s="10">
        <f t="shared" ca="1" si="6"/>
        <v>0.11139308749486948</v>
      </c>
      <c r="P7" s="10">
        <f t="shared" ca="1" si="7"/>
        <v>0.96801292476117062</v>
      </c>
      <c r="Q7" s="10">
        <f t="shared" ca="1" si="8"/>
        <v>1000000000</v>
      </c>
      <c r="R7" s="10">
        <f t="shared" ca="1" si="9"/>
        <v>1000000000</v>
      </c>
      <c r="S7" s="9">
        <f t="shared" ca="1" si="1"/>
        <v>1</v>
      </c>
      <c r="T7" s="10">
        <f t="shared" ca="1" si="2"/>
        <v>3.3667055438986395</v>
      </c>
      <c r="U7" s="10">
        <f t="shared" ca="1" si="3"/>
        <v>4.2062346881112553</v>
      </c>
      <c r="V7" s="10">
        <f t="shared" ca="1" si="4"/>
        <v>0</v>
      </c>
    </row>
    <row r="8" spans="1:22" ht="15" customHeight="1" x14ac:dyDescent="0.45">
      <c r="B8" s="7" t="s">
        <v>43</v>
      </c>
      <c r="C8" s="8">
        <v>25000</v>
      </c>
      <c r="L8" s="9">
        <v>4</v>
      </c>
      <c r="M8" s="10">
        <f t="shared" ca="1" si="5"/>
        <v>7.5507705880547977</v>
      </c>
      <c r="N8" s="10">
        <f t="shared" ca="1" si="0"/>
        <v>3.1127766045458389</v>
      </c>
      <c r="O8" s="10">
        <f t="shared" ca="1" si="6"/>
        <v>4.2062346881112553</v>
      </c>
      <c r="P8" s="10">
        <f t="shared" ca="1" si="7"/>
        <v>0.96801292476117062</v>
      </c>
      <c r="Q8" s="10">
        <f t="shared" ca="1" si="8"/>
        <v>1000000000</v>
      </c>
      <c r="R8" s="10">
        <f t="shared" ca="1" si="9"/>
        <v>1000000000</v>
      </c>
      <c r="S8" s="9">
        <f t="shared" ca="1" si="1"/>
        <v>2</v>
      </c>
      <c r="T8" s="10">
        <f t="shared" ca="1" si="2"/>
        <v>7.5507705880547977</v>
      </c>
      <c r="U8" s="10">
        <f t="shared" ca="1" si="3"/>
        <v>10.663547192600637</v>
      </c>
      <c r="V8" s="10">
        <f t="shared" ca="1" si="4"/>
        <v>0</v>
      </c>
    </row>
    <row r="9" spans="1:22" ht="15" customHeight="1" x14ac:dyDescent="0.45">
      <c r="B9" s="7" t="s">
        <v>44</v>
      </c>
      <c r="C9" s="8">
        <v>2</v>
      </c>
      <c r="L9" s="9">
        <v>5</v>
      </c>
      <c r="M9" s="10">
        <f t="shared" ca="1" si="5"/>
        <v>8.1874297573009809</v>
      </c>
      <c r="N9" s="10">
        <f t="shared" ca="1" si="0"/>
        <v>0.33621136024719739</v>
      </c>
      <c r="O9" s="10">
        <f t="shared" ca="1" si="6"/>
        <v>4.2062346881112553</v>
      </c>
      <c r="P9" s="10">
        <f t="shared" ca="1" si="7"/>
        <v>10.663547192600637</v>
      </c>
      <c r="Q9" s="10">
        <f t="shared" ca="1" si="8"/>
        <v>1000000000</v>
      </c>
      <c r="R9" s="10">
        <f t="shared" ca="1" si="9"/>
        <v>1000000000</v>
      </c>
      <c r="S9" s="9">
        <f t="shared" ca="1" si="1"/>
        <v>1</v>
      </c>
      <c r="T9" s="10">
        <f t="shared" ca="1" si="2"/>
        <v>8.1874297573009809</v>
      </c>
      <c r="U9" s="10">
        <f t="shared" ca="1" si="3"/>
        <v>8.5236411175481788</v>
      </c>
      <c r="V9" s="10">
        <f t="shared" ca="1" si="4"/>
        <v>0</v>
      </c>
    </row>
    <row r="10" spans="1:22" ht="15" customHeight="1" x14ac:dyDescent="0.45">
      <c r="B10" s="7" t="s">
        <v>45</v>
      </c>
      <c r="C10" s="11">
        <f>C5/C6</f>
        <v>0.83333333333333337</v>
      </c>
      <c r="L10" s="9">
        <v>6</v>
      </c>
      <c r="M10" s="10">
        <f t="shared" ca="1" si="5"/>
        <v>9.3208150232055296</v>
      </c>
      <c r="N10" s="10">
        <f t="shared" ca="1" si="0"/>
        <v>0.46454035631169549</v>
      </c>
      <c r="O10" s="10">
        <f t="shared" ca="1" si="6"/>
        <v>8.5236411175481788</v>
      </c>
      <c r="P10" s="10">
        <f t="shared" ca="1" si="7"/>
        <v>10.663547192600637</v>
      </c>
      <c r="Q10" s="10">
        <f t="shared" ca="1" si="8"/>
        <v>1000000000</v>
      </c>
      <c r="R10" s="10">
        <f t="shared" ca="1" si="9"/>
        <v>1000000000</v>
      </c>
      <c r="S10" s="9">
        <f t="shared" ca="1" si="1"/>
        <v>1</v>
      </c>
      <c r="T10" s="10">
        <f t="shared" ca="1" si="2"/>
        <v>9.3208150232055296</v>
      </c>
      <c r="U10" s="10">
        <f t="shared" ca="1" si="3"/>
        <v>9.7853553795172257</v>
      </c>
      <c r="V10" s="10">
        <f t="shared" ca="1" si="4"/>
        <v>0</v>
      </c>
    </row>
    <row r="11" spans="1:22" ht="15" customHeight="1" x14ac:dyDescent="0.45">
      <c r="L11" s="9">
        <v>7</v>
      </c>
      <c r="M11" s="10">
        <f t="shared" ca="1" si="5"/>
        <v>14.784853268942472</v>
      </c>
      <c r="N11" s="10">
        <f t="shared" ca="1" si="0"/>
        <v>2.7629505858890351</v>
      </c>
      <c r="O11" s="10">
        <f t="shared" ca="1" si="6"/>
        <v>9.7853553795172257</v>
      </c>
      <c r="P11" s="10">
        <f t="shared" ca="1" si="7"/>
        <v>10.663547192600637</v>
      </c>
      <c r="Q11" s="10">
        <f t="shared" ca="1" si="8"/>
        <v>1000000000</v>
      </c>
      <c r="R11" s="10">
        <f t="shared" ca="1" si="9"/>
        <v>1000000000</v>
      </c>
      <c r="S11" s="9">
        <f t="shared" ca="1" si="1"/>
        <v>1</v>
      </c>
      <c r="T11" s="10">
        <f t="shared" ca="1" si="2"/>
        <v>14.784853268942472</v>
      </c>
      <c r="U11" s="10">
        <f t="shared" ca="1" si="3"/>
        <v>17.547803854831507</v>
      </c>
      <c r="V11" s="10">
        <f t="shared" ca="1" si="4"/>
        <v>0</v>
      </c>
    </row>
    <row r="12" spans="1:22" ht="15" customHeight="1" x14ac:dyDescent="0.45">
      <c r="B12" s="6" t="s">
        <v>46</v>
      </c>
      <c r="L12" s="9">
        <v>8</v>
      </c>
      <c r="M12" s="10">
        <f t="shared" ca="1" si="5"/>
        <v>15.748383804596964</v>
      </c>
      <c r="N12" s="10">
        <f t="shared" ca="1" si="0"/>
        <v>0.34839169375305012</v>
      </c>
      <c r="O12" s="10">
        <f t="shared" ca="1" si="6"/>
        <v>17.547803854831507</v>
      </c>
      <c r="P12" s="10">
        <f t="shared" ca="1" si="7"/>
        <v>10.663547192600637</v>
      </c>
      <c r="Q12" s="10">
        <f t="shared" ca="1" si="8"/>
        <v>1000000000</v>
      </c>
      <c r="R12" s="10">
        <f t="shared" ca="1" si="9"/>
        <v>1000000000</v>
      </c>
      <c r="S12" s="9">
        <f t="shared" ca="1" si="1"/>
        <v>2</v>
      </c>
      <c r="T12" s="10">
        <f t="shared" ca="1" si="2"/>
        <v>15.748383804596964</v>
      </c>
      <c r="U12" s="10">
        <f t="shared" ca="1" si="3"/>
        <v>16.096775498350013</v>
      </c>
      <c r="V12" s="10">
        <f t="shared" ca="1" si="4"/>
        <v>0</v>
      </c>
    </row>
    <row r="13" spans="1:22" ht="28.05" customHeight="1" x14ac:dyDescent="0.45"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  <c r="I13" s="3" t="s">
        <v>54</v>
      </c>
      <c r="L13" s="9">
        <v>9</v>
      </c>
      <c r="M13" s="10">
        <f t="shared" ca="1" si="5"/>
        <v>17.054611154475424</v>
      </c>
      <c r="N13" s="10">
        <f t="shared" ca="1" si="0"/>
        <v>1.5036229495725564</v>
      </c>
      <c r="O13" s="10">
        <f t="shared" ca="1" si="6"/>
        <v>17.547803854831507</v>
      </c>
      <c r="P13" s="10">
        <f t="shared" ca="1" si="7"/>
        <v>16.096775498350013</v>
      </c>
      <c r="Q13" s="10">
        <f t="shared" ca="1" si="8"/>
        <v>1000000000</v>
      </c>
      <c r="R13" s="10">
        <f t="shared" ca="1" si="9"/>
        <v>1000000000</v>
      </c>
      <c r="S13" s="9">
        <f t="shared" ca="1" si="1"/>
        <v>2</v>
      </c>
      <c r="T13" s="10">
        <f t="shared" ca="1" si="2"/>
        <v>17.054611154475424</v>
      </c>
      <c r="U13" s="10">
        <f t="shared" ca="1" si="3"/>
        <v>18.55823410404798</v>
      </c>
      <c r="V13" s="10">
        <f t="shared" ca="1" si="4"/>
        <v>0</v>
      </c>
    </row>
    <row r="14" spans="1:22" ht="15" customHeight="1" x14ac:dyDescent="0.45">
      <c r="B14" s="9">
        <v>1</v>
      </c>
      <c r="C14" s="12">
        <f t="shared" ref="C14:C21" si="10">$C$10^B14/FACT(B14)</f>
        <v>0.83333333333333337</v>
      </c>
      <c r="D14" s="12">
        <f>1</f>
        <v>1</v>
      </c>
      <c r="E14" s="11">
        <f t="shared" ref="E14:E21" si="11">$C$10/B14</f>
        <v>0.83333333333333337</v>
      </c>
      <c r="F14" s="13">
        <f t="shared" ref="F14:F21" si="12">IF(E14&lt;1,(C14/(1-E14))/(D14+C14/(1-E14)),"inestable")</f>
        <v>0.83333333333333337</v>
      </c>
      <c r="G14" s="11">
        <f t="shared" ref="G14:G21" si="13">IF(E14&lt;1,60*F14/(B14*$C$6-$C$5),"")</f>
        <v>5</v>
      </c>
      <c r="H14" s="11">
        <f t="shared" ref="H14:H21" si="14">IF(E14&lt;1,$C$5*G14/60,"")</f>
        <v>4.166666666666667</v>
      </c>
      <c r="I14" s="14">
        <f t="shared" ref="I14:I21" si="15">IF(E14&lt;1,$C$8*B14+$C$7*H14,"")</f>
        <v>150000</v>
      </c>
      <c r="L14" s="9">
        <v>10</v>
      </c>
      <c r="M14" s="10">
        <f t="shared" ca="1" si="5"/>
        <v>18.620683106535033</v>
      </c>
      <c r="N14" s="10">
        <f t="shared" ca="1" si="0"/>
        <v>0.50249717616912593</v>
      </c>
      <c r="O14" s="10">
        <f t="shared" ca="1" si="6"/>
        <v>17.547803854831507</v>
      </c>
      <c r="P14" s="10">
        <f t="shared" ca="1" si="7"/>
        <v>18.55823410404798</v>
      </c>
      <c r="Q14" s="10">
        <f t="shared" ca="1" si="8"/>
        <v>1000000000</v>
      </c>
      <c r="R14" s="10">
        <f t="shared" ca="1" si="9"/>
        <v>1000000000</v>
      </c>
      <c r="S14" s="9">
        <f t="shared" ca="1" si="1"/>
        <v>1</v>
      </c>
      <c r="T14" s="10">
        <f t="shared" ca="1" si="2"/>
        <v>18.620683106535033</v>
      </c>
      <c r="U14" s="10">
        <f t="shared" ca="1" si="3"/>
        <v>19.123180282704158</v>
      </c>
      <c r="V14" s="10">
        <f t="shared" ca="1" si="4"/>
        <v>0</v>
      </c>
    </row>
    <row r="15" spans="1:22" ht="15" customHeight="1" x14ac:dyDescent="0.45">
      <c r="B15" s="9">
        <v>2</v>
      </c>
      <c r="C15" s="12">
        <f t="shared" si="10"/>
        <v>0.34722222222222227</v>
      </c>
      <c r="D15" s="12">
        <f t="shared" ref="D15:D21" si="16">D14+C14</f>
        <v>1.8333333333333335</v>
      </c>
      <c r="E15" s="11">
        <f t="shared" si="11"/>
        <v>0.41666666666666669</v>
      </c>
      <c r="F15" s="13">
        <f t="shared" si="12"/>
        <v>0.24509803921568629</v>
      </c>
      <c r="G15" s="11">
        <f t="shared" si="13"/>
        <v>0.21008403361344538</v>
      </c>
      <c r="H15" s="11">
        <f t="shared" si="14"/>
        <v>0.17507002801120447</v>
      </c>
      <c r="I15" s="14">
        <f t="shared" si="15"/>
        <v>55252.100840336134</v>
      </c>
      <c r="L15" s="9">
        <v>11</v>
      </c>
      <c r="M15" s="10">
        <f t="shared" ca="1" si="5"/>
        <v>19.065120389614318</v>
      </c>
      <c r="N15" s="10">
        <f t="shared" ca="1" si="0"/>
        <v>1.4108930505731716</v>
      </c>
      <c r="O15" s="10">
        <f t="shared" ca="1" si="6"/>
        <v>19.123180282704158</v>
      </c>
      <c r="P15" s="10">
        <f t="shared" ca="1" si="7"/>
        <v>18.55823410404798</v>
      </c>
      <c r="Q15" s="10">
        <f t="shared" ca="1" si="8"/>
        <v>1000000000</v>
      </c>
      <c r="R15" s="10">
        <f t="shared" ca="1" si="9"/>
        <v>1000000000</v>
      </c>
      <c r="S15" s="9">
        <f t="shared" ca="1" si="1"/>
        <v>2</v>
      </c>
      <c r="T15" s="10">
        <f t="shared" ca="1" si="2"/>
        <v>19.065120389614318</v>
      </c>
      <c r="U15" s="10">
        <f t="shared" ca="1" si="3"/>
        <v>20.47601344018749</v>
      </c>
      <c r="V15" s="10">
        <f t="shared" ca="1" si="4"/>
        <v>0</v>
      </c>
    </row>
    <row r="16" spans="1:22" ht="15" customHeight="1" x14ac:dyDescent="0.45">
      <c r="B16" s="9">
        <v>3</v>
      </c>
      <c r="C16" s="12">
        <f t="shared" si="10"/>
        <v>9.6450617283950643E-2</v>
      </c>
      <c r="D16" s="12">
        <f t="shared" si="16"/>
        <v>2.1805555555555558</v>
      </c>
      <c r="E16" s="11">
        <f t="shared" si="11"/>
        <v>0.27777777777777779</v>
      </c>
      <c r="F16" s="13">
        <f t="shared" si="12"/>
        <v>5.7710064635272396E-2</v>
      </c>
      <c r="G16" s="11">
        <f t="shared" si="13"/>
        <v>2.6635414447048797E-2</v>
      </c>
      <c r="H16" s="11">
        <f t="shared" si="14"/>
        <v>2.2196178705873995E-2</v>
      </c>
      <c r="I16" s="14">
        <f t="shared" si="15"/>
        <v>75665.885361176217</v>
      </c>
      <c r="L16" s="9">
        <v>12</v>
      </c>
      <c r="M16" s="10">
        <f t="shared" ca="1" si="5"/>
        <v>19.188029165861167</v>
      </c>
      <c r="N16" s="10">
        <f t="shared" ca="1" si="0"/>
        <v>0.2956689786625043</v>
      </c>
      <c r="O16" s="10">
        <f t="shared" ca="1" si="6"/>
        <v>19.123180282704158</v>
      </c>
      <c r="P16" s="10">
        <f t="shared" ca="1" si="7"/>
        <v>20.47601344018749</v>
      </c>
      <c r="Q16" s="10">
        <f t="shared" ca="1" si="8"/>
        <v>1000000000</v>
      </c>
      <c r="R16" s="10">
        <f t="shared" ca="1" si="9"/>
        <v>1000000000</v>
      </c>
      <c r="S16" s="9">
        <f t="shared" ca="1" si="1"/>
        <v>1</v>
      </c>
      <c r="T16" s="10">
        <f t="shared" ca="1" si="2"/>
        <v>19.188029165861167</v>
      </c>
      <c r="U16" s="10">
        <f t="shared" ca="1" si="3"/>
        <v>19.483698144523672</v>
      </c>
      <c r="V16" s="10">
        <f t="shared" ca="1" si="4"/>
        <v>0</v>
      </c>
    </row>
    <row r="17" spans="2:22" ht="15" customHeight="1" x14ac:dyDescent="0.45">
      <c r="B17" s="9">
        <v>4</v>
      </c>
      <c r="C17" s="12">
        <f t="shared" si="10"/>
        <v>2.009387860082305E-2</v>
      </c>
      <c r="D17" s="12">
        <f t="shared" si="16"/>
        <v>2.2770061728395063</v>
      </c>
      <c r="E17" s="11">
        <f t="shared" si="11"/>
        <v>0.20833333333333334</v>
      </c>
      <c r="F17" s="13">
        <f t="shared" si="12"/>
        <v>1.1024094260415567E-2</v>
      </c>
      <c r="G17" s="11">
        <f t="shared" si="13"/>
        <v>3.4812929243417581E-3</v>
      </c>
      <c r="H17" s="11">
        <f t="shared" si="14"/>
        <v>2.9010774369514648E-3</v>
      </c>
      <c r="I17" s="14">
        <f t="shared" si="15"/>
        <v>100087.03232310855</v>
      </c>
      <c r="L17" s="9">
        <v>13</v>
      </c>
      <c r="M17" s="10">
        <f t="shared" ca="1" si="5"/>
        <v>19.259961309238395</v>
      </c>
      <c r="N17" s="10">
        <f t="shared" ca="1" si="0"/>
        <v>0.30034280725246543</v>
      </c>
      <c r="O17" s="10">
        <f t="shared" ca="1" si="6"/>
        <v>19.483698144523672</v>
      </c>
      <c r="P17" s="10">
        <f t="shared" ca="1" si="7"/>
        <v>20.47601344018749</v>
      </c>
      <c r="Q17" s="10">
        <f t="shared" ca="1" si="8"/>
        <v>1000000000</v>
      </c>
      <c r="R17" s="10">
        <f t="shared" ca="1" si="9"/>
        <v>1000000000</v>
      </c>
      <c r="S17" s="9">
        <f t="shared" ca="1" si="1"/>
        <v>1</v>
      </c>
      <c r="T17" s="10">
        <f t="shared" ca="1" si="2"/>
        <v>19.483698144523672</v>
      </c>
      <c r="U17" s="10">
        <f t="shared" ca="1" si="3"/>
        <v>19.784040951776138</v>
      </c>
      <c r="V17" s="10">
        <f t="shared" ca="1" si="4"/>
        <v>0.22373683528527621</v>
      </c>
    </row>
    <row r="18" spans="2:22" ht="15" customHeight="1" x14ac:dyDescent="0.45">
      <c r="B18" s="9">
        <v>5</v>
      </c>
      <c r="C18" s="12">
        <f t="shared" si="10"/>
        <v>3.348979766803842E-3</v>
      </c>
      <c r="D18" s="12">
        <f t="shared" si="16"/>
        <v>2.2971000514403292</v>
      </c>
      <c r="E18" s="11">
        <f t="shared" si="11"/>
        <v>0.16666666666666669</v>
      </c>
      <c r="F18" s="13">
        <f t="shared" si="12"/>
        <v>1.7464442395283212E-3</v>
      </c>
      <c r="G18" s="11">
        <f t="shared" si="13"/>
        <v>4.1914661748679712E-4</v>
      </c>
      <c r="H18" s="11">
        <f t="shared" si="14"/>
        <v>3.4928884790566431E-4</v>
      </c>
      <c r="I18" s="14">
        <f t="shared" si="15"/>
        <v>125010.47866543717</v>
      </c>
      <c r="L18" s="9">
        <v>14</v>
      </c>
      <c r="M18" s="10">
        <f t="shared" ca="1" si="5"/>
        <v>19.762260828286934</v>
      </c>
      <c r="N18" s="10">
        <f t="shared" ca="1" si="0"/>
        <v>4.0032649326774097E-2</v>
      </c>
      <c r="O18" s="10">
        <f t="shared" ca="1" si="6"/>
        <v>19.784040951776138</v>
      </c>
      <c r="P18" s="10">
        <f t="shared" ca="1" si="7"/>
        <v>20.47601344018749</v>
      </c>
      <c r="Q18" s="10">
        <f t="shared" ca="1" si="8"/>
        <v>1000000000</v>
      </c>
      <c r="R18" s="10">
        <f t="shared" ca="1" si="9"/>
        <v>1000000000</v>
      </c>
      <c r="S18" s="9">
        <f t="shared" ca="1" si="1"/>
        <v>1</v>
      </c>
      <c r="T18" s="10">
        <f t="shared" ca="1" si="2"/>
        <v>19.784040951776138</v>
      </c>
      <c r="U18" s="10">
        <f t="shared" ca="1" si="3"/>
        <v>19.824073601102913</v>
      </c>
      <c r="V18" s="10">
        <f t="shared" ca="1" si="4"/>
        <v>2.1780123489204328E-2</v>
      </c>
    </row>
    <row r="19" spans="2:22" ht="15" customHeight="1" x14ac:dyDescent="0.45">
      <c r="B19" s="9">
        <v>6</v>
      </c>
      <c r="C19" s="12">
        <f t="shared" si="10"/>
        <v>4.6513607872275591E-4</v>
      </c>
      <c r="D19" s="12">
        <f t="shared" si="16"/>
        <v>2.3004490312071333</v>
      </c>
      <c r="E19" s="11">
        <f t="shared" si="11"/>
        <v>0.1388888888888889</v>
      </c>
      <c r="F19" s="13">
        <f t="shared" si="12"/>
        <v>2.3475035407865413E-4</v>
      </c>
      <c r="G19" s="11">
        <f t="shared" si="13"/>
        <v>4.5435552402320156E-5</v>
      </c>
      <c r="H19" s="11">
        <f t="shared" si="14"/>
        <v>3.7862960335266798E-5</v>
      </c>
      <c r="I19" s="14">
        <f t="shared" si="15"/>
        <v>150001.13588881007</v>
      </c>
      <c r="L19" s="9">
        <v>15</v>
      </c>
      <c r="M19" s="10">
        <f t="shared" ca="1" si="5"/>
        <v>20.92700363042756</v>
      </c>
      <c r="N19" s="10">
        <f t="shared" ca="1" si="0"/>
        <v>8.9349565892175437E-2</v>
      </c>
      <c r="O19" s="10">
        <f t="shared" ca="1" si="6"/>
        <v>19.824073601102913</v>
      </c>
      <c r="P19" s="10">
        <f t="shared" ca="1" si="7"/>
        <v>20.47601344018749</v>
      </c>
      <c r="Q19" s="10">
        <f t="shared" ca="1" si="8"/>
        <v>1000000000</v>
      </c>
      <c r="R19" s="10">
        <f t="shared" ca="1" si="9"/>
        <v>1000000000</v>
      </c>
      <c r="S19" s="9">
        <f t="shared" ca="1" si="1"/>
        <v>1</v>
      </c>
      <c r="T19" s="10">
        <f t="shared" ca="1" si="2"/>
        <v>20.92700363042756</v>
      </c>
      <c r="U19" s="10">
        <f t="shared" ca="1" si="3"/>
        <v>21.016353196319734</v>
      </c>
      <c r="V19" s="10">
        <f t="shared" ca="1" si="4"/>
        <v>0</v>
      </c>
    </row>
    <row r="20" spans="2:22" ht="15" customHeight="1" x14ac:dyDescent="0.45">
      <c r="B20" s="9">
        <v>7</v>
      </c>
      <c r="C20" s="12">
        <f t="shared" si="10"/>
        <v>5.5373342705089987E-5</v>
      </c>
      <c r="D20" s="12">
        <f t="shared" si="16"/>
        <v>2.300914167285856</v>
      </c>
      <c r="E20" s="11">
        <f t="shared" si="11"/>
        <v>0.11904761904761905</v>
      </c>
      <c r="F20" s="13">
        <f t="shared" si="12"/>
        <v>2.7317190137982818E-5</v>
      </c>
      <c r="G20" s="11">
        <f t="shared" si="13"/>
        <v>4.4298146169701865E-6</v>
      </c>
      <c r="H20" s="11">
        <f t="shared" si="14"/>
        <v>3.6915121808084886E-6</v>
      </c>
      <c r="I20" s="14">
        <f t="shared" si="15"/>
        <v>175000.11074536541</v>
      </c>
      <c r="L20" s="9">
        <v>16</v>
      </c>
      <c r="M20" s="10">
        <f t="shared" ca="1" si="5"/>
        <v>21.08570670521425</v>
      </c>
      <c r="N20" s="10">
        <f t="shared" ca="1" si="0"/>
        <v>0.44429661838678475</v>
      </c>
      <c r="O20" s="10">
        <f t="shared" ca="1" si="6"/>
        <v>21.016353196319734</v>
      </c>
      <c r="P20" s="10">
        <f t="shared" ca="1" si="7"/>
        <v>20.47601344018749</v>
      </c>
      <c r="Q20" s="10">
        <f t="shared" ca="1" si="8"/>
        <v>1000000000</v>
      </c>
      <c r="R20" s="10">
        <f t="shared" ca="1" si="9"/>
        <v>1000000000</v>
      </c>
      <c r="S20" s="9">
        <f t="shared" ca="1" si="1"/>
        <v>2</v>
      </c>
      <c r="T20" s="10">
        <f t="shared" ca="1" si="2"/>
        <v>21.08570670521425</v>
      </c>
      <c r="U20" s="10">
        <f t="shared" ca="1" si="3"/>
        <v>21.530003323601033</v>
      </c>
      <c r="V20" s="10">
        <f t="shared" ca="1" si="4"/>
        <v>0</v>
      </c>
    </row>
    <row r="21" spans="2:22" ht="15" customHeight="1" x14ac:dyDescent="0.45">
      <c r="B21" s="9">
        <v>8</v>
      </c>
      <c r="C21" s="12">
        <f t="shared" si="10"/>
        <v>5.7680565317802078E-6</v>
      </c>
      <c r="D21" s="12">
        <f t="shared" si="16"/>
        <v>2.3009695406285608</v>
      </c>
      <c r="E21" s="11">
        <f t="shared" si="11"/>
        <v>0.10416666666666667</v>
      </c>
      <c r="F21" s="13">
        <f t="shared" si="12"/>
        <v>2.7982737922237761E-6</v>
      </c>
      <c r="G21" s="11">
        <f t="shared" si="13"/>
        <v>3.9045680821727108E-7</v>
      </c>
      <c r="H21" s="11">
        <f t="shared" si="14"/>
        <v>3.253806735143926E-7</v>
      </c>
      <c r="I21" s="14">
        <f t="shared" si="15"/>
        <v>200000.00976142019</v>
      </c>
      <c r="L21" s="9">
        <v>17</v>
      </c>
      <c r="M21" s="10">
        <f t="shared" ca="1" si="5"/>
        <v>21.528156975335939</v>
      </c>
      <c r="N21" s="10">
        <f t="shared" ca="1" si="0"/>
        <v>0.74233374616929693</v>
      </c>
      <c r="O21" s="10">
        <f t="shared" ca="1" si="6"/>
        <v>21.016353196319734</v>
      </c>
      <c r="P21" s="10">
        <f t="shared" ca="1" si="7"/>
        <v>21.530003323601033</v>
      </c>
      <c r="Q21" s="10">
        <f t="shared" ca="1" si="8"/>
        <v>1000000000</v>
      </c>
      <c r="R21" s="10">
        <f t="shared" ca="1" si="9"/>
        <v>1000000000</v>
      </c>
      <c r="S21" s="9">
        <f t="shared" ca="1" si="1"/>
        <v>1</v>
      </c>
      <c r="T21" s="10">
        <f t="shared" ca="1" si="2"/>
        <v>21.528156975335939</v>
      </c>
      <c r="U21" s="10">
        <f t="shared" ca="1" si="3"/>
        <v>22.270490721505237</v>
      </c>
      <c r="V21" s="10">
        <f t="shared" ca="1" si="4"/>
        <v>0</v>
      </c>
    </row>
    <row r="22" spans="2:22" ht="15" customHeight="1" x14ac:dyDescent="0.45">
      <c r="L22" s="9">
        <v>18</v>
      </c>
      <c r="M22" s="10">
        <f t="shared" ca="1" si="5"/>
        <v>21.581961167909903</v>
      </c>
      <c r="N22" s="10">
        <f t="shared" ca="1" si="0"/>
        <v>1.9069623625595684E-2</v>
      </c>
      <c r="O22" s="10">
        <f t="shared" ca="1" si="6"/>
        <v>22.270490721505237</v>
      </c>
      <c r="P22" s="10">
        <f t="shared" ca="1" si="7"/>
        <v>21.530003323601033</v>
      </c>
      <c r="Q22" s="10">
        <f t="shared" ca="1" si="8"/>
        <v>1000000000</v>
      </c>
      <c r="R22" s="10">
        <f t="shared" ca="1" si="9"/>
        <v>1000000000</v>
      </c>
      <c r="S22" s="9">
        <f t="shared" ca="1" si="1"/>
        <v>2</v>
      </c>
      <c r="T22" s="10">
        <f t="shared" ca="1" si="2"/>
        <v>21.581961167909903</v>
      </c>
      <c r="U22" s="10">
        <f t="shared" ca="1" si="3"/>
        <v>21.6010307915355</v>
      </c>
      <c r="V22" s="10">
        <f t="shared" ca="1" si="4"/>
        <v>0</v>
      </c>
    </row>
    <row r="23" spans="2:22" ht="15" customHeight="1" x14ac:dyDescent="0.45">
      <c r="B23" s="4" t="s">
        <v>55</v>
      </c>
      <c r="C23" s="15">
        <f>INDEX(B14:B21,MATCH(MIN(I14:I21),I14:I21,0))</f>
        <v>2</v>
      </c>
      <c r="L23" s="9">
        <v>19</v>
      </c>
      <c r="M23" s="10">
        <f t="shared" ca="1" si="5"/>
        <v>23.101628504724697</v>
      </c>
      <c r="N23" s="10">
        <f t="shared" ca="1" si="0"/>
        <v>2.4333905009044567</v>
      </c>
      <c r="O23" s="10">
        <f t="shared" ca="1" si="6"/>
        <v>22.270490721505237</v>
      </c>
      <c r="P23" s="10">
        <f t="shared" ca="1" si="7"/>
        <v>21.6010307915355</v>
      </c>
      <c r="Q23" s="10">
        <f t="shared" ca="1" si="8"/>
        <v>1000000000</v>
      </c>
      <c r="R23" s="10">
        <f t="shared" ca="1" si="9"/>
        <v>1000000000</v>
      </c>
      <c r="S23" s="9">
        <f t="shared" ca="1" si="1"/>
        <v>2</v>
      </c>
      <c r="T23" s="10">
        <f t="shared" ca="1" si="2"/>
        <v>23.101628504724697</v>
      </c>
      <c r="U23" s="10">
        <f t="shared" ca="1" si="3"/>
        <v>25.535019005629152</v>
      </c>
      <c r="V23" s="10">
        <f t="shared" ca="1" si="4"/>
        <v>0</v>
      </c>
    </row>
    <row r="24" spans="2:22" ht="15" customHeight="1" x14ac:dyDescent="0.45">
      <c r="L24" s="9">
        <v>20</v>
      </c>
      <c r="M24" s="10">
        <f t="shared" ca="1" si="5"/>
        <v>23.30567306240728</v>
      </c>
      <c r="N24" s="10">
        <f t="shared" ca="1" si="0"/>
        <v>1.3642052442015478</v>
      </c>
      <c r="O24" s="10">
        <f t="shared" ca="1" si="6"/>
        <v>22.270490721505237</v>
      </c>
      <c r="P24" s="10">
        <f t="shared" ca="1" si="7"/>
        <v>25.535019005629152</v>
      </c>
      <c r="Q24" s="10">
        <f t="shared" ca="1" si="8"/>
        <v>1000000000</v>
      </c>
      <c r="R24" s="10">
        <f t="shared" ca="1" si="9"/>
        <v>1000000000</v>
      </c>
      <c r="S24" s="9">
        <f t="shared" ca="1" si="1"/>
        <v>1</v>
      </c>
      <c r="T24" s="10">
        <f t="shared" ca="1" si="2"/>
        <v>23.30567306240728</v>
      </c>
      <c r="U24" s="10">
        <f t="shared" ca="1" si="3"/>
        <v>24.669878306608826</v>
      </c>
      <c r="V24" s="10">
        <f t="shared" ca="1" si="4"/>
        <v>0</v>
      </c>
    </row>
    <row r="25" spans="2:22" ht="15" customHeight="1" x14ac:dyDescent="0.45">
      <c r="B25" s="6" t="s">
        <v>56</v>
      </c>
      <c r="L25" s="9">
        <v>21</v>
      </c>
      <c r="M25" s="10">
        <f t="shared" ca="1" si="5"/>
        <v>24.433801761460241</v>
      </c>
      <c r="N25" s="10">
        <f t="shared" ca="1" si="0"/>
        <v>2.7360715995987119</v>
      </c>
      <c r="O25" s="10">
        <f t="shared" ca="1" si="6"/>
        <v>24.669878306608826</v>
      </c>
      <c r="P25" s="10">
        <f t="shared" ca="1" si="7"/>
        <v>25.535019005629152</v>
      </c>
      <c r="Q25" s="10">
        <f t="shared" ca="1" si="8"/>
        <v>1000000000</v>
      </c>
      <c r="R25" s="10">
        <f t="shared" ca="1" si="9"/>
        <v>1000000000</v>
      </c>
      <c r="S25" s="9">
        <f t="shared" ca="1" si="1"/>
        <v>1</v>
      </c>
      <c r="T25" s="10">
        <f t="shared" ca="1" si="2"/>
        <v>24.669878306608826</v>
      </c>
      <c r="U25" s="10">
        <f t="shared" ca="1" si="3"/>
        <v>27.405949906207539</v>
      </c>
      <c r="V25" s="10">
        <f t="shared" ca="1" si="4"/>
        <v>0.23607654514858467</v>
      </c>
    </row>
    <row r="26" spans="2:22" ht="24" customHeight="1" x14ac:dyDescent="0.45">
      <c r="B26" s="39" t="s">
        <v>57</v>
      </c>
      <c r="C26" s="40"/>
      <c r="D26" s="38" t="s">
        <v>58</v>
      </c>
      <c r="E26" s="35"/>
      <c r="F26" s="32" t="s">
        <v>59</v>
      </c>
      <c r="G26" s="33"/>
      <c r="H26" s="44" t="s">
        <v>54</v>
      </c>
      <c r="I26" s="31"/>
      <c r="L26" s="9">
        <v>22</v>
      </c>
      <c r="M26" s="10">
        <f t="shared" ca="1" si="5"/>
        <v>27.280977908837031</v>
      </c>
      <c r="N26" s="10">
        <f t="shared" ca="1" si="0"/>
        <v>1.242525649341004</v>
      </c>
      <c r="O26" s="10">
        <f t="shared" ca="1" si="6"/>
        <v>27.405949906207539</v>
      </c>
      <c r="P26" s="10">
        <f t="shared" ca="1" si="7"/>
        <v>25.535019005629152</v>
      </c>
      <c r="Q26" s="10">
        <f t="shared" ca="1" si="8"/>
        <v>1000000000</v>
      </c>
      <c r="R26" s="10">
        <f t="shared" ca="1" si="9"/>
        <v>1000000000</v>
      </c>
      <c r="S26" s="9">
        <f t="shared" ca="1" si="1"/>
        <v>2</v>
      </c>
      <c r="T26" s="10">
        <f t="shared" ca="1" si="2"/>
        <v>27.280977908837031</v>
      </c>
      <c r="U26" s="10">
        <f t="shared" ca="1" si="3"/>
        <v>28.523503558178035</v>
      </c>
      <c r="V26" s="10">
        <f t="shared" ca="1" si="4"/>
        <v>0</v>
      </c>
    </row>
    <row r="27" spans="2:22" ht="17" customHeight="1" x14ac:dyDescent="0.45">
      <c r="B27" s="42">
        <f>INDEX(E14:E21,MATCH($C$9,$B$14:$B$21,0))</f>
        <v>0.41666666666666669</v>
      </c>
      <c r="C27" s="40"/>
      <c r="D27" s="34">
        <f>INDEX(F14:F21,MATCH($C$9,$B$14:$B$21,0))</f>
        <v>0.24509803921568629</v>
      </c>
      <c r="E27" s="35"/>
      <c r="F27" s="41">
        <f>INDEX(G14:G21,MATCH($C$9,$B$14:$B$21,0))</f>
        <v>0.21008403361344538</v>
      </c>
      <c r="G27" s="33"/>
      <c r="H27" s="30">
        <f>INDEX(I14:I21,MATCH($C$9,$B$14:$B$21,0))</f>
        <v>55252.100840336134</v>
      </c>
      <c r="I27" s="31"/>
      <c r="L27" s="9">
        <v>23</v>
      </c>
      <c r="M27" s="10">
        <f t="shared" ca="1" si="5"/>
        <v>27.82070092071281</v>
      </c>
      <c r="N27" s="10">
        <f t="shared" ca="1" si="0"/>
        <v>1.2290216059393666</v>
      </c>
      <c r="O27" s="10">
        <f t="shared" ca="1" si="6"/>
        <v>27.405949906207539</v>
      </c>
      <c r="P27" s="10">
        <f t="shared" ca="1" si="7"/>
        <v>28.523503558178035</v>
      </c>
      <c r="Q27" s="10">
        <f t="shared" ca="1" si="8"/>
        <v>1000000000</v>
      </c>
      <c r="R27" s="10">
        <f t="shared" ca="1" si="9"/>
        <v>1000000000</v>
      </c>
      <c r="S27" s="9">
        <f t="shared" ca="1" si="1"/>
        <v>1</v>
      </c>
      <c r="T27" s="10">
        <f t="shared" ca="1" si="2"/>
        <v>27.82070092071281</v>
      </c>
      <c r="U27" s="10">
        <f t="shared" ca="1" si="3"/>
        <v>29.049722526652175</v>
      </c>
      <c r="V27" s="10">
        <f t="shared" ca="1" si="4"/>
        <v>0</v>
      </c>
    </row>
    <row r="28" spans="2:22" ht="17" customHeight="1" x14ac:dyDescent="0.45">
      <c r="B28" s="40"/>
      <c r="C28" s="40"/>
      <c r="D28" s="35"/>
      <c r="E28" s="35"/>
      <c r="F28" s="33"/>
      <c r="G28" s="33"/>
      <c r="H28" s="31"/>
      <c r="I28" s="31"/>
      <c r="L28" s="9">
        <v>24</v>
      </c>
      <c r="M28" s="10">
        <f t="shared" ca="1" si="5"/>
        <v>29.226182190011052</v>
      </c>
      <c r="N28" s="10">
        <f t="shared" ca="1" si="0"/>
        <v>0.68267517662283261</v>
      </c>
      <c r="O28" s="10">
        <f t="shared" ca="1" si="6"/>
        <v>29.049722526652175</v>
      </c>
      <c r="P28" s="10">
        <f t="shared" ca="1" si="7"/>
        <v>28.523503558178035</v>
      </c>
      <c r="Q28" s="10">
        <f t="shared" ca="1" si="8"/>
        <v>1000000000</v>
      </c>
      <c r="R28" s="10">
        <f t="shared" ca="1" si="9"/>
        <v>1000000000</v>
      </c>
      <c r="S28" s="9">
        <f t="shared" ca="1" si="1"/>
        <v>2</v>
      </c>
      <c r="T28" s="10">
        <f t="shared" ca="1" si="2"/>
        <v>29.226182190011052</v>
      </c>
      <c r="U28" s="10">
        <f t="shared" ca="1" si="3"/>
        <v>29.908857366633885</v>
      </c>
      <c r="V28" s="10">
        <f t="shared" ca="1" si="4"/>
        <v>0</v>
      </c>
    </row>
    <row r="29" spans="2:22" ht="15" customHeight="1" x14ac:dyDescent="0.45">
      <c r="L29" s="9">
        <v>25</v>
      </c>
      <c r="M29" s="10">
        <f t="shared" ca="1" si="5"/>
        <v>30.875571744852397</v>
      </c>
      <c r="N29" s="10">
        <f t="shared" ca="1" si="0"/>
        <v>0.73682420104924462</v>
      </c>
      <c r="O29" s="10">
        <f t="shared" ca="1" si="6"/>
        <v>29.049722526652175</v>
      </c>
      <c r="P29" s="10">
        <f t="shared" ca="1" si="7"/>
        <v>29.908857366633885</v>
      </c>
      <c r="Q29" s="10">
        <f t="shared" ca="1" si="8"/>
        <v>1000000000</v>
      </c>
      <c r="R29" s="10">
        <f t="shared" ca="1" si="9"/>
        <v>1000000000</v>
      </c>
      <c r="S29" s="9">
        <f t="shared" ca="1" si="1"/>
        <v>1</v>
      </c>
      <c r="T29" s="10">
        <f t="shared" ca="1" si="2"/>
        <v>30.875571744852397</v>
      </c>
      <c r="U29" s="10">
        <f t="shared" ca="1" si="3"/>
        <v>31.612395945901643</v>
      </c>
      <c r="V29" s="10">
        <f t="shared" ca="1" si="4"/>
        <v>0</v>
      </c>
    </row>
    <row r="30" spans="2:22" ht="24" customHeight="1" x14ac:dyDescent="0.45">
      <c r="B30" s="32" t="s">
        <v>60</v>
      </c>
      <c r="C30" s="33"/>
      <c r="D30" s="38" t="s">
        <v>61</v>
      </c>
      <c r="E30" s="35"/>
      <c r="F30" s="36" t="s">
        <v>62</v>
      </c>
      <c r="G30" s="37"/>
      <c r="H30" s="39" t="s">
        <v>63</v>
      </c>
      <c r="I30" s="40"/>
      <c r="L30" s="9">
        <v>26</v>
      </c>
      <c r="M30" s="10">
        <f t="shared" ca="1" si="5"/>
        <v>31.993507806439588</v>
      </c>
      <c r="N30" s="10">
        <f t="shared" ca="1" si="0"/>
        <v>0.30531935694604234</v>
      </c>
      <c r="O30" s="10">
        <f t="shared" ca="1" si="6"/>
        <v>31.612395945901643</v>
      </c>
      <c r="P30" s="10">
        <f t="shared" ca="1" si="7"/>
        <v>29.908857366633885</v>
      </c>
      <c r="Q30" s="10">
        <f t="shared" ca="1" si="8"/>
        <v>1000000000</v>
      </c>
      <c r="R30" s="10">
        <f t="shared" ca="1" si="9"/>
        <v>1000000000</v>
      </c>
      <c r="S30" s="9">
        <f t="shared" ca="1" si="1"/>
        <v>2</v>
      </c>
      <c r="T30" s="10">
        <f t="shared" ca="1" si="2"/>
        <v>31.993507806439588</v>
      </c>
      <c r="U30" s="10">
        <f t="shared" ca="1" si="3"/>
        <v>32.298827163385631</v>
      </c>
      <c r="V30" s="10">
        <f t="shared" ca="1" si="4"/>
        <v>0</v>
      </c>
    </row>
    <row r="31" spans="2:22" ht="17" customHeight="1" x14ac:dyDescent="0.45">
      <c r="B31" s="41">
        <f ca="1">AVERAGE(V5:V304)</f>
        <v>9.3015479157402534E-2</v>
      </c>
      <c r="C31" s="33"/>
      <c r="D31" s="34">
        <f ca="1">COUNTIF(V5:V304,"&gt;0.0001")/300</f>
        <v>0</v>
      </c>
      <c r="E31" s="35"/>
      <c r="F31" s="43">
        <f ca="1">SUM(V5:V304)/MAX(U5:U304)</f>
        <v>7.625307461092995E-2</v>
      </c>
      <c r="G31" s="37"/>
      <c r="H31" s="42">
        <f ca="1">SUM(N5:N304)/($C$9*MAX(U5:U304))</f>
        <v>0.39725460559971038</v>
      </c>
      <c r="I31" s="40"/>
      <c r="L31" s="9">
        <v>27</v>
      </c>
      <c r="M31" s="10">
        <f t="shared" ca="1" si="5"/>
        <v>33.526958756739752</v>
      </c>
      <c r="N31" s="10">
        <f t="shared" ca="1" si="0"/>
        <v>1.5376145719394931</v>
      </c>
      <c r="O31" s="10">
        <f t="shared" ca="1" si="6"/>
        <v>31.612395945901643</v>
      </c>
      <c r="P31" s="10">
        <f t="shared" ca="1" si="7"/>
        <v>32.298827163385631</v>
      </c>
      <c r="Q31" s="10">
        <f t="shared" ca="1" si="8"/>
        <v>1000000000</v>
      </c>
      <c r="R31" s="10">
        <f t="shared" ca="1" si="9"/>
        <v>1000000000</v>
      </c>
      <c r="S31" s="9">
        <f t="shared" ca="1" si="1"/>
        <v>1</v>
      </c>
      <c r="T31" s="10">
        <f t="shared" ca="1" si="2"/>
        <v>33.526958756739752</v>
      </c>
      <c r="U31" s="10">
        <f t="shared" ca="1" si="3"/>
        <v>35.064573328679245</v>
      </c>
      <c r="V31" s="10">
        <f t="shared" ca="1" si="4"/>
        <v>0</v>
      </c>
    </row>
    <row r="32" spans="2:22" ht="17" customHeight="1" x14ac:dyDescent="0.45">
      <c r="B32" s="33"/>
      <c r="C32" s="33"/>
      <c r="D32" s="35"/>
      <c r="E32" s="35"/>
      <c r="F32" s="37"/>
      <c r="G32" s="37"/>
      <c r="H32" s="40"/>
      <c r="I32" s="40"/>
      <c r="L32" s="9">
        <v>28</v>
      </c>
      <c r="M32" s="10">
        <f t="shared" ca="1" si="5"/>
        <v>36.558595200584946</v>
      </c>
      <c r="N32" s="10">
        <f t="shared" ca="1" si="0"/>
        <v>0.51266757301751464</v>
      </c>
      <c r="O32" s="10">
        <f t="shared" ca="1" si="6"/>
        <v>35.064573328679245</v>
      </c>
      <c r="P32" s="10">
        <f t="shared" ca="1" si="7"/>
        <v>32.298827163385631</v>
      </c>
      <c r="Q32" s="10">
        <f t="shared" ca="1" si="8"/>
        <v>1000000000</v>
      </c>
      <c r="R32" s="10">
        <f t="shared" ca="1" si="9"/>
        <v>1000000000</v>
      </c>
      <c r="S32" s="9">
        <f t="shared" ca="1" si="1"/>
        <v>2</v>
      </c>
      <c r="T32" s="10">
        <f t="shared" ca="1" si="2"/>
        <v>36.558595200584946</v>
      </c>
      <c r="U32" s="10">
        <f t="shared" ca="1" si="3"/>
        <v>37.071262773602463</v>
      </c>
      <c r="V32" s="10">
        <f t="shared" ca="1" si="4"/>
        <v>0</v>
      </c>
    </row>
    <row r="33" spans="2:22" ht="15" customHeight="1" x14ac:dyDescent="0.45">
      <c r="L33" s="9">
        <v>29</v>
      </c>
      <c r="M33" s="10">
        <f t="shared" ca="1" si="5"/>
        <v>36.769046594543319</v>
      </c>
      <c r="N33" s="10">
        <f t="shared" ca="1" si="0"/>
        <v>0.19013992704536625</v>
      </c>
      <c r="O33" s="10">
        <f t="shared" ca="1" si="6"/>
        <v>35.064573328679245</v>
      </c>
      <c r="P33" s="10">
        <f t="shared" ca="1" si="7"/>
        <v>37.071262773602463</v>
      </c>
      <c r="Q33" s="10">
        <f t="shared" ca="1" si="8"/>
        <v>1000000000</v>
      </c>
      <c r="R33" s="10">
        <f t="shared" ca="1" si="9"/>
        <v>1000000000</v>
      </c>
      <c r="S33" s="9">
        <f t="shared" ca="1" si="1"/>
        <v>1</v>
      </c>
      <c r="T33" s="10">
        <f t="shared" ca="1" si="2"/>
        <v>36.769046594543319</v>
      </c>
      <c r="U33" s="10">
        <f t="shared" ca="1" si="3"/>
        <v>36.959186521588684</v>
      </c>
      <c r="V33" s="10">
        <f t="shared" ca="1" si="4"/>
        <v>0</v>
      </c>
    </row>
    <row r="34" spans="2:22" ht="15" customHeight="1" x14ac:dyDescent="0.45">
      <c r="B34" s="2" t="s">
        <v>64</v>
      </c>
      <c r="L34" s="9">
        <v>30</v>
      </c>
      <c r="M34" s="10">
        <f t="shared" ca="1" si="5"/>
        <v>37.039100695899293</v>
      </c>
      <c r="N34" s="10">
        <f t="shared" ca="1" si="0"/>
        <v>0.11111867553137911</v>
      </c>
      <c r="O34" s="10">
        <f t="shared" ca="1" si="6"/>
        <v>36.959186521588684</v>
      </c>
      <c r="P34" s="10">
        <f t="shared" ca="1" si="7"/>
        <v>37.071262773602463</v>
      </c>
      <c r="Q34" s="10">
        <f t="shared" ca="1" si="8"/>
        <v>1000000000</v>
      </c>
      <c r="R34" s="10">
        <f t="shared" ca="1" si="9"/>
        <v>1000000000</v>
      </c>
      <c r="S34" s="9">
        <f t="shared" ca="1" si="1"/>
        <v>1</v>
      </c>
      <c r="T34" s="10">
        <f t="shared" ca="1" si="2"/>
        <v>37.039100695899293</v>
      </c>
      <c r="U34" s="10">
        <f t="shared" ca="1" si="3"/>
        <v>37.150219371430673</v>
      </c>
      <c r="V34" s="10">
        <f t="shared" ca="1" si="4"/>
        <v>0</v>
      </c>
    </row>
    <row r="35" spans="2:22" ht="15" customHeight="1" x14ac:dyDescent="0.45">
      <c r="L35" s="9">
        <v>31</v>
      </c>
      <c r="M35" s="10">
        <f t="shared" ca="1" si="5"/>
        <v>38.221859078802979</v>
      </c>
      <c r="N35" s="10">
        <f t="shared" ca="1" si="0"/>
        <v>0.39827730447787674</v>
      </c>
      <c r="O35" s="10">
        <f t="shared" ca="1" si="6"/>
        <v>37.150219371430673</v>
      </c>
      <c r="P35" s="10">
        <f t="shared" ca="1" si="7"/>
        <v>37.071262773602463</v>
      </c>
      <c r="Q35" s="10">
        <f t="shared" ca="1" si="8"/>
        <v>1000000000</v>
      </c>
      <c r="R35" s="10">
        <f t="shared" ca="1" si="9"/>
        <v>1000000000</v>
      </c>
      <c r="S35" s="9">
        <f t="shared" ca="1" si="1"/>
        <v>2</v>
      </c>
      <c r="T35" s="10">
        <f t="shared" ca="1" si="2"/>
        <v>38.221859078802979</v>
      </c>
      <c r="U35" s="10">
        <f t="shared" ca="1" si="3"/>
        <v>38.620136383280858</v>
      </c>
      <c r="V35" s="10">
        <f t="shared" ca="1" si="4"/>
        <v>0</v>
      </c>
    </row>
    <row r="36" spans="2:22" ht="15" customHeight="1" x14ac:dyDescent="0.45">
      <c r="L36" s="9">
        <v>32</v>
      </c>
      <c r="M36" s="10">
        <f t="shared" ca="1" si="5"/>
        <v>38.650119616234804</v>
      </c>
      <c r="N36" s="10">
        <f t="shared" ca="1" si="0"/>
        <v>0.51956632081719867</v>
      </c>
      <c r="O36" s="10">
        <f t="shared" ca="1" si="6"/>
        <v>37.150219371430673</v>
      </c>
      <c r="P36" s="10">
        <f t="shared" ca="1" si="7"/>
        <v>38.620136383280858</v>
      </c>
      <c r="Q36" s="10">
        <f t="shared" ca="1" si="8"/>
        <v>1000000000</v>
      </c>
      <c r="R36" s="10">
        <f t="shared" ca="1" si="9"/>
        <v>1000000000</v>
      </c>
      <c r="S36" s="9">
        <f t="shared" ca="1" si="1"/>
        <v>1</v>
      </c>
      <c r="T36" s="10">
        <f t="shared" ca="1" si="2"/>
        <v>38.650119616234804</v>
      </c>
      <c r="U36" s="10">
        <f t="shared" ca="1" si="3"/>
        <v>39.169685937052002</v>
      </c>
      <c r="V36" s="10">
        <f t="shared" ca="1" si="4"/>
        <v>0</v>
      </c>
    </row>
    <row r="37" spans="2:22" ht="15" customHeight="1" x14ac:dyDescent="0.45">
      <c r="L37" s="9">
        <v>33</v>
      </c>
      <c r="M37" s="10">
        <f t="shared" ca="1" si="5"/>
        <v>38.817650335559918</v>
      </c>
      <c r="N37" s="10">
        <f t="shared" ca="1" si="0"/>
        <v>0.58201154073522221</v>
      </c>
      <c r="O37" s="10">
        <f t="shared" ca="1" si="6"/>
        <v>39.169685937052002</v>
      </c>
      <c r="P37" s="10">
        <f t="shared" ca="1" si="7"/>
        <v>38.620136383280858</v>
      </c>
      <c r="Q37" s="10">
        <f t="shared" ca="1" si="8"/>
        <v>1000000000</v>
      </c>
      <c r="R37" s="10">
        <f t="shared" ca="1" si="9"/>
        <v>1000000000</v>
      </c>
      <c r="S37" s="9">
        <f t="shared" ca="1" si="1"/>
        <v>2</v>
      </c>
      <c r="T37" s="10">
        <f t="shared" ca="1" si="2"/>
        <v>38.817650335559918</v>
      </c>
      <c r="U37" s="10">
        <f t="shared" ca="1" si="3"/>
        <v>39.399661876295141</v>
      </c>
      <c r="V37" s="10">
        <f t="shared" ca="1" si="4"/>
        <v>0</v>
      </c>
    </row>
    <row r="38" spans="2:22" ht="15" customHeight="1" x14ac:dyDescent="0.45">
      <c r="L38" s="9">
        <v>34</v>
      </c>
      <c r="M38" s="10">
        <f t="shared" ca="1" si="5"/>
        <v>39.879284500966634</v>
      </c>
      <c r="N38" s="10">
        <f t="shared" ca="1" si="0"/>
        <v>0.29522277376562023</v>
      </c>
      <c r="O38" s="10">
        <f t="shared" ca="1" si="6"/>
        <v>39.169685937052002</v>
      </c>
      <c r="P38" s="10">
        <f t="shared" ca="1" si="7"/>
        <v>39.399661876295141</v>
      </c>
      <c r="Q38" s="10">
        <f t="shared" ca="1" si="8"/>
        <v>1000000000</v>
      </c>
      <c r="R38" s="10">
        <f t="shared" ca="1" si="9"/>
        <v>1000000000</v>
      </c>
      <c r="S38" s="9">
        <f t="shared" ca="1" si="1"/>
        <v>1</v>
      </c>
      <c r="T38" s="10">
        <f t="shared" ca="1" si="2"/>
        <v>39.879284500966634</v>
      </c>
      <c r="U38" s="10">
        <f t="shared" ca="1" si="3"/>
        <v>40.174507274732257</v>
      </c>
      <c r="V38" s="10">
        <f t="shared" ca="1" si="4"/>
        <v>0</v>
      </c>
    </row>
    <row r="39" spans="2:22" ht="15" customHeight="1" x14ac:dyDescent="0.45">
      <c r="L39" s="9">
        <v>35</v>
      </c>
      <c r="M39" s="10">
        <f t="shared" ca="1" si="5"/>
        <v>40.280556582067561</v>
      </c>
      <c r="N39" s="10">
        <f t="shared" ca="1" si="0"/>
        <v>0.31471771442503949</v>
      </c>
      <c r="O39" s="10">
        <f t="shared" ca="1" si="6"/>
        <v>40.174507274732257</v>
      </c>
      <c r="P39" s="10">
        <f t="shared" ca="1" si="7"/>
        <v>39.399661876295141</v>
      </c>
      <c r="Q39" s="10">
        <f t="shared" ca="1" si="8"/>
        <v>1000000000</v>
      </c>
      <c r="R39" s="10">
        <f t="shared" ca="1" si="9"/>
        <v>1000000000</v>
      </c>
      <c r="S39" s="9">
        <f t="shared" ca="1" si="1"/>
        <v>2</v>
      </c>
      <c r="T39" s="10">
        <f t="shared" ca="1" si="2"/>
        <v>40.280556582067561</v>
      </c>
      <c r="U39" s="10">
        <f t="shared" ca="1" si="3"/>
        <v>40.595274296492597</v>
      </c>
      <c r="V39" s="10">
        <f t="shared" ca="1" si="4"/>
        <v>0</v>
      </c>
    </row>
    <row r="40" spans="2:22" ht="15" customHeight="1" x14ac:dyDescent="0.45">
      <c r="L40" s="9">
        <v>36</v>
      </c>
      <c r="M40" s="10">
        <f t="shared" ca="1" si="5"/>
        <v>41.41814985906673</v>
      </c>
      <c r="N40" s="10">
        <f t="shared" ca="1" si="0"/>
        <v>0.64915665009332058</v>
      </c>
      <c r="O40" s="10">
        <f t="shared" ca="1" si="6"/>
        <v>40.174507274732257</v>
      </c>
      <c r="P40" s="10">
        <f t="shared" ca="1" si="7"/>
        <v>40.595274296492597</v>
      </c>
      <c r="Q40" s="10">
        <f t="shared" ca="1" si="8"/>
        <v>1000000000</v>
      </c>
      <c r="R40" s="10">
        <f t="shared" ca="1" si="9"/>
        <v>1000000000</v>
      </c>
      <c r="S40" s="9">
        <f t="shared" ca="1" si="1"/>
        <v>1</v>
      </c>
      <c r="T40" s="10">
        <f t="shared" ca="1" si="2"/>
        <v>41.41814985906673</v>
      </c>
      <c r="U40" s="10">
        <f t="shared" ca="1" si="3"/>
        <v>42.067306509160048</v>
      </c>
      <c r="V40" s="10">
        <f t="shared" ca="1" si="4"/>
        <v>0</v>
      </c>
    </row>
    <row r="41" spans="2:22" ht="15" customHeight="1" x14ac:dyDescent="0.45">
      <c r="L41" s="9">
        <v>37</v>
      </c>
      <c r="M41" s="10">
        <f t="shared" ca="1" si="5"/>
        <v>43.146889744374036</v>
      </c>
      <c r="N41" s="10">
        <f t="shared" ca="1" si="0"/>
        <v>1.4424052251554209</v>
      </c>
      <c r="O41" s="10">
        <f t="shared" ca="1" si="6"/>
        <v>42.067306509160048</v>
      </c>
      <c r="P41" s="10">
        <f t="shared" ca="1" si="7"/>
        <v>40.595274296492597</v>
      </c>
      <c r="Q41" s="10">
        <f t="shared" ca="1" si="8"/>
        <v>1000000000</v>
      </c>
      <c r="R41" s="10">
        <f t="shared" ca="1" si="9"/>
        <v>1000000000</v>
      </c>
      <c r="S41" s="9">
        <f t="shared" ca="1" si="1"/>
        <v>2</v>
      </c>
      <c r="T41" s="10">
        <f t="shared" ca="1" si="2"/>
        <v>43.146889744374036</v>
      </c>
      <c r="U41" s="10">
        <f t="shared" ca="1" si="3"/>
        <v>44.589294969529455</v>
      </c>
      <c r="V41" s="10">
        <f t="shared" ca="1" si="4"/>
        <v>0</v>
      </c>
    </row>
    <row r="42" spans="2:22" ht="15" customHeight="1" x14ac:dyDescent="0.45">
      <c r="L42" s="9">
        <v>38</v>
      </c>
      <c r="M42" s="10">
        <f t="shared" ca="1" si="5"/>
        <v>44.632236900239334</v>
      </c>
      <c r="N42" s="10">
        <f t="shared" ca="1" si="0"/>
        <v>0.19227000203198355</v>
      </c>
      <c r="O42" s="10">
        <f t="shared" ca="1" si="6"/>
        <v>42.067306509160048</v>
      </c>
      <c r="P42" s="10">
        <f t="shared" ca="1" si="7"/>
        <v>44.589294969529455</v>
      </c>
      <c r="Q42" s="10">
        <f t="shared" ca="1" si="8"/>
        <v>1000000000</v>
      </c>
      <c r="R42" s="10">
        <f t="shared" ca="1" si="9"/>
        <v>1000000000</v>
      </c>
      <c r="S42" s="9">
        <f t="shared" ca="1" si="1"/>
        <v>1</v>
      </c>
      <c r="T42" s="10">
        <f t="shared" ca="1" si="2"/>
        <v>44.632236900239334</v>
      </c>
      <c r="U42" s="10">
        <f t="shared" ca="1" si="3"/>
        <v>44.824506902271317</v>
      </c>
      <c r="V42" s="10">
        <f t="shared" ca="1" si="4"/>
        <v>0</v>
      </c>
    </row>
    <row r="43" spans="2:22" ht="15" customHeight="1" x14ac:dyDescent="0.45">
      <c r="L43" s="9">
        <v>39</v>
      </c>
      <c r="M43" s="10">
        <f t="shared" ca="1" si="5"/>
        <v>44.668354265264504</v>
      </c>
      <c r="N43" s="10">
        <f t="shared" ca="1" si="0"/>
        <v>0.18424165963853761</v>
      </c>
      <c r="O43" s="10">
        <f t="shared" ca="1" si="6"/>
        <v>44.824506902271317</v>
      </c>
      <c r="P43" s="10">
        <f t="shared" ca="1" si="7"/>
        <v>44.589294969529455</v>
      </c>
      <c r="Q43" s="10">
        <f t="shared" ca="1" si="8"/>
        <v>1000000000</v>
      </c>
      <c r="R43" s="10">
        <f t="shared" ca="1" si="9"/>
        <v>1000000000</v>
      </c>
      <c r="S43" s="9">
        <f t="shared" ca="1" si="1"/>
        <v>2</v>
      </c>
      <c r="T43" s="10">
        <f t="shared" ca="1" si="2"/>
        <v>44.668354265264504</v>
      </c>
      <c r="U43" s="10">
        <f t="shared" ca="1" si="3"/>
        <v>44.852595924903042</v>
      </c>
      <c r="V43" s="10">
        <f t="shared" ca="1" si="4"/>
        <v>0</v>
      </c>
    </row>
    <row r="44" spans="2:22" ht="15" customHeight="1" x14ac:dyDescent="0.45">
      <c r="L44" s="9">
        <v>40</v>
      </c>
      <c r="M44" s="10">
        <f t="shared" ca="1" si="5"/>
        <v>44.963231696990277</v>
      </c>
      <c r="N44" s="10">
        <f t="shared" ca="1" si="0"/>
        <v>0.5925046268799059</v>
      </c>
      <c r="O44" s="10">
        <f t="shared" ca="1" si="6"/>
        <v>44.824506902271317</v>
      </c>
      <c r="P44" s="10">
        <f t="shared" ca="1" si="7"/>
        <v>44.852595924903042</v>
      </c>
      <c r="Q44" s="10">
        <f t="shared" ca="1" si="8"/>
        <v>1000000000</v>
      </c>
      <c r="R44" s="10">
        <f t="shared" ca="1" si="9"/>
        <v>1000000000</v>
      </c>
      <c r="S44" s="9">
        <f t="shared" ca="1" si="1"/>
        <v>1</v>
      </c>
      <c r="T44" s="10">
        <f t="shared" ca="1" si="2"/>
        <v>44.963231696990277</v>
      </c>
      <c r="U44" s="10">
        <f t="shared" ca="1" si="3"/>
        <v>45.555736323870185</v>
      </c>
      <c r="V44" s="10">
        <f t="shared" ca="1" si="4"/>
        <v>0</v>
      </c>
    </row>
    <row r="45" spans="2:22" ht="15" customHeight="1" x14ac:dyDescent="0.45">
      <c r="L45" s="9">
        <v>41</v>
      </c>
      <c r="M45" s="10">
        <f t="shared" ca="1" si="5"/>
        <v>45.17054249364633</v>
      </c>
      <c r="N45" s="10">
        <f t="shared" ca="1" si="0"/>
        <v>7.0992514260835407</v>
      </c>
      <c r="O45" s="10">
        <f t="shared" ca="1" si="6"/>
        <v>45.555736323870185</v>
      </c>
      <c r="P45" s="10">
        <f t="shared" ca="1" si="7"/>
        <v>44.852595924903042</v>
      </c>
      <c r="Q45" s="10">
        <f t="shared" ca="1" si="8"/>
        <v>1000000000</v>
      </c>
      <c r="R45" s="10">
        <f t="shared" ca="1" si="9"/>
        <v>1000000000</v>
      </c>
      <c r="S45" s="9">
        <f t="shared" ca="1" si="1"/>
        <v>2</v>
      </c>
      <c r="T45" s="10">
        <f t="shared" ca="1" si="2"/>
        <v>45.17054249364633</v>
      </c>
      <c r="U45" s="10">
        <f t="shared" ca="1" si="3"/>
        <v>52.269793919729871</v>
      </c>
      <c r="V45" s="10">
        <f t="shared" ca="1" si="4"/>
        <v>0</v>
      </c>
    </row>
    <row r="46" spans="2:22" ht="15" customHeight="1" x14ac:dyDescent="0.45">
      <c r="L46" s="9">
        <v>42</v>
      </c>
      <c r="M46" s="10">
        <f t="shared" ca="1" si="5"/>
        <v>45.63468507171401</v>
      </c>
      <c r="N46" s="10">
        <f t="shared" ca="1" si="0"/>
        <v>0.28730875243387338</v>
      </c>
      <c r="O46" s="10">
        <f t="shared" ca="1" si="6"/>
        <v>45.555736323870185</v>
      </c>
      <c r="P46" s="10">
        <f t="shared" ca="1" si="7"/>
        <v>52.269793919729871</v>
      </c>
      <c r="Q46" s="10">
        <f t="shared" ca="1" si="8"/>
        <v>1000000000</v>
      </c>
      <c r="R46" s="10">
        <f t="shared" ca="1" si="9"/>
        <v>1000000000</v>
      </c>
      <c r="S46" s="9">
        <f t="shared" ca="1" si="1"/>
        <v>1</v>
      </c>
      <c r="T46" s="10">
        <f t="shared" ca="1" si="2"/>
        <v>45.63468507171401</v>
      </c>
      <c r="U46" s="10">
        <f t="shared" ca="1" si="3"/>
        <v>45.921993824147883</v>
      </c>
      <c r="V46" s="10">
        <f t="shared" ca="1" si="4"/>
        <v>0</v>
      </c>
    </row>
    <row r="47" spans="2:22" ht="15" customHeight="1" x14ac:dyDescent="0.45">
      <c r="L47" s="9">
        <v>43</v>
      </c>
      <c r="M47" s="10">
        <f t="shared" ca="1" si="5"/>
        <v>46.701061403768534</v>
      </c>
      <c r="N47" s="10">
        <f t="shared" ca="1" si="0"/>
        <v>6.7124565031083105E-2</v>
      </c>
      <c r="O47" s="10">
        <f t="shared" ca="1" si="6"/>
        <v>45.921993824147883</v>
      </c>
      <c r="P47" s="10">
        <f t="shared" ca="1" si="7"/>
        <v>52.269793919729871</v>
      </c>
      <c r="Q47" s="10">
        <f t="shared" ca="1" si="8"/>
        <v>1000000000</v>
      </c>
      <c r="R47" s="10">
        <f t="shared" ca="1" si="9"/>
        <v>1000000000</v>
      </c>
      <c r="S47" s="9">
        <f t="shared" ca="1" si="1"/>
        <v>1</v>
      </c>
      <c r="T47" s="10">
        <f t="shared" ca="1" si="2"/>
        <v>46.701061403768534</v>
      </c>
      <c r="U47" s="10">
        <f t="shared" ca="1" si="3"/>
        <v>46.768185968799621</v>
      </c>
      <c r="V47" s="10">
        <f t="shared" ca="1" si="4"/>
        <v>0</v>
      </c>
    </row>
    <row r="48" spans="2:22" ht="15" customHeight="1" x14ac:dyDescent="0.45">
      <c r="L48" s="9">
        <v>44</v>
      </c>
      <c r="M48" s="10">
        <f t="shared" ca="1" si="5"/>
        <v>49.765309662560732</v>
      </c>
      <c r="N48" s="10">
        <f t="shared" ca="1" si="0"/>
        <v>0.6871595732436051</v>
      </c>
      <c r="O48" s="10">
        <f t="shared" ca="1" si="6"/>
        <v>46.768185968799621</v>
      </c>
      <c r="P48" s="10">
        <f t="shared" ca="1" si="7"/>
        <v>52.269793919729871</v>
      </c>
      <c r="Q48" s="10">
        <f t="shared" ca="1" si="8"/>
        <v>1000000000</v>
      </c>
      <c r="R48" s="10">
        <f t="shared" ca="1" si="9"/>
        <v>1000000000</v>
      </c>
      <c r="S48" s="9">
        <f t="shared" ca="1" si="1"/>
        <v>1</v>
      </c>
      <c r="T48" s="10">
        <f t="shared" ca="1" si="2"/>
        <v>49.765309662560732</v>
      </c>
      <c r="U48" s="10">
        <f t="shared" ca="1" si="3"/>
        <v>50.452469235804337</v>
      </c>
      <c r="V48" s="10">
        <f t="shared" ca="1" si="4"/>
        <v>0</v>
      </c>
    </row>
    <row r="49" spans="12:22" ht="15" customHeight="1" x14ac:dyDescent="0.45">
      <c r="L49" s="9">
        <v>45</v>
      </c>
      <c r="M49" s="10">
        <f t="shared" ca="1" si="5"/>
        <v>50.132870485379819</v>
      </c>
      <c r="N49" s="10">
        <f t="shared" ca="1" si="0"/>
        <v>0.14098135408820586</v>
      </c>
      <c r="O49" s="10">
        <f t="shared" ca="1" si="6"/>
        <v>50.452469235804337</v>
      </c>
      <c r="P49" s="10">
        <f t="shared" ca="1" si="7"/>
        <v>52.269793919729871</v>
      </c>
      <c r="Q49" s="10">
        <f t="shared" ca="1" si="8"/>
        <v>1000000000</v>
      </c>
      <c r="R49" s="10">
        <f t="shared" ca="1" si="9"/>
        <v>1000000000</v>
      </c>
      <c r="S49" s="9">
        <f t="shared" ca="1" si="1"/>
        <v>1</v>
      </c>
      <c r="T49" s="10">
        <f t="shared" ca="1" si="2"/>
        <v>50.452469235804337</v>
      </c>
      <c r="U49" s="10">
        <f t="shared" ca="1" si="3"/>
        <v>50.593450589892541</v>
      </c>
      <c r="V49" s="10">
        <f t="shared" ca="1" si="4"/>
        <v>0.31959875042451813</v>
      </c>
    </row>
    <row r="50" spans="12:22" ht="15" customHeight="1" x14ac:dyDescent="0.45">
      <c r="L50" s="9">
        <v>46</v>
      </c>
      <c r="M50" s="10">
        <f t="shared" ca="1" si="5"/>
        <v>51.321425547789389</v>
      </c>
      <c r="N50" s="10">
        <f t="shared" ca="1" si="0"/>
        <v>0.56163205402422589</v>
      </c>
      <c r="O50" s="10">
        <f t="shared" ca="1" si="6"/>
        <v>50.593450589892541</v>
      </c>
      <c r="P50" s="10">
        <f t="shared" ca="1" si="7"/>
        <v>52.269793919729871</v>
      </c>
      <c r="Q50" s="10">
        <f t="shared" ca="1" si="8"/>
        <v>1000000000</v>
      </c>
      <c r="R50" s="10">
        <f t="shared" ca="1" si="9"/>
        <v>1000000000</v>
      </c>
      <c r="S50" s="9">
        <f t="shared" ca="1" si="1"/>
        <v>1</v>
      </c>
      <c r="T50" s="10">
        <f t="shared" ca="1" si="2"/>
        <v>51.321425547789389</v>
      </c>
      <c r="U50" s="10">
        <f t="shared" ca="1" si="3"/>
        <v>51.883057601813611</v>
      </c>
      <c r="V50" s="10">
        <f t="shared" ca="1" si="4"/>
        <v>0</v>
      </c>
    </row>
    <row r="51" spans="12:22" ht="15" customHeight="1" x14ac:dyDescent="0.45">
      <c r="L51" s="9">
        <v>47</v>
      </c>
      <c r="M51" s="10">
        <f t="shared" ca="1" si="5"/>
        <v>52.805106593290411</v>
      </c>
      <c r="N51" s="10">
        <f t="shared" ca="1" si="0"/>
        <v>0.37381539662605257</v>
      </c>
      <c r="O51" s="10">
        <f t="shared" ca="1" si="6"/>
        <v>51.883057601813611</v>
      </c>
      <c r="P51" s="10">
        <f t="shared" ca="1" si="7"/>
        <v>52.269793919729871</v>
      </c>
      <c r="Q51" s="10">
        <f t="shared" ca="1" si="8"/>
        <v>1000000000</v>
      </c>
      <c r="R51" s="10">
        <f t="shared" ca="1" si="9"/>
        <v>1000000000</v>
      </c>
      <c r="S51" s="9">
        <f t="shared" ca="1" si="1"/>
        <v>1</v>
      </c>
      <c r="T51" s="10">
        <f t="shared" ca="1" si="2"/>
        <v>52.805106593290411</v>
      </c>
      <c r="U51" s="10">
        <f t="shared" ca="1" si="3"/>
        <v>53.178921989916461</v>
      </c>
      <c r="V51" s="10">
        <f t="shared" ca="1" si="4"/>
        <v>0</v>
      </c>
    </row>
    <row r="52" spans="12:22" ht="15" customHeight="1" x14ac:dyDescent="0.45">
      <c r="L52" s="9">
        <v>48</v>
      </c>
      <c r="M52" s="10">
        <f t="shared" ca="1" si="5"/>
        <v>54.268457799733866</v>
      </c>
      <c r="N52" s="10">
        <f t="shared" ca="1" si="0"/>
        <v>1.0111791296819859</v>
      </c>
      <c r="O52" s="10">
        <f t="shared" ca="1" si="6"/>
        <v>53.178921989916461</v>
      </c>
      <c r="P52" s="10">
        <f t="shared" ca="1" si="7"/>
        <v>52.269793919729871</v>
      </c>
      <c r="Q52" s="10">
        <f t="shared" ca="1" si="8"/>
        <v>1000000000</v>
      </c>
      <c r="R52" s="10">
        <f t="shared" ca="1" si="9"/>
        <v>1000000000</v>
      </c>
      <c r="S52" s="9">
        <f t="shared" ca="1" si="1"/>
        <v>2</v>
      </c>
      <c r="T52" s="10">
        <f t="shared" ca="1" si="2"/>
        <v>54.268457799733866</v>
      </c>
      <c r="U52" s="10">
        <f t="shared" ca="1" si="3"/>
        <v>55.279636929415851</v>
      </c>
      <c r="V52" s="10">
        <f t="shared" ca="1" si="4"/>
        <v>0</v>
      </c>
    </row>
    <row r="53" spans="12:22" ht="15" customHeight="1" x14ac:dyDescent="0.45">
      <c r="L53" s="9">
        <v>49</v>
      </c>
      <c r="M53" s="10">
        <f t="shared" ca="1" si="5"/>
        <v>54.820318814504972</v>
      </c>
      <c r="N53" s="10">
        <f t="shared" ca="1" si="0"/>
        <v>7.648527598392503E-2</v>
      </c>
      <c r="O53" s="10">
        <f t="shared" ca="1" si="6"/>
        <v>53.178921989916461</v>
      </c>
      <c r="P53" s="10">
        <f t="shared" ca="1" si="7"/>
        <v>55.279636929415851</v>
      </c>
      <c r="Q53" s="10">
        <f t="shared" ca="1" si="8"/>
        <v>1000000000</v>
      </c>
      <c r="R53" s="10">
        <f t="shared" ca="1" si="9"/>
        <v>1000000000</v>
      </c>
      <c r="S53" s="9">
        <f t="shared" ca="1" si="1"/>
        <v>1</v>
      </c>
      <c r="T53" s="10">
        <f t="shared" ca="1" si="2"/>
        <v>54.820318814504972</v>
      </c>
      <c r="U53" s="10">
        <f t="shared" ca="1" si="3"/>
        <v>54.896804090488899</v>
      </c>
      <c r="V53" s="10">
        <f t="shared" ca="1" si="4"/>
        <v>0</v>
      </c>
    </row>
    <row r="54" spans="12:22" ht="15" customHeight="1" x14ac:dyDescent="0.45">
      <c r="L54" s="9">
        <v>50</v>
      </c>
      <c r="M54" s="10">
        <f t="shared" ca="1" si="5"/>
        <v>57.388958773472318</v>
      </c>
      <c r="N54" s="10">
        <f t="shared" ca="1" si="0"/>
        <v>3.5542505495301717</v>
      </c>
      <c r="O54" s="10">
        <f t="shared" ca="1" si="6"/>
        <v>54.896804090488899</v>
      </c>
      <c r="P54" s="10">
        <f t="shared" ca="1" si="7"/>
        <v>55.279636929415851</v>
      </c>
      <c r="Q54" s="10">
        <f t="shared" ca="1" si="8"/>
        <v>1000000000</v>
      </c>
      <c r="R54" s="10">
        <f t="shared" ca="1" si="9"/>
        <v>1000000000</v>
      </c>
      <c r="S54" s="9">
        <f t="shared" ca="1" si="1"/>
        <v>1</v>
      </c>
      <c r="T54" s="10">
        <f t="shared" ca="1" si="2"/>
        <v>57.388958773472318</v>
      </c>
      <c r="U54" s="10">
        <f t="shared" ca="1" si="3"/>
        <v>60.943209323002492</v>
      </c>
      <c r="V54" s="10">
        <f t="shared" ca="1" si="4"/>
        <v>0</v>
      </c>
    </row>
    <row r="55" spans="12:22" ht="15" customHeight="1" x14ac:dyDescent="0.45">
      <c r="L55" s="9">
        <v>51</v>
      </c>
      <c r="M55" s="10">
        <f t="shared" ca="1" si="5"/>
        <v>57.609385888372245</v>
      </c>
      <c r="N55" s="10">
        <f t="shared" ca="1" si="0"/>
        <v>1.6784124995718732</v>
      </c>
      <c r="O55" s="10">
        <f t="shared" ca="1" si="6"/>
        <v>60.943209323002492</v>
      </c>
      <c r="P55" s="10">
        <f t="shared" ca="1" si="7"/>
        <v>55.279636929415851</v>
      </c>
      <c r="Q55" s="10">
        <f t="shared" ca="1" si="8"/>
        <v>1000000000</v>
      </c>
      <c r="R55" s="10">
        <f t="shared" ca="1" si="9"/>
        <v>1000000000</v>
      </c>
      <c r="S55" s="9">
        <f t="shared" ca="1" si="1"/>
        <v>2</v>
      </c>
      <c r="T55" s="10">
        <f t="shared" ca="1" si="2"/>
        <v>57.609385888372245</v>
      </c>
      <c r="U55" s="10">
        <f t="shared" ca="1" si="3"/>
        <v>59.287798387944115</v>
      </c>
      <c r="V55" s="10">
        <f t="shared" ca="1" si="4"/>
        <v>0</v>
      </c>
    </row>
    <row r="56" spans="12:22" ht="15" customHeight="1" x14ac:dyDescent="0.45">
      <c r="L56" s="9">
        <v>52</v>
      </c>
      <c r="M56" s="10">
        <f t="shared" ca="1" si="5"/>
        <v>60.367660431598082</v>
      </c>
      <c r="N56" s="10">
        <f t="shared" ca="1" si="0"/>
        <v>0.53245792541267356</v>
      </c>
      <c r="O56" s="10">
        <f t="shared" ca="1" si="6"/>
        <v>60.943209323002492</v>
      </c>
      <c r="P56" s="10">
        <f t="shared" ca="1" si="7"/>
        <v>59.287798387944115</v>
      </c>
      <c r="Q56" s="10">
        <f t="shared" ca="1" si="8"/>
        <v>1000000000</v>
      </c>
      <c r="R56" s="10">
        <f t="shared" ca="1" si="9"/>
        <v>1000000000</v>
      </c>
      <c r="S56" s="9">
        <f t="shared" ca="1" si="1"/>
        <v>2</v>
      </c>
      <c r="T56" s="10">
        <f t="shared" ca="1" si="2"/>
        <v>60.367660431598082</v>
      </c>
      <c r="U56" s="10">
        <f t="shared" ca="1" si="3"/>
        <v>60.900118357010754</v>
      </c>
      <c r="V56" s="10">
        <f t="shared" ca="1" si="4"/>
        <v>0</v>
      </c>
    </row>
    <row r="57" spans="12:22" ht="15" customHeight="1" x14ac:dyDescent="0.45">
      <c r="L57" s="9">
        <v>53</v>
      </c>
      <c r="M57" s="10">
        <f t="shared" ca="1" si="5"/>
        <v>61.200805299002006</v>
      </c>
      <c r="N57" s="10">
        <f t="shared" ca="1" si="0"/>
        <v>0.19044239585389799</v>
      </c>
      <c r="O57" s="10">
        <f t="shared" ca="1" si="6"/>
        <v>60.943209323002492</v>
      </c>
      <c r="P57" s="10">
        <f t="shared" ca="1" si="7"/>
        <v>60.900118357010754</v>
      </c>
      <c r="Q57" s="10">
        <f t="shared" ca="1" si="8"/>
        <v>1000000000</v>
      </c>
      <c r="R57" s="10">
        <f t="shared" ca="1" si="9"/>
        <v>1000000000</v>
      </c>
      <c r="S57" s="9">
        <f t="shared" ca="1" si="1"/>
        <v>2</v>
      </c>
      <c r="T57" s="10">
        <f t="shared" ca="1" si="2"/>
        <v>61.200805299002006</v>
      </c>
      <c r="U57" s="10">
        <f t="shared" ca="1" si="3"/>
        <v>61.391247694855906</v>
      </c>
      <c r="V57" s="10">
        <f t="shared" ca="1" si="4"/>
        <v>0</v>
      </c>
    </row>
    <row r="58" spans="12:22" ht="15" customHeight="1" x14ac:dyDescent="0.45">
      <c r="L58" s="9">
        <v>54</v>
      </c>
      <c r="M58" s="10">
        <f t="shared" ca="1" si="5"/>
        <v>61.241316029777444</v>
      </c>
      <c r="N58" s="10">
        <f t="shared" ca="1" si="0"/>
        <v>0.75285660882120142</v>
      </c>
      <c r="O58" s="10">
        <f t="shared" ca="1" si="6"/>
        <v>60.943209323002492</v>
      </c>
      <c r="P58" s="10">
        <f t="shared" ca="1" si="7"/>
        <v>61.391247694855906</v>
      </c>
      <c r="Q58" s="10">
        <f t="shared" ca="1" si="8"/>
        <v>1000000000</v>
      </c>
      <c r="R58" s="10">
        <f t="shared" ca="1" si="9"/>
        <v>1000000000</v>
      </c>
      <c r="S58" s="9">
        <f t="shared" ca="1" si="1"/>
        <v>1</v>
      </c>
      <c r="T58" s="10">
        <f t="shared" ca="1" si="2"/>
        <v>61.241316029777444</v>
      </c>
      <c r="U58" s="10">
        <f t="shared" ca="1" si="3"/>
        <v>61.994172638598648</v>
      </c>
      <c r="V58" s="10">
        <f t="shared" ca="1" si="4"/>
        <v>0</v>
      </c>
    </row>
    <row r="59" spans="12:22" ht="15" customHeight="1" x14ac:dyDescent="0.45">
      <c r="L59" s="9">
        <v>55</v>
      </c>
      <c r="M59" s="10">
        <f t="shared" ca="1" si="5"/>
        <v>61.571744592311667</v>
      </c>
      <c r="N59" s="10">
        <f t="shared" ca="1" si="0"/>
        <v>0.9063473463140127</v>
      </c>
      <c r="O59" s="10">
        <f t="shared" ca="1" si="6"/>
        <v>61.994172638598648</v>
      </c>
      <c r="P59" s="10">
        <f t="shared" ca="1" si="7"/>
        <v>61.391247694855906</v>
      </c>
      <c r="Q59" s="10">
        <f t="shared" ca="1" si="8"/>
        <v>1000000000</v>
      </c>
      <c r="R59" s="10">
        <f t="shared" ca="1" si="9"/>
        <v>1000000000</v>
      </c>
      <c r="S59" s="9">
        <f t="shared" ca="1" si="1"/>
        <v>2</v>
      </c>
      <c r="T59" s="10">
        <f t="shared" ca="1" si="2"/>
        <v>61.571744592311667</v>
      </c>
      <c r="U59" s="10">
        <f t="shared" ca="1" si="3"/>
        <v>62.478091938625681</v>
      </c>
      <c r="V59" s="10">
        <f t="shared" ca="1" si="4"/>
        <v>0</v>
      </c>
    </row>
    <row r="60" spans="12:22" ht="15" customHeight="1" x14ac:dyDescent="0.45">
      <c r="L60" s="9">
        <v>56</v>
      </c>
      <c r="M60" s="10">
        <f t="shared" ca="1" si="5"/>
        <v>61.83617044350855</v>
      </c>
      <c r="N60" s="10">
        <f t="shared" ca="1" si="0"/>
        <v>1.2589078891591738</v>
      </c>
      <c r="O60" s="10">
        <f t="shared" ca="1" si="6"/>
        <v>61.994172638598648</v>
      </c>
      <c r="P60" s="10">
        <f t="shared" ca="1" si="7"/>
        <v>62.478091938625681</v>
      </c>
      <c r="Q60" s="10">
        <f t="shared" ca="1" si="8"/>
        <v>1000000000</v>
      </c>
      <c r="R60" s="10">
        <f t="shared" ca="1" si="9"/>
        <v>1000000000</v>
      </c>
      <c r="S60" s="9">
        <f t="shared" ca="1" si="1"/>
        <v>1</v>
      </c>
      <c r="T60" s="10">
        <f t="shared" ca="1" si="2"/>
        <v>61.994172638598648</v>
      </c>
      <c r="U60" s="10">
        <f t="shared" ca="1" si="3"/>
        <v>63.253080527757824</v>
      </c>
      <c r="V60" s="10">
        <f t="shared" ca="1" si="4"/>
        <v>0.1580021950900985</v>
      </c>
    </row>
    <row r="61" spans="12:22" ht="15" customHeight="1" x14ac:dyDescent="0.45">
      <c r="L61" s="9">
        <v>57</v>
      </c>
      <c r="M61" s="10">
        <f t="shared" ca="1" si="5"/>
        <v>61.951860082911523</v>
      </c>
      <c r="N61" s="10">
        <f t="shared" ca="1" si="0"/>
        <v>1.2814682437772271</v>
      </c>
      <c r="O61" s="10">
        <f t="shared" ca="1" si="6"/>
        <v>63.253080527757824</v>
      </c>
      <c r="P61" s="10">
        <f t="shared" ca="1" si="7"/>
        <v>62.478091938625681</v>
      </c>
      <c r="Q61" s="10">
        <f t="shared" ca="1" si="8"/>
        <v>1000000000</v>
      </c>
      <c r="R61" s="10">
        <f t="shared" ca="1" si="9"/>
        <v>1000000000</v>
      </c>
      <c r="S61" s="9">
        <f t="shared" ca="1" si="1"/>
        <v>2</v>
      </c>
      <c r="T61" s="10">
        <f t="shared" ca="1" si="2"/>
        <v>62.478091938625681</v>
      </c>
      <c r="U61" s="10">
        <f t="shared" ca="1" si="3"/>
        <v>63.759560182402907</v>
      </c>
      <c r="V61" s="10">
        <f t="shared" ca="1" si="4"/>
        <v>0.52623185571415831</v>
      </c>
    </row>
    <row r="62" spans="12:22" ht="15" customHeight="1" x14ac:dyDescent="0.45">
      <c r="L62" s="9">
        <v>58</v>
      </c>
      <c r="M62" s="10">
        <f t="shared" ca="1" si="5"/>
        <v>62.71705772845749</v>
      </c>
      <c r="N62" s="10">
        <f t="shared" ca="1" si="0"/>
        <v>0.22409480799966586</v>
      </c>
      <c r="O62" s="10">
        <f t="shared" ca="1" si="6"/>
        <v>63.253080527757824</v>
      </c>
      <c r="P62" s="10">
        <f t="shared" ca="1" si="7"/>
        <v>63.759560182402907</v>
      </c>
      <c r="Q62" s="10">
        <f t="shared" ca="1" si="8"/>
        <v>1000000000</v>
      </c>
      <c r="R62" s="10">
        <f t="shared" ca="1" si="9"/>
        <v>1000000000</v>
      </c>
      <c r="S62" s="9">
        <f t="shared" ca="1" si="1"/>
        <v>1</v>
      </c>
      <c r="T62" s="10">
        <f t="shared" ca="1" si="2"/>
        <v>63.253080527757824</v>
      </c>
      <c r="U62" s="10">
        <f t="shared" ca="1" si="3"/>
        <v>63.477175335757487</v>
      </c>
      <c r="V62" s="10">
        <f t="shared" ca="1" si="4"/>
        <v>0.53602279930033347</v>
      </c>
    </row>
    <row r="63" spans="12:22" ht="15" customHeight="1" x14ac:dyDescent="0.45">
      <c r="L63" s="9">
        <v>59</v>
      </c>
      <c r="M63" s="10">
        <f t="shared" ca="1" si="5"/>
        <v>63.779226060724682</v>
      </c>
      <c r="N63" s="10">
        <f t="shared" ca="1" si="0"/>
        <v>1.0322475552628876</v>
      </c>
      <c r="O63" s="10">
        <f t="shared" ca="1" si="6"/>
        <v>63.477175335757487</v>
      </c>
      <c r="P63" s="10">
        <f t="shared" ca="1" si="7"/>
        <v>63.759560182402907</v>
      </c>
      <c r="Q63" s="10">
        <f t="shared" ca="1" si="8"/>
        <v>1000000000</v>
      </c>
      <c r="R63" s="10">
        <f t="shared" ca="1" si="9"/>
        <v>1000000000</v>
      </c>
      <c r="S63" s="9">
        <f t="shared" ca="1" si="1"/>
        <v>1</v>
      </c>
      <c r="T63" s="10">
        <f t="shared" ca="1" si="2"/>
        <v>63.779226060724682</v>
      </c>
      <c r="U63" s="10">
        <f t="shared" ca="1" si="3"/>
        <v>64.811473615987566</v>
      </c>
      <c r="V63" s="10">
        <f t="shared" ca="1" si="4"/>
        <v>0</v>
      </c>
    </row>
    <row r="64" spans="12:22" ht="15" customHeight="1" x14ac:dyDescent="0.45">
      <c r="L64" s="9">
        <v>60</v>
      </c>
      <c r="M64" s="10">
        <f t="shared" ca="1" si="5"/>
        <v>64.229370879623346</v>
      </c>
      <c r="N64" s="10">
        <f t="shared" ca="1" si="0"/>
        <v>0.45173061288106131</v>
      </c>
      <c r="O64" s="10">
        <f t="shared" ca="1" si="6"/>
        <v>64.811473615987566</v>
      </c>
      <c r="P64" s="10">
        <f t="shared" ca="1" si="7"/>
        <v>63.759560182402907</v>
      </c>
      <c r="Q64" s="10">
        <f t="shared" ca="1" si="8"/>
        <v>1000000000</v>
      </c>
      <c r="R64" s="10">
        <f t="shared" ca="1" si="9"/>
        <v>1000000000</v>
      </c>
      <c r="S64" s="9">
        <f t="shared" ca="1" si="1"/>
        <v>2</v>
      </c>
      <c r="T64" s="10">
        <f t="shared" ca="1" si="2"/>
        <v>64.229370879623346</v>
      </c>
      <c r="U64" s="10">
        <f t="shared" ca="1" si="3"/>
        <v>64.681101492504411</v>
      </c>
      <c r="V64" s="10">
        <f t="shared" ca="1" si="4"/>
        <v>0</v>
      </c>
    </row>
    <row r="65" spans="12:22" ht="15" customHeight="1" x14ac:dyDescent="0.45">
      <c r="L65" s="9">
        <v>61</v>
      </c>
      <c r="M65" s="10">
        <f t="shared" ca="1" si="5"/>
        <v>65.637300608757982</v>
      </c>
      <c r="N65" s="10">
        <f t="shared" ca="1" si="0"/>
        <v>0.17075015193777038</v>
      </c>
      <c r="O65" s="10">
        <f t="shared" ca="1" si="6"/>
        <v>64.811473615987566</v>
      </c>
      <c r="P65" s="10">
        <f t="shared" ca="1" si="7"/>
        <v>64.681101492504411</v>
      </c>
      <c r="Q65" s="10">
        <f t="shared" ca="1" si="8"/>
        <v>1000000000</v>
      </c>
      <c r="R65" s="10">
        <f t="shared" ca="1" si="9"/>
        <v>1000000000</v>
      </c>
      <c r="S65" s="9">
        <f t="shared" ca="1" si="1"/>
        <v>2</v>
      </c>
      <c r="T65" s="10">
        <f t="shared" ca="1" si="2"/>
        <v>65.637300608757982</v>
      </c>
      <c r="U65" s="10">
        <f t="shared" ca="1" si="3"/>
        <v>65.80805076069575</v>
      </c>
      <c r="V65" s="10">
        <f t="shared" ca="1" si="4"/>
        <v>0</v>
      </c>
    </row>
    <row r="66" spans="12:22" ht="15" customHeight="1" x14ac:dyDescent="0.45">
      <c r="L66" s="9">
        <v>62</v>
      </c>
      <c r="M66" s="10">
        <f t="shared" ca="1" si="5"/>
        <v>66.495299227876544</v>
      </c>
      <c r="N66" s="10">
        <f t="shared" ca="1" si="0"/>
        <v>6.3674190626740332E-2</v>
      </c>
      <c r="O66" s="10">
        <f t="shared" ca="1" si="6"/>
        <v>64.811473615987566</v>
      </c>
      <c r="P66" s="10">
        <f t="shared" ca="1" si="7"/>
        <v>65.80805076069575</v>
      </c>
      <c r="Q66" s="10">
        <f t="shared" ca="1" si="8"/>
        <v>1000000000</v>
      </c>
      <c r="R66" s="10">
        <f t="shared" ca="1" si="9"/>
        <v>1000000000</v>
      </c>
      <c r="S66" s="9">
        <f t="shared" ca="1" si="1"/>
        <v>1</v>
      </c>
      <c r="T66" s="10">
        <f t="shared" ca="1" si="2"/>
        <v>66.495299227876544</v>
      </c>
      <c r="U66" s="10">
        <f t="shared" ca="1" si="3"/>
        <v>66.558973418503285</v>
      </c>
      <c r="V66" s="10">
        <f t="shared" ca="1" si="4"/>
        <v>0</v>
      </c>
    </row>
    <row r="67" spans="12:22" ht="15" customHeight="1" x14ac:dyDescent="0.45">
      <c r="L67" s="9">
        <v>63</v>
      </c>
      <c r="M67" s="10">
        <f t="shared" ca="1" si="5"/>
        <v>69.516734988065892</v>
      </c>
      <c r="N67" s="10">
        <f t="shared" ca="1" si="0"/>
        <v>0.42360837388976558</v>
      </c>
      <c r="O67" s="10">
        <f t="shared" ca="1" si="6"/>
        <v>66.558973418503285</v>
      </c>
      <c r="P67" s="10">
        <f t="shared" ca="1" si="7"/>
        <v>65.80805076069575</v>
      </c>
      <c r="Q67" s="10">
        <f t="shared" ca="1" si="8"/>
        <v>1000000000</v>
      </c>
      <c r="R67" s="10">
        <f t="shared" ca="1" si="9"/>
        <v>1000000000</v>
      </c>
      <c r="S67" s="9">
        <f t="shared" ca="1" si="1"/>
        <v>2</v>
      </c>
      <c r="T67" s="10">
        <f t="shared" ca="1" si="2"/>
        <v>69.516734988065892</v>
      </c>
      <c r="U67" s="10">
        <f t="shared" ca="1" si="3"/>
        <v>69.940343361955655</v>
      </c>
      <c r="V67" s="10">
        <f t="shared" ca="1" si="4"/>
        <v>0</v>
      </c>
    </row>
    <row r="68" spans="12:22" ht="15" customHeight="1" x14ac:dyDescent="0.45">
      <c r="L68" s="9">
        <v>64</v>
      </c>
      <c r="M68" s="10">
        <f t="shared" ca="1" si="5"/>
        <v>70.159913251674425</v>
      </c>
      <c r="N68" s="10">
        <f t="shared" ca="1" si="0"/>
        <v>3.3095146601412266E-2</v>
      </c>
      <c r="O68" s="10">
        <f t="shared" ca="1" si="6"/>
        <v>66.558973418503285</v>
      </c>
      <c r="P68" s="10">
        <f t="shared" ca="1" si="7"/>
        <v>69.940343361955655</v>
      </c>
      <c r="Q68" s="10">
        <f t="shared" ca="1" si="8"/>
        <v>1000000000</v>
      </c>
      <c r="R68" s="10">
        <f t="shared" ca="1" si="9"/>
        <v>1000000000</v>
      </c>
      <c r="S68" s="9">
        <f t="shared" ca="1" si="1"/>
        <v>1</v>
      </c>
      <c r="T68" s="10">
        <f t="shared" ca="1" si="2"/>
        <v>70.159913251674425</v>
      </c>
      <c r="U68" s="10">
        <f t="shared" ca="1" si="3"/>
        <v>70.193008398275836</v>
      </c>
      <c r="V68" s="10">
        <f t="shared" ca="1" si="4"/>
        <v>0</v>
      </c>
    </row>
    <row r="69" spans="12:22" ht="15" customHeight="1" x14ac:dyDescent="0.45">
      <c r="L69" s="9">
        <v>65</v>
      </c>
      <c r="M69" s="10">
        <f t="shared" ca="1" si="5"/>
        <v>72.614378430237807</v>
      </c>
      <c r="N69" s="10">
        <f t="shared" ref="N69:N132" ca="1" si="17">-60/$C$6*LN(1-RAND())</f>
        <v>0.31835730728758888</v>
      </c>
      <c r="O69" s="10">
        <f t="shared" ca="1" si="6"/>
        <v>70.193008398275836</v>
      </c>
      <c r="P69" s="10">
        <f t="shared" ca="1" si="7"/>
        <v>69.940343361955655</v>
      </c>
      <c r="Q69" s="10">
        <f t="shared" ca="1" si="8"/>
        <v>1000000000</v>
      </c>
      <c r="R69" s="10">
        <f t="shared" ca="1" si="9"/>
        <v>1000000000</v>
      </c>
      <c r="S69" s="9">
        <f t="shared" ref="S69:S132" ca="1" si="18">MATCH(MIN(O69:R69),O69:R69,0)</f>
        <v>2</v>
      </c>
      <c r="T69" s="10">
        <f t="shared" ref="T69:T132" ca="1" si="19">MAX(M69,MIN(O69:R69))</f>
        <v>72.614378430237807</v>
      </c>
      <c r="U69" s="10">
        <f t="shared" ref="U69:U132" ca="1" si="20">T69+N69</f>
        <v>72.932735737525391</v>
      </c>
      <c r="V69" s="10">
        <f t="shared" ref="V69:V132" ca="1" si="21">T69-M69</f>
        <v>0</v>
      </c>
    </row>
    <row r="70" spans="12:22" ht="15" customHeight="1" x14ac:dyDescent="0.45">
      <c r="L70" s="9">
        <v>66</v>
      </c>
      <c r="M70" s="10">
        <f t="shared" ref="M70:M133" ca="1" si="22">M69-60/$C$5*LN(1-RAND())</f>
        <v>73.336430014321351</v>
      </c>
      <c r="N70" s="10">
        <f t="shared" ca="1" si="17"/>
        <v>0.49399716713780495</v>
      </c>
      <c r="O70" s="10">
        <f t="shared" ref="O70:O133" ca="1" si="23">IF(S69=1,U69,O69)</f>
        <v>70.193008398275836</v>
      </c>
      <c r="P70" s="10">
        <f t="shared" ref="P70:P133" ca="1" si="24">IF(S69=2,U69,P69)</f>
        <v>72.932735737525391</v>
      </c>
      <c r="Q70" s="10">
        <f t="shared" ref="Q70:Q133" ca="1" si="25">IF(S69=3,U69,Q69)</f>
        <v>1000000000</v>
      </c>
      <c r="R70" s="10">
        <f t="shared" ref="R70:R133" ca="1" si="26">IF(S69=4,U69,R69)</f>
        <v>1000000000</v>
      </c>
      <c r="S70" s="9">
        <f t="shared" ca="1" si="18"/>
        <v>1</v>
      </c>
      <c r="T70" s="10">
        <f t="shared" ca="1" si="19"/>
        <v>73.336430014321351</v>
      </c>
      <c r="U70" s="10">
        <f t="shared" ca="1" si="20"/>
        <v>73.830427181459157</v>
      </c>
      <c r="V70" s="10">
        <f t="shared" ca="1" si="21"/>
        <v>0</v>
      </c>
    </row>
    <row r="71" spans="12:22" ht="15" customHeight="1" x14ac:dyDescent="0.45">
      <c r="L71" s="9">
        <v>67</v>
      </c>
      <c r="M71" s="10">
        <f t="shared" ca="1" si="22"/>
        <v>75.573269757152346</v>
      </c>
      <c r="N71" s="10">
        <f t="shared" ca="1" si="17"/>
        <v>5.1242088604795032E-2</v>
      </c>
      <c r="O71" s="10">
        <f t="shared" ca="1" si="23"/>
        <v>73.830427181459157</v>
      </c>
      <c r="P71" s="10">
        <f t="shared" ca="1" si="24"/>
        <v>72.932735737525391</v>
      </c>
      <c r="Q71" s="10">
        <f t="shared" ca="1" si="25"/>
        <v>1000000000</v>
      </c>
      <c r="R71" s="10">
        <f t="shared" ca="1" si="26"/>
        <v>1000000000</v>
      </c>
      <c r="S71" s="9">
        <f t="shared" ca="1" si="18"/>
        <v>2</v>
      </c>
      <c r="T71" s="10">
        <f t="shared" ca="1" si="19"/>
        <v>75.573269757152346</v>
      </c>
      <c r="U71" s="10">
        <f t="shared" ca="1" si="20"/>
        <v>75.624511845757141</v>
      </c>
      <c r="V71" s="10">
        <f t="shared" ca="1" si="21"/>
        <v>0</v>
      </c>
    </row>
    <row r="72" spans="12:22" ht="15" customHeight="1" x14ac:dyDescent="0.45">
      <c r="L72" s="9">
        <v>68</v>
      </c>
      <c r="M72" s="10">
        <f t="shared" ca="1" si="22"/>
        <v>75.840232150453673</v>
      </c>
      <c r="N72" s="10">
        <f t="shared" ca="1" si="17"/>
        <v>1.4160525317544546</v>
      </c>
      <c r="O72" s="10">
        <f t="shared" ca="1" si="23"/>
        <v>73.830427181459157</v>
      </c>
      <c r="P72" s="10">
        <f t="shared" ca="1" si="24"/>
        <v>75.624511845757141</v>
      </c>
      <c r="Q72" s="10">
        <f t="shared" ca="1" si="25"/>
        <v>1000000000</v>
      </c>
      <c r="R72" s="10">
        <f t="shared" ca="1" si="26"/>
        <v>1000000000</v>
      </c>
      <c r="S72" s="9">
        <f t="shared" ca="1" si="18"/>
        <v>1</v>
      </c>
      <c r="T72" s="10">
        <f t="shared" ca="1" si="19"/>
        <v>75.840232150453673</v>
      </c>
      <c r="U72" s="10">
        <f t="shared" ca="1" si="20"/>
        <v>77.256284682208133</v>
      </c>
      <c r="V72" s="10">
        <f t="shared" ca="1" si="21"/>
        <v>0</v>
      </c>
    </row>
    <row r="73" spans="12:22" ht="15" customHeight="1" x14ac:dyDescent="0.45">
      <c r="L73" s="9">
        <v>69</v>
      </c>
      <c r="M73" s="10">
        <f t="shared" ca="1" si="22"/>
        <v>76.677452172848461</v>
      </c>
      <c r="N73" s="10">
        <f t="shared" ca="1" si="17"/>
        <v>9.4785484252455976E-2</v>
      </c>
      <c r="O73" s="10">
        <f t="shared" ca="1" si="23"/>
        <v>77.256284682208133</v>
      </c>
      <c r="P73" s="10">
        <f t="shared" ca="1" si="24"/>
        <v>75.624511845757141</v>
      </c>
      <c r="Q73" s="10">
        <f t="shared" ca="1" si="25"/>
        <v>1000000000</v>
      </c>
      <c r="R73" s="10">
        <f t="shared" ca="1" si="26"/>
        <v>1000000000</v>
      </c>
      <c r="S73" s="9">
        <f t="shared" ca="1" si="18"/>
        <v>2</v>
      </c>
      <c r="T73" s="10">
        <f t="shared" ca="1" si="19"/>
        <v>76.677452172848461</v>
      </c>
      <c r="U73" s="10">
        <f t="shared" ca="1" si="20"/>
        <v>76.772237657100916</v>
      </c>
      <c r="V73" s="10">
        <f t="shared" ca="1" si="21"/>
        <v>0</v>
      </c>
    </row>
    <row r="74" spans="12:22" ht="15" customHeight="1" x14ac:dyDescent="0.45">
      <c r="L74" s="9">
        <v>70</v>
      </c>
      <c r="M74" s="10">
        <f t="shared" ca="1" si="22"/>
        <v>79.695358109845102</v>
      </c>
      <c r="N74" s="10">
        <f t="shared" ca="1" si="17"/>
        <v>1.515548149847439</v>
      </c>
      <c r="O74" s="10">
        <f t="shared" ca="1" si="23"/>
        <v>77.256284682208133</v>
      </c>
      <c r="P74" s="10">
        <f t="shared" ca="1" si="24"/>
        <v>76.772237657100916</v>
      </c>
      <c r="Q74" s="10">
        <f t="shared" ca="1" si="25"/>
        <v>1000000000</v>
      </c>
      <c r="R74" s="10">
        <f t="shared" ca="1" si="26"/>
        <v>1000000000</v>
      </c>
      <c r="S74" s="9">
        <f t="shared" ca="1" si="18"/>
        <v>2</v>
      </c>
      <c r="T74" s="10">
        <f t="shared" ca="1" si="19"/>
        <v>79.695358109845102</v>
      </c>
      <c r="U74" s="10">
        <f t="shared" ca="1" si="20"/>
        <v>81.210906259692536</v>
      </c>
      <c r="V74" s="10">
        <f t="shared" ca="1" si="21"/>
        <v>0</v>
      </c>
    </row>
    <row r="75" spans="12:22" ht="15" customHeight="1" x14ac:dyDescent="0.45">
      <c r="L75" s="9">
        <v>71</v>
      </c>
      <c r="M75" s="10">
        <f t="shared" ca="1" si="22"/>
        <v>83.507490472369227</v>
      </c>
      <c r="N75" s="10">
        <f t="shared" ca="1" si="17"/>
        <v>0.63942267655890372</v>
      </c>
      <c r="O75" s="10">
        <f t="shared" ca="1" si="23"/>
        <v>77.256284682208133</v>
      </c>
      <c r="P75" s="10">
        <f t="shared" ca="1" si="24"/>
        <v>81.210906259692536</v>
      </c>
      <c r="Q75" s="10">
        <f t="shared" ca="1" si="25"/>
        <v>1000000000</v>
      </c>
      <c r="R75" s="10">
        <f t="shared" ca="1" si="26"/>
        <v>1000000000</v>
      </c>
      <c r="S75" s="9">
        <f t="shared" ca="1" si="18"/>
        <v>1</v>
      </c>
      <c r="T75" s="10">
        <f t="shared" ca="1" si="19"/>
        <v>83.507490472369227</v>
      </c>
      <c r="U75" s="10">
        <f t="shared" ca="1" si="20"/>
        <v>84.146913148928135</v>
      </c>
      <c r="V75" s="10">
        <f t="shared" ca="1" si="21"/>
        <v>0</v>
      </c>
    </row>
    <row r="76" spans="12:22" ht="15" customHeight="1" x14ac:dyDescent="0.45">
      <c r="L76" s="9">
        <v>72</v>
      </c>
      <c r="M76" s="10">
        <f t="shared" ca="1" si="22"/>
        <v>83.735009928963578</v>
      </c>
      <c r="N76" s="10">
        <f t="shared" ca="1" si="17"/>
        <v>3.3461855478653636E-2</v>
      </c>
      <c r="O76" s="10">
        <f t="shared" ca="1" si="23"/>
        <v>84.146913148928135</v>
      </c>
      <c r="P76" s="10">
        <f t="shared" ca="1" si="24"/>
        <v>81.210906259692536</v>
      </c>
      <c r="Q76" s="10">
        <f t="shared" ca="1" si="25"/>
        <v>1000000000</v>
      </c>
      <c r="R76" s="10">
        <f t="shared" ca="1" si="26"/>
        <v>1000000000</v>
      </c>
      <c r="S76" s="9">
        <f t="shared" ca="1" si="18"/>
        <v>2</v>
      </c>
      <c r="T76" s="10">
        <f t="shared" ca="1" si="19"/>
        <v>83.735009928963578</v>
      </c>
      <c r="U76" s="10">
        <f t="shared" ca="1" si="20"/>
        <v>83.768471784442227</v>
      </c>
      <c r="V76" s="10">
        <f t="shared" ca="1" si="21"/>
        <v>0</v>
      </c>
    </row>
    <row r="77" spans="12:22" ht="15" customHeight="1" x14ac:dyDescent="0.45">
      <c r="L77" s="9">
        <v>73</v>
      </c>
      <c r="M77" s="10">
        <f t="shared" ca="1" si="22"/>
        <v>85.279881516387832</v>
      </c>
      <c r="N77" s="10">
        <f t="shared" ca="1" si="17"/>
        <v>1.3823352231615442</v>
      </c>
      <c r="O77" s="10">
        <f t="shared" ca="1" si="23"/>
        <v>84.146913148928135</v>
      </c>
      <c r="P77" s="10">
        <f t="shared" ca="1" si="24"/>
        <v>83.768471784442227</v>
      </c>
      <c r="Q77" s="10">
        <f t="shared" ca="1" si="25"/>
        <v>1000000000</v>
      </c>
      <c r="R77" s="10">
        <f t="shared" ca="1" si="26"/>
        <v>1000000000</v>
      </c>
      <c r="S77" s="9">
        <f t="shared" ca="1" si="18"/>
        <v>2</v>
      </c>
      <c r="T77" s="10">
        <f t="shared" ca="1" si="19"/>
        <v>85.279881516387832</v>
      </c>
      <c r="U77" s="10">
        <f t="shared" ca="1" si="20"/>
        <v>86.662216739549379</v>
      </c>
      <c r="V77" s="10">
        <f t="shared" ca="1" si="21"/>
        <v>0</v>
      </c>
    </row>
    <row r="78" spans="12:22" ht="15" customHeight="1" x14ac:dyDescent="0.45">
      <c r="L78" s="9">
        <v>74</v>
      </c>
      <c r="M78" s="10">
        <f t="shared" ca="1" si="22"/>
        <v>87.48215054953144</v>
      </c>
      <c r="N78" s="10">
        <f t="shared" ca="1" si="17"/>
        <v>0.83083417857670361</v>
      </c>
      <c r="O78" s="10">
        <f t="shared" ca="1" si="23"/>
        <v>84.146913148928135</v>
      </c>
      <c r="P78" s="10">
        <f t="shared" ca="1" si="24"/>
        <v>86.662216739549379</v>
      </c>
      <c r="Q78" s="10">
        <f t="shared" ca="1" si="25"/>
        <v>1000000000</v>
      </c>
      <c r="R78" s="10">
        <f t="shared" ca="1" si="26"/>
        <v>1000000000</v>
      </c>
      <c r="S78" s="9">
        <f t="shared" ca="1" si="18"/>
        <v>1</v>
      </c>
      <c r="T78" s="10">
        <f t="shared" ca="1" si="19"/>
        <v>87.48215054953144</v>
      </c>
      <c r="U78" s="10">
        <f t="shared" ca="1" si="20"/>
        <v>88.312984728108148</v>
      </c>
      <c r="V78" s="10">
        <f t="shared" ca="1" si="21"/>
        <v>0</v>
      </c>
    </row>
    <row r="79" spans="12:22" ht="15" customHeight="1" x14ac:dyDescent="0.45">
      <c r="L79" s="9">
        <v>75</v>
      </c>
      <c r="M79" s="10">
        <f t="shared" ca="1" si="22"/>
        <v>88.441739340750246</v>
      </c>
      <c r="N79" s="10">
        <f t="shared" ca="1" si="17"/>
        <v>2.6304863639975351</v>
      </c>
      <c r="O79" s="10">
        <f t="shared" ca="1" si="23"/>
        <v>88.312984728108148</v>
      </c>
      <c r="P79" s="10">
        <f t="shared" ca="1" si="24"/>
        <v>86.662216739549379</v>
      </c>
      <c r="Q79" s="10">
        <f t="shared" ca="1" si="25"/>
        <v>1000000000</v>
      </c>
      <c r="R79" s="10">
        <f t="shared" ca="1" si="26"/>
        <v>1000000000</v>
      </c>
      <c r="S79" s="9">
        <f t="shared" ca="1" si="18"/>
        <v>2</v>
      </c>
      <c r="T79" s="10">
        <f t="shared" ca="1" si="19"/>
        <v>88.441739340750246</v>
      </c>
      <c r="U79" s="10">
        <f t="shared" ca="1" si="20"/>
        <v>91.07222570474778</v>
      </c>
      <c r="V79" s="10">
        <f t="shared" ca="1" si="21"/>
        <v>0</v>
      </c>
    </row>
    <row r="80" spans="12:22" ht="15" customHeight="1" x14ac:dyDescent="0.45">
      <c r="L80" s="9">
        <v>76</v>
      </c>
      <c r="M80" s="10">
        <f t="shared" ca="1" si="22"/>
        <v>88.70137622473797</v>
      </c>
      <c r="N80" s="10">
        <f t="shared" ca="1" si="17"/>
        <v>1.4971139156450453</v>
      </c>
      <c r="O80" s="10">
        <f t="shared" ca="1" si="23"/>
        <v>88.312984728108148</v>
      </c>
      <c r="P80" s="10">
        <f t="shared" ca="1" si="24"/>
        <v>91.07222570474778</v>
      </c>
      <c r="Q80" s="10">
        <f t="shared" ca="1" si="25"/>
        <v>1000000000</v>
      </c>
      <c r="R80" s="10">
        <f t="shared" ca="1" si="26"/>
        <v>1000000000</v>
      </c>
      <c r="S80" s="9">
        <f t="shared" ca="1" si="18"/>
        <v>1</v>
      </c>
      <c r="T80" s="10">
        <f t="shared" ca="1" si="19"/>
        <v>88.70137622473797</v>
      </c>
      <c r="U80" s="10">
        <f t="shared" ca="1" si="20"/>
        <v>90.198490140383015</v>
      </c>
      <c r="V80" s="10">
        <f t="shared" ca="1" si="21"/>
        <v>0</v>
      </c>
    </row>
    <row r="81" spans="12:22" ht="15" customHeight="1" x14ac:dyDescent="0.45">
      <c r="L81" s="9">
        <v>77</v>
      </c>
      <c r="M81" s="10">
        <f t="shared" ca="1" si="22"/>
        <v>90.970686153355146</v>
      </c>
      <c r="N81" s="10">
        <f t="shared" ca="1" si="17"/>
        <v>0.37659391100717793</v>
      </c>
      <c r="O81" s="10">
        <f t="shared" ca="1" si="23"/>
        <v>90.198490140383015</v>
      </c>
      <c r="P81" s="10">
        <f t="shared" ca="1" si="24"/>
        <v>91.07222570474778</v>
      </c>
      <c r="Q81" s="10">
        <f t="shared" ca="1" si="25"/>
        <v>1000000000</v>
      </c>
      <c r="R81" s="10">
        <f t="shared" ca="1" si="26"/>
        <v>1000000000</v>
      </c>
      <c r="S81" s="9">
        <f t="shared" ca="1" si="18"/>
        <v>1</v>
      </c>
      <c r="T81" s="10">
        <f t="shared" ca="1" si="19"/>
        <v>90.970686153355146</v>
      </c>
      <c r="U81" s="10">
        <f t="shared" ca="1" si="20"/>
        <v>91.347280064362323</v>
      </c>
      <c r="V81" s="10">
        <f t="shared" ca="1" si="21"/>
        <v>0</v>
      </c>
    </row>
    <row r="82" spans="12:22" ht="15" customHeight="1" x14ac:dyDescent="0.45">
      <c r="L82" s="9">
        <v>78</v>
      </c>
      <c r="M82" s="10">
        <f t="shared" ca="1" si="22"/>
        <v>91.365084003912159</v>
      </c>
      <c r="N82" s="10">
        <f t="shared" ca="1" si="17"/>
        <v>0.3131135120470282</v>
      </c>
      <c r="O82" s="10">
        <f t="shared" ca="1" si="23"/>
        <v>91.347280064362323</v>
      </c>
      <c r="P82" s="10">
        <f t="shared" ca="1" si="24"/>
        <v>91.07222570474778</v>
      </c>
      <c r="Q82" s="10">
        <f t="shared" ca="1" si="25"/>
        <v>1000000000</v>
      </c>
      <c r="R82" s="10">
        <f t="shared" ca="1" si="26"/>
        <v>1000000000</v>
      </c>
      <c r="S82" s="9">
        <f t="shared" ca="1" si="18"/>
        <v>2</v>
      </c>
      <c r="T82" s="10">
        <f t="shared" ca="1" si="19"/>
        <v>91.365084003912159</v>
      </c>
      <c r="U82" s="10">
        <f t="shared" ca="1" si="20"/>
        <v>91.678197515959184</v>
      </c>
      <c r="V82" s="10">
        <f t="shared" ca="1" si="21"/>
        <v>0</v>
      </c>
    </row>
    <row r="83" spans="12:22" ht="15" customHeight="1" x14ac:dyDescent="0.45">
      <c r="L83" s="9">
        <v>79</v>
      </c>
      <c r="M83" s="10">
        <f t="shared" ca="1" si="22"/>
        <v>93.424793809057462</v>
      </c>
      <c r="N83" s="10">
        <f t="shared" ca="1" si="17"/>
        <v>0.82818936391807185</v>
      </c>
      <c r="O83" s="10">
        <f t="shared" ca="1" si="23"/>
        <v>91.347280064362323</v>
      </c>
      <c r="P83" s="10">
        <f t="shared" ca="1" si="24"/>
        <v>91.678197515959184</v>
      </c>
      <c r="Q83" s="10">
        <f t="shared" ca="1" si="25"/>
        <v>1000000000</v>
      </c>
      <c r="R83" s="10">
        <f t="shared" ca="1" si="26"/>
        <v>1000000000</v>
      </c>
      <c r="S83" s="9">
        <f t="shared" ca="1" si="18"/>
        <v>1</v>
      </c>
      <c r="T83" s="10">
        <f t="shared" ca="1" si="19"/>
        <v>93.424793809057462</v>
      </c>
      <c r="U83" s="10">
        <f t="shared" ca="1" si="20"/>
        <v>94.252983172975533</v>
      </c>
      <c r="V83" s="10">
        <f t="shared" ca="1" si="21"/>
        <v>0</v>
      </c>
    </row>
    <row r="84" spans="12:22" ht="15" customHeight="1" x14ac:dyDescent="0.45">
      <c r="L84" s="9">
        <v>80</v>
      </c>
      <c r="M84" s="10">
        <f t="shared" ca="1" si="22"/>
        <v>93.496750814327612</v>
      </c>
      <c r="N84" s="10">
        <f t="shared" ca="1" si="17"/>
        <v>0.71381101408427894</v>
      </c>
      <c r="O84" s="10">
        <f t="shared" ca="1" si="23"/>
        <v>94.252983172975533</v>
      </c>
      <c r="P84" s="10">
        <f t="shared" ca="1" si="24"/>
        <v>91.678197515959184</v>
      </c>
      <c r="Q84" s="10">
        <f t="shared" ca="1" si="25"/>
        <v>1000000000</v>
      </c>
      <c r="R84" s="10">
        <f t="shared" ca="1" si="26"/>
        <v>1000000000</v>
      </c>
      <c r="S84" s="9">
        <f t="shared" ca="1" si="18"/>
        <v>2</v>
      </c>
      <c r="T84" s="10">
        <f t="shared" ca="1" si="19"/>
        <v>93.496750814327612</v>
      </c>
      <c r="U84" s="10">
        <f t="shared" ca="1" si="20"/>
        <v>94.210561828411898</v>
      </c>
      <c r="V84" s="10">
        <f t="shared" ca="1" si="21"/>
        <v>0</v>
      </c>
    </row>
    <row r="85" spans="12:22" ht="15" customHeight="1" x14ac:dyDescent="0.45">
      <c r="L85" s="9">
        <v>81</v>
      </c>
      <c r="M85" s="10">
        <f t="shared" ca="1" si="22"/>
        <v>94.433194981865299</v>
      </c>
      <c r="N85" s="10">
        <f t="shared" ca="1" si="17"/>
        <v>8.318070969880513E-2</v>
      </c>
      <c r="O85" s="10">
        <f t="shared" ca="1" si="23"/>
        <v>94.252983172975533</v>
      </c>
      <c r="P85" s="10">
        <f t="shared" ca="1" si="24"/>
        <v>94.210561828411898</v>
      </c>
      <c r="Q85" s="10">
        <f t="shared" ca="1" si="25"/>
        <v>1000000000</v>
      </c>
      <c r="R85" s="10">
        <f t="shared" ca="1" si="26"/>
        <v>1000000000</v>
      </c>
      <c r="S85" s="9">
        <f t="shared" ca="1" si="18"/>
        <v>2</v>
      </c>
      <c r="T85" s="10">
        <f t="shared" ca="1" si="19"/>
        <v>94.433194981865299</v>
      </c>
      <c r="U85" s="10">
        <f t="shared" ca="1" si="20"/>
        <v>94.516375691564107</v>
      </c>
      <c r="V85" s="10">
        <f t="shared" ca="1" si="21"/>
        <v>0</v>
      </c>
    </row>
    <row r="86" spans="12:22" ht="15" customHeight="1" x14ac:dyDescent="0.45">
      <c r="L86" s="9">
        <v>82</v>
      </c>
      <c r="M86" s="10">
        <f t="shared" ca="1" si="22"/>
        <v>94.974314600062243</v>
      </c>
      <c r="N86" s="10">
        <f t="shared" ca="1" si="17"/>
        <v>1.6025567668106384</v>
      </c>
      <c r="O86" s="10">
        <f t="shared" ca="1" si="23"/>
        <v>94.252983172975533</v>
      </c>
      <c r="P86" s="10">
        <f t="shared" ca="1" si="24"/>
        <v>94.516375691564107</v>
      </c>
      <c r="Q86" s="10">
        <f t="shared" ca="1" si="25"/>
        <v>1000000000</v>
      </c>
      <c r="R86" s="10">
        <f t="shared" ca="1" si="26"/>
        <v>1000000000</v>
      </c>
      <c r="S86" s="9">
        <f t="shared" ca="1" si="18"/>
        <v>1</v>
      </c>
      <c r="T86" s="10">
        <f t="shared" ca="1" si="19"/>
        <v>94.974314600062243</v>
      </c>
      <c r="U86" s="10">
        <f t="shared" ca="1" si="20"/>
        <v>96.576871366872879</v>
      </c>
      <c r="V86" s="10">
        <f t="shared" ca="1" si="21"/>
        <v>0</v>
      </c>
    </row>
    <row r="87" spans="12:22" ht="15" customHeight="1" x14ac:dyDescent="0.45">
      <c r="L87" s="9">
        <v>83</v>
      </c>
      <c r="M87" s="10">
        <f t="shared" ca="1" si="22"/>
        <v>95.555085202281731</v>
      </c>
      <c r="N87" s="10">
        <f t="shared" ca="1" si="17"/>
        <v>4.6491560409241232E-2</v>
      </c>
      <c r="O87" s="10">
        <f t="shared" ca="1" si="23"/>
        <v>96.576871366872879</v>
      </c>
      <c r="P87" s="10">
        <f t="shared" ca="1" si="24"/>
        <v>94.516375691564107</v>
      </c>
      <c r="Q87" s="10">
        <f t="shared" ca="1" si="25"/>
        <v>1000000000</v>
      </c>
      <c r="R87" s="10">
        <f t="shared" ca="1" si="26"/>
        <v>1000000000</v>
      </c>
      <c r="S87" s="9">
        <f t="shared" ca="1" si="18"/>
        <v>2</v>
      </c>
      <c r="T87" s="10">
        <f t="shared" ca="1" si="19"/>
        <v>95.555085202281731</v>
      </c>
      <c r="U87" s="10">
        <f t="shared" ca="1" si="20"/>
        <v>95.601576762690968</v>
      </c>
      <c r="V87" s="10">
        <f t="shared" ca="1" si="21"/>
        <v>0</v>
      </c>
    </row>
    <row r="88" spans="12:22" ht="15" customHeight="1" x14ac:dyDescent="0.45">
      <c r="L88" s="9">
        <v>84</v>
      </c>
      <c r="M88" s="10">
        <f t="shared" ca="1" si="22"/>
        <v>99.952795124023623</v>
      </c>
      <c r="N88" s="10">
        <f t="shared" ca="1" si="17"/>
        <v>0.7512155384335365</v>
      </c>
      <c r="O88" s="10">
        <f t="shared" ca="1" si="23"/>
        <v>96.576871366872879</v>
      </c>
      <c r="P88" s="10">
        <f t="shared" ca="1" si="24"/>
        <v>95.601576762690968</v>
      </c>
      <c r="Q88" s="10">
        <f t="shared" ca="1" si="25"/>
        <v>1000000000</v>
      </c>
      <c r="R88" s="10">
        <f t="shared" ca="1" si="26"/>
        <v>1000000000</v>
      </c>
      <c r="S88" s="9">
        <f t="shared" ca="1" si="18"/>
        <v>2</v>
      </c>
      <c r="T88" s="10">
        <f t="shared" ca="1" si="19"/>
        <v>99.952795124023623</v>
      </c>
      <c r="U88" s="10">
        <f t="shared" ca="1" si="20"/>
        <v>100.70401066245716</v>
      </c>
      <c r="V88" s="10">
        <f t="shared" ca="1" si="21"/>
        <v>0</v>
      </c>
    </row>
    <row r="89" spans="12:22" ht="15" customHeight="1" x14ac:dyDescent="0.45">
      <c r="L89" s="9">
        <v>85</v>
      </c>
      <c r="M89" s="10">
        <f t="shared" ca="1" si="22"/>
        <v>100.23537942276332</v>
      </c>
      <c r="N89" s="10">
        <f t="shared" ca="1" si="17"/>
        <v>1.2824899475559968</v>
      </c>
      <c r="O89" s="10">
        <f t="shared" ca="1" si="23"/>
        <v>96.576871366872879</v>
      </c>
      <c r="P89" s="10">
        <f t="shared" ca="1" si="24"/>
        <v>100.70401066245716</v>
      </c>
      <c r="Q89" s="10">
        <f t="shared" ca="1" si="25"/>
        <v>1000000000</v>
      </c>
      <c r="R89" s="10">
        <f t="shared" ca="1" si="26"/>
        <v>1000000000</v>
      </c>
      <c r="S89" s="9">
        <f t="shared" ca="1" si="18"/>
        <v>1</v>
      </c>
      <c r="T89" s="10">
        <f t="shared" ca="1" si="19"/>
        <v>100.23537942276332</v>
      </c>
      <c r="U89" s="10">
        <f t="shared" ca="1" si="20"/>
        <v>101.51786937031932</v>
      </c>
      <c r="V89" s="10">
        <f t="shared" ca="1" si="21"/>
        <v>0</v>
      </c>
    </row>
    <row r="90" spans="12:22" ht="15" customHeight="1" x14ac:dyDescent="0.45">
      <c r="L90" s="9">
        <v>86</v>
      </c>
      <c r="M90" s="10">
        <f t="shared" ca="1" si="22"/>
        <v>103.33178835894647</v>
      </c>
      <c r="N90" s="10">
        <f t="shared" ca="1" si="17"/>
        <v>0.20539968382420123</v>
      </c>
      <c r="O90" s="10">
        <f t="shared" ca="1" si="23"/>
        <v>101.51786937031932</v>
      </c>
      <c r="P90" s="10">
        <f t="shared" ca="1" si="24"/>
        <v>100.70401066245716</v>
      </c>
      <c r="Q90" s="10">
        <f t="shared" ca="1" si="25"/>
        <v>1000000000</v>
      </c>
      <c r="R90" s="10">
        <f t="shared" ca="1" si="26"/>
        <v>1000000000</v>
      </c>
      <c r="S90" s="9">
        <f t="shared" ca="1" si="18"/>
        <v>2</v>
      </c>
      <c r="T90" s="10">
        <f t="shared" ca="1" si="19"/>
        <v>103.33178835894647</v>
      </c>
      <c r="U90" s="10">
        <f t="shared" ca="1" si="20"/>
        <v>103.53718804277067</v>
      </c>
      <c r="V90" s="10">
        <f t="shared" ca="1" si="21"/>
        <v>0</v>
      </c>
    </row>
    <row r="91" spans="12:22" ht="15" customHeight="1" x14ac:dyDescent="0.45">
      <c r="L91" s="9">
        <v>87</v>
      </c>
      <c r="M91" s="10">
        <f t="shared" ca="1" si="22"/>
        <v>103.86778010036973</v>
      </c>
      <c r="N91" s="10">
        <f t="shared" ca="1" si="17"/>
        <v>0.13901864191972241</v>
      </c>
      <c r="O91" s="10">
        <f t="shared" ca="1" si="23"/>
        <v>101.51786937031932</v>
      </c>
      <c r="P91" s="10">
        <f t="shared" ca="1" si="24"/>
        <v>103.53718804277067</v>
      </c>
      <c r="Q91" s="10">
        <f t="shared" ca="1" si="25"/>
        <v>1000000000</v>
      </c>
      <c r="R91" s="10">
        <f t="shared" ca="1" si="26"/>
        <v>1000000000</v>
      </c>
      <c r="S91" s="9">
        <f t="shared" ca="1" si="18"/>
        <v>1</v>
      </c>
      <c r="T91" s="10">
        <f t="shared" ca="1" si="19"/>
        <v>103.86778010036973</v>
      </c>
      <c r="U91" s="10">
        <f t="shared" ca="1" si="20"/>
        <v>104.00679874228945</v>
      </c>
      <c r="V91" s="10">
        <f t="shared" ca="1" si="21"/>
        <v>0</v>
      </c>
    </row>
    <row r="92" spans="12:22" ht="15" customHeight="1" x14ac:dyDescent="0.45">
      <c r="L92" s="9">
        <v>88</v>
      </c>
      <c r="M92" s="10">
        <f t="shared" ca="1" si="22"/>
        <v>104.58225806782139</v>
      </c>
      <c r="N92" s="10">
        <f t="shared" ca="1" si="17"/>
        <v>0.84746432438368391</v>
      </c>
      <c r="O92" s="10">
        <f t="shared" ca="1" si="23"/>
        <v>104.00679874228945</v>
      </c>
      <c r="P92" s="10">
        <f t="shared" ca="1" si="24"/>
        <v>103.53718804277067</v>
      </c>
      <c r="Q92" s="10">
        <f t="shared" ca="1" si="25"/>
        <v>1000000000</v>
      </c>
      <c r="R92" s="10">
        <f t="shared" ca="1" si="26"/>
        <v>1000000000</v>
      </c>
      <c r="S92" s="9">
        <f t="shared" ca="1" si="18"/>
        <v>2</v>
      </c>
      <c r="T92" s="10">
        <f t="shared" ca="1" si="19"/>
        <v>104.58225806782139</v>
      </c>
      <c r="U92" s="10">
        <f t="shared" ca="1" si="20"/>
        <v>105.42972239220506</v>
      </c>
      <c r="V92" s="10">
        <f t="shared" ca="1" si="21"/>
        <v>0</v>
      </c>
    </row>
    <row r="93" spans="12:22" ht="15" customHeight="1" x14ac:dyDescent="0.45">
      <c r="L93" s="9">
        <v>89</v>
      </c>
      <c r="M93" s="10">
        <f t="shared" ca="1" si="22"/>
        <v>105.74143819649797</v>
      </c>
      <c r="N93" s="10">
        <f t="shared" ca="1" si="17"/>
        <v>6.8890243769432827E-2</v>
      </c>
      <c r="O93" s="10">
        <f t="shared" ca="1" si="23"/>
        <v>104.00679874228945</v>
      </c>
      <c r="P93" s="10">
        <f t="shared" ca="1" si="24"/>
        <v>105.42972239220506</v>
      </c>
      <c r="Q93" s="10">
        <f t="shared" ca="1" si="25"/>
        <v>1000000000</v>
      </c>
      <c r="R93" s="10">
        <f t="shared" ca="1" si="26"/>
        <v>1000000000</v>
      </c>
      <c r="S93" s="9">
        <f t="shared" ca="1" si="18"/>
        <v>1</v>
      </c>
      <c r="T93" s="10">
        <f t="shared" ca="1" si="19"/>
        <v>105.74143819649797</v>
      </c>
      <c r="U93" s="10">
        <f t="shared" ca="1" si="20"/>
        <v>105.8103284402674</v>
      </c>
      <c r="V93" s="10">
        <f t="shared" ca="1" si="21"/>
        <v>0</v>
      </c>
    </row>
    <row r="94" spans="12:22" ht="15" customHeight="1" x14ac:dyDescent="0.45">
      <c r="L94" s="9">
        <v>90</v>
      </c>
      <c r="M94" s="10">
        <f t="shared" ca="1" si="22"/>
        <v>105.87995626969801</v>
      </c>
      <c r="N94" s="10">
        <f t="shared" ca="1" si="17"/>
        <v>0.80391356834740246</v>
      </c>
      <c r="O94" s="10">
        <f t="shared" ca="1" si="23"/>
        <v>105.8103284402674</v>
      </c>
      <c r="P94" s="10">
        <f t="shared" ca="1" si="24"/>
        <v>105.42972239220506</v>
      </c>
      <c r="Q94" s="10">
        <f t="shared" ca="1" si="25"/>
        <v>1000000000</v>
      </c>
      <c r="R94" s="10">
        <f t="shared" ca="1" si="26"/>
        <v>1000000000</v>
      </c>
      <c r="S94" s="9">
        <f t="shared" ca="1" si="18"/>
        <v>2</v>
      </c>
      <c r="T94" s="10">
        <f t="shared" ca="1" si="19"/>
        <v>105.87995626969801</v>
      </c>
      <c r="U94" s="10">
        <f t="shared" ca="1" si="20"/>
        <v>106.68386983804541</v>
      </c>
      <c r="V94" s="10">
        <f t="shared" ca="1" si="21"/>
        <v>0</v>
      </c>
    </row>
    <row r="95" spans="12:22" ht="15" customHeight="1" x14ac:dyDescent="0.45">
      <c r="L95" s="9">
        <v>91</v>
      </c>
      <c r="M95" s="10">
        <f t="shared" ca="1" si="22"/>
        <v>107.34060102531936</v>
      </c>
      <c r="N95" s="10">
        <f t="shared" ca="1" si="17"/>
        <v>2.6436692103723312</v>
      </c>
      <c r="O95" s="10">
        <f t="shared" ca="1" si="23"/>
        <v>105.8103284402674</v>
      </c>
      <c r="P95" s="10">
        <f t="shared" ca="1" si="24"/>
        <v>106.68386983804541</v>
      </c>
      <c r="Q95" s="10">
        <f t="shared" ca="1" si="25"/>
        <v>1000000000</v>
      </c>
      <c r="R95" s="10">
        <f t="shared" ca="1" si="26"/>
        <v>1000000000</v>
      </c>
      <c r="S95" s="9">
        <f t="shared" ca="1" si="18"/>
        <v>1</v>
      </c>
      <c r="T95" s="10">
        <f t="shared" ca="1" si="19"/>
        <v>107.34060102531936</v>
      </c>
      <c r="U95" s="10">
        <f t="shared" ca="1" si="20"/>
        <v>109.9842702356917</v>
      </c>
      <c r="V95" s="10">
        <f t="shared" ca="1" si="21"/>
        <v>0</v>
      </c>
    </row>
    <row r="96" spans="12:22" ht="15" customHeight="1" x14ac:dyDescent="0.45">
      <c r="L96" s="9">
        <v>92</v>
      </c>
      <c r="M96" s="10">
        <f t="shared" ca="1" si="22"/>
        <v>107.41051922362702</v>
      </c>
      <c r="N96" s="10">
        <f t="shared" ca="1" si="17"/>
        <v>2.0641395650995507</v>
      </c>
      <c r="O96" s="10">
        <f t="shared" ca="1" si="23"/>
        <v>109.9842702356917</v>
      </c>
      <c r="P96" s="10">
        <f t="shared" ca="1" si="24"/>
        <v>106.68386983804541</v>
      </c>
      <c r="Q96" s="10">
        <f t="shared" ca="1" si="25"/>
        <v>1000000000</v>
      </c>
      <c r="R96" s="10">
        <f t="shared" ca="1" si="26"/>
        <v>1000000000</v>
      </c>
      <c r="S96" s="9">
        <f t="shared" ca="1" si="18"/>
        <v>2</v>
      </c>
      <c r="T96" s="10">
        <f t="shared" ca="1" si="19"/>
        <v>107.41051922362702</v>
      </c>
      <c r="U96" s="10">
        <f t="shared" ca="1" si="20"/>
        <v>109.47465878872657</v>
      </c>
      <c r="V96" s="10">
        <f t="shared" ca="1" si="21"/>
        <v>0</v>
      </c>
    </row>
    <row r="97" spans="12:22" ht="15" customHeight="1" x14ac:dyDescent="0.45">
      <c r="L97" s="9">
        <v>93</v>
      </c>
      <c r="M97" s="10">
        <f t="shared" ca="1" si="22"/>
        <v>107.70374298714609</v>
      </c>
      <c r="N97" s="10">
        <f t="shared" ca="1" si="17"/>
        <v>1.0585753777033777</v>
      </c>
      <c r="O97" s="10">
        <f t="shared" ca="1" si="23"/>
        <v>109.9842702356917</v>
      </c>
      <c r="P97" s="10">
        <f t="shared" ca="1" si="24"/>
        <v>109.47465878872657</v>
      </c>
      <c r="Q97" s="10">
        <f t="shared" ca="1" si="25"/>
        <v>1000000000</v>
      </c>
      <c r="R97" s="10">
        <f t="shared" ca="1" si="26"/>
        <v>1000000000</v>
      </c>
      <c r="S97" s="9">
        <f t="shared" ca="1" si="18"/>
        <v>2</v>
      </c>
      <c r="T97" s="10">
        <f t="shared" ca="1" si="19"/>
        <v>109.47465878872657</v>
      </c>
      <c r="U97" s="10">
        <f t="shared" ca="1" si="20"/>
        <v>110.53323416642995</v>
      </c>
      <c r="V97" s="10">
        <f t="shared" ca="1" si="21"/>
        <v>1.770915801580486</v>
      </c>
    </row>
    <row r="98" spans="12:22" ht="15" customHeight="1" x14ac:dyDescent="0.45">
      <c r="L98" s="9">
        <v>94</v>
      </c>
      <c r="M98" s="10">
        <f t="shared" ca="1" si="22"/>
        <v>108.12736297614106</v>
      </c>
      <c r="N98" s="10">
        <f t="shared" ca="1" si="17"/>
        <v>0.53359133447663776</v>
      </c>
      <c r="O98" s="10">
        <f t="shared" ca="1" si="23"/>
        <v>109.9842702356917</v>
      </c>
      <c r="P98" s="10">
        <f t="shared" ca="1" si="24"/>
        <v>110.53323416642995</v>
      </c>
      <c r="Q98" s="10">
        <f t="shared" ca="1" si="25"/>
        <v>1000000000</v>
      </c>
      <c r="R98" s="10">
        <f t="shared" ca="1" si="26"/>
        <v>1000000000</v>
      </c>
      <c r="S98" s="9">
        <f t="shared" ca="1" si="18"/>
        <v>1</v>
      </c>
      <c r="T98" s="10">
        <f t="shared" ca="1" si="19"/>
        <v>109.9842702356917</v>
      </c>
      <c r="U98" s="10">
        <f t="shared" ca="1" si="20"/>
        <v>110.51786157016834</v>
      </c>
      <c r="V98" s="10">
        <f t="shared" ca="1" si="21"/>
        <v>1.8569072595506384</v>
      </c>
    </row>
    <row r="99" spans="12:22" ht="15" customHeight="1" x14ac:dyDescent="0.45">
      <c r="L99" s="9">
        <v>95</v>
      </c>
      <c r="M99" s="10">
        <f t="shared" ca="1" si="22"/>
        <v>110.54830156881492</v>
      </c>
      <c r="N99" s="10">
        <f t="shared" ca="1" si="17"/>
        <v>8.8471896252756033E-2</v>
      </c>
      <c r="O99" s="10">
        <f t="shared" ca="1" si="23"/>
        <v>110.51786157016834</v>
      </c>
      <c r="P99" s="10">
        <f t="shared" ca="1" si="24"/>
        <v>110.53323416642995</v>
      </c>
      <c r="Q99" s="10">
        <f t="shared" ca="1" si="25"/>
        <v>1000000000</v>
      </c>
      <c r="R99" s="10">
        <f t="shared" ca="1" si="26"/>
        <v>1000000000</v>
      </c>
      <c r="S99" s="9">
        <f t="shared" ca="1" si="18"/>
        <v>1</v>
      </c>
      <c r="T99" s="10">
        <f t="shared" ca="1" si="19"/>
        <v>110.54830156881492</v>
      </c>
      <c r="U99" s="10">
        <f t="shared" ca="1" si="20"/>
        <v>110.63677346506768</v>
      </c>
      <c r="V99" s="10">
        <f t="shared" ca="1" si="21"/>
        <v>0</v>
      </c>
    </row>
    <row r="100" spans="12:22" ht="15" customHeight="1" x14ac:dyDescent="0.45">
      <c r="L100" s="9">
        <v>96</v>
      </c>
      <c r="M100" s="10">
        <f t="shared" ca="1" si="22"/>
        <v>110.59498189473291</v>
      </c>
      <c r="N100" s="10">
        <f t="shared" ca="1" si="17"/>
        <v>0.29619626581964648</v>
      </c>
      <c r="O100" s="10">
        <f t="shared" ca="1" si="23"/>
        <v>110.63677346506768</v>
      </c>
      <c r="P100" s="10">
        <f t="shared" ca="1" si="24"/>
        <v>110.53323416642995</v>
      </c>
      <c r="Q100" s="10">
        <f t="shared" ca="1" si="25"/>
        <v>1000000000</v>
      </c>
      <c r="R100" s="10">
        <f t="shared" ca="1" si="26"/>
        <v>1000000000</v>
      </c>
      <c r="S100" s="9">
        <f t="shared" ca="1" si="18"/>
        <v>2</v>
      </c>
      <c r="T100" s="10">
        <f t="shared" ca="1" si="19"/>
        <v>110.59498189473291</v>
      </c>
      <c r="U100" s="10">
        <f t="shared" ca="1" si="20"/>
        <v>110.89117816055256</v>
      </c>
      <c r="V100" s="10">
        <f t="shared" ca="1" si="21"/>
        <v>0</v>
      </c>
    </row>
    <row r="101" spans="12:22" ht="15" customHeight="1" x14ac:dyDescent="0.45">
      <c r="L101" s="9">
        <v>97</v>
      </c>
      <c r="M101" s="10">
        <f t="shared" ca="1" si="22"/>
        <v>112.50570927530094</v>
      </c>
      <c r="N101" s="10">
        <f t="shared" ca="1" si="17"/>
        <v>0.53251714037456721</v>
      </c>
      <c r="O101" s="10">
        <f t="shared" ca="1" si="23"/>
        <v>110.63677346506768</v>
      </c>
      <c r="P101" s="10">
        <f t="shared" ca="1" si="24"/>
        <v>110.89117816055256</v>
      </c>
      <c r="Q101" s="10">
        <f t="shared" ca="1" si="25"/>
        <v>1000000000</v>
      </c>
      <c r="R101" s="10">
        <f t="shared" ca="1" si="26"/>
        <v>1000000000</v>
      </c>
      <c r="S101" s="9">
        <f t="shared" ca="1" si="18"/>
        <v>1</v>
      </c>
      <c r="T101" s="10">
        <f t="shared" ca="1" si="19"/>
        <v>112.50570927530094</v>
      </c>
      <c r="U101" s="10">
        <f t="shared" ca="1" si="20"/>
        <v>113.03822641567551</v>
      </c>
      <c r="V101" s="10">
        <f t="shared" ca="1" si="21"/>
        <v>0</v>
      </c>
    </row>
    <row r="102" spans="12:22" ht="15" customHeight="1" x14ac:dyDescent="0.45">
      <c r="L102" s="9">
        <v>98</v>
      </c>
      <c r="M102" s="10">
        <f t="shared" ca="1" si="22"/>
        <v>113.88914031264525</v>
      </c>
      <c r="N102" s="10">
        <f t="shared" ca="1" si="17"/>
        <v>0.24430373934075994</v>
      </c>
      <c r="O102" s="10">
        <f t="shared" ca="1" si="23"/>
        <v>113.03822641567551</v>
      </c>
      <c r="P102" s="10">
        <f t="shared" ca="1" si="24"/>
        <v>110.89117816055256</v>
      </c>
      <c r="Q102" s="10">
        <f t="shared" ca="1" si="25"/>
        <v>1000000000</v>
      </c>
      <c r="R102" s="10">
        <f t="shared" ca="1" si="26"/>
        <v>1000000000</v>
      </c>
      <c r="S102" s="9">
        <f t="shared" ca="1" si="18"/>
        <v>2</v>
      </c>
      <c r="T102" s="10">
        <f t="shared" ca="1" si="19"/>
        <v>113.88914031264525</v>
      </c>
      <c r="U102" s="10">
        <f t="shared" ca="1" si="20"/>
        <v>114.13344405198602</v>
      </c>
      <c r="V102" s="10">
        <f t="shared" ca="1" si="21"/>
        <v>0</v>
      </c>
    </row>
    <row r="103" spans="12:22" ht="15" customHeight="1" x14ac:dyDescent="0.45">
      <c r="L103" s="9">
        <v>99</v>
      </c>
      <c r="M103" s="10">
        <f t="shared" ca="1" si="22"/>
        <v>113.97703253758925</v>
      </c>
      <c r="N103" s="10">
        <f t="shared" ca="1" si="17"/>
        <v>1.0865638782368065E-2</v>
      </c>
      <c r="O103" s="10">
        <f t="shared" ca="1" si="23"/>
        <v>113.03822641567551</v>
      </c>
      <c r="P103" s="10">
        <f t="shared" ca="1" si="24"/>
        <v>114.13344405198602</v>
      </c>
      <c r="Q103" s="10">
        <f t="shared" ca="1" si="25"/>
        <v>1000000000</v>
      </c>
      <c r="R103" s="10">
        <f t="shared" ca="1" si="26"/>
        <v>1000000000</v>
      </c>
      <c r="S103" s="9">
        <f t="shared" ca="1" si="18"/>
        <v>1</v>
      </c>
      <c r="T103" s="10">
        <f t="shared" ca="1" si="19"/>
        <v>113.97703253758925</v>
      </c>
      <c r="U103" s="10">
        <f t="shared" ca="1" si="20"/>
        <v>113.98789817637162</v>
      </c>
      <c r="V103" s="10">
        <f t="shared" ca="1" si="21"/>
        <v>0</v>
      </c>
    </row>
    <row r="104" spans="12:22" ht="15" customHeight="1" x14ac:dyDescent="0.45">
      <c r="L104" s="9">
        <v>100</v>
      </c>
      <c r="M104" s="10">
        <f t="shared" ca="1" si="22"/>
        <v>116.83730877093549</v>
      </c>
      <c r="N104" s="10">
        <f t="shared" ca="1" si="17"/>
        <v>4.4289706361912692E-2</v>
      </c>
      <c r="O104" s="10">
        <f t="shared" ca="1" si="23"/>
        <v>113.98789817637162</v>
      </c>
      <c r="P104" s="10">
        <f t="shared" ca="1" si="24"/>
        <v>114.13344405198602</v>
      </c>
      <c r="Q104" s="10">
        <f t="shared" ca="1" si="25"/>
        <v>1000000000</v>
      </c>
      <c r="R104" s="10">
        <f t="shared" ca="1" si="26"/>
        <v>1000000000</v>
      </c>
      <c r="S104" s="9">
        <f t="shared" ca="1" si="18"/>
        <v>1</v>
      </c>
      <c r="T104" s="10">
        <f t="shared" ca="1" si="19"/>
        <v>116.83730877093549</v>
      </c>
      <c r="U104" s="10">
        <f t="shared" ca="1" si="20"/>
        <v>116.8815984772974</v>
      </c>
      <c r="V104" s="10">
        <f t="shared" ca="1" si="21"/>
        <v>0</v>
      </c>
    </row>
    <row r="105" spans="12:22" ht="15" customHeight="1" x14ac:dyDescent="0.45">
      <c r="L105" s="9">
        <v>101</v>
      </c>
      <c r="M105" s="10">
        <f t="shared" ca="1" si="22"/>
        <v>118.48308486906357</v>
      </c>
      <c r="N105" s="10">
        <f t="shared" ca="1" si="17"/>
        <v>0.24447906682007481</v>
      </c>
      <c r="O105" s="10">
        <f t="shared" ca="1" si="23"/>
        <v>116.8815984772974</v>
      </c>
      <c r="P105" s="10">
        <f t="shared" ca="1" si="24"/>
        <v>114.13344405198602</v>
      </c>
      <c r="Q105" s="10">
        <f t="shared" ca="1" si="25"/>
        <v>1000000000</v>
      </c>
      <c r="R105" s="10">
        <f t="shared" ca="1" si="26"/>
        <v>1000000000</v>
      </c>
      <c r="S105" s="9">
        <f t="shared" ca="1" si="18"/>
        <v>2</v>
      </c>
      <c r="T105" s="10">
        <f t="shared" ca="1" si="19"/>
        <v>118.48308486906357</v>
      </c>
      <c r="U105" s="10">
        <f t="shared" ca="1" si="20"/>
        <v>118.72756393588365</v>
      </c>
      <c r="V105" s="10">
        <f t="shared" ca="1" si="21"/>
        <v>0</v>
      </c>
    </row>
    <row r="106" spans="12:22" ht="15" customHeight="1" x14ac:dyDescent="0.45">
      <c r="L106" s="9">
        <v>102</v>
      </c>
      <c r="M106" s="10">
        <f t="shared" ca="1" si="22"/>
        <v>118.68921295476483</v>
      </c>
      <c r="N106" s="10">
        <f t="shared" ca="1" si="17"/>
        <v>0.35199315812101145</v>
      </c>
      <c r="O106" s="10">
        <f t="shared" ca="1" si="23"/>
        <v>116.8815984772974</v>
      </c>
      <c r="P106" s="10">
        <f t="shared" ca="1" si="24"/>
        <v>118.72756393588365</v>
      </c>
      <c r="Q106" s="10">
        <f t="shared" ca="1" si="25"/>
        <v>1000000000</v>
      </c>
      <c r="R106" s="10">
        <f t="shared" ca="1" si="26"/>
        <v>1000000000</v>
      </c>
      <c r="S106" s="9">
        <f t="shared" ca="1" si="18"/>
        <v>1</v>
      </c>
      <c r="T106" s="10">
        <f t="shared" ca="1" si="19"/>
        <v>118.68921295476483</v>
      </c>
      <c r="U106" s="10">
        <f t="shared" ca="1" si="20"/>
        <v>119.04120611288583</v>
      </c>
      <c r="V106" s="10">
        <f t="shared" ca="1" si="21"/>
        <v>0</v>
      </c>
    </row>
    <row r="107" spans="12:22" ht="15" customHeight="1" x14ac:dyDescent="0.45">
      <c r="L107" s="9">
        <v>103</v>
      </c>
      <c r="M107" s="10">
        <f t="shared" ca="1" si="22"/>
        <v>118.70547265496278</v>
      </c>
      <c r="N107" s="10">
        <f t="shared" ca="1" si="17"/>
        <v>2.8162960793898009</v>
      </c>
      <c r="O107" s="10">
        <f t="shared" ca="1" si="23"/>
        <v>119.04120611288583</v>
      </c>
      <c r="P107" s="10">
        <f t="shared" ca="1" si="24"/>
        <v>118.72756393588365</v>
      </c>
      <c r="Q107" s="10">
        <f t="shared" ca="1" si="25"/>
        <v>1000000000</v>
      </c>
      <c r="R107" s="10">
        <f t="shared" ca="1" si="26"/>
        <v>1000000000</v>
      </c>
      <c r="S107" s="9">
        <f t="shared" ca="1" si="18"/>
        <v>2</v>
      </c>
      <c r="T107" s="10">
        <f t="shared" ca="1" si="19"/>
        <v>118.72756393588365</v>
      </c>
      <c r="U107" s="10">
        <f t="shared" ca="1" si="20"/>
        <v>121.54386001527345</v>
      </c>
      <c r="V107" s="10">
        <f t="shared" ca="1" si="21"/>
        <v>2.2091280920875533E-2</v>
      </c>
    </row>
    <row r="108" spans="12:22" ht="15" customHeight="1" x14ac:dyDescent="0.45">
      <c r="L108" s="9">
        <v>104</v>
      </c>
      <c r="M108" s="10">
        <f t="shared" ca="1" si="22"/>
        <v>119.08150125411213</v>
      </c>
      <c r="N108" s="10">
        <f t="shared" ca="1" si="17"/>
        <v>0.12355706705625608</v>
      </c>
      <c r="O108" s="10">
        <f t="shared" ca="1" si="23"/>
        <v>119.04120611288583</v>
      </c>
      <c r="P108" s="10">
        <f t="shared" ca="1" si="24"/>
        <v>121.54386001527345</v>
      </c>
      <c r="Q108" s="10">
        <f t="shared" ca="1" si="25"/>
        <v>1000000000</v>
      </c>
      <c r="R108" s="10">
        <f t="shared" ca="1" si="26"/>
        <v>1000000000</v>
      </c>
      <c r="S108" s="9">
        <f t="shared" ca="1" si="18"/>
        <v>1</v>
      </c>
      <c r="T108" s="10">
        <f t="shared" ca="1" si="19"/>
        <v>119.08150125411213</v>
      </c>
      <c r="U108" s="10">
        <f t="shared" ca="1" si="20"/>
        <v>119.20505832116838</v>
      </c>
      <c r="V108" s="10">
        <f t="shared" ca="1" si="21"/>
        <v>0</v>
      </c>
    </row>
    <row r="109" spans="12:22" ht="15" customHeight="1" x14ac:dyDescent="0.45">
      <c r="L109" s="9">
        <v>105</v>
      </c>
      <c r="M109" s="10">
        <f t="shared" ca="1" si="22"/>
        <v>119.7591109376818</v>
      </c>
      <c r="N109" s="10">
        <f t="shared" ca="1" si="17"/>
        <v>3.5876444136470571</v>
      </c>
      <c r="O109" s="10">
        <f t="shared" ca="1" si="23"/>
        <v>119.20505832116838</v>
      </c>
      <c r="P109" s="10">
        <f t="shared" ca="1" si="24"/>
        <v>121.54386001527345</v>
      </c>
      <c r="Q109" s="10">
        <f t="shared" ca="1" si="25"/>
        <v>1000000000</v>
      </c>
      <c r="R109" s="10">
        <f t="shared" ca="1" si="26"/>
        <v>1000000000</v>
      </c>
      <c r="S109" s="9">
        <f t="shared" ca="1" si="18"/>
        <v>1</v>
      </c>
      <c r="T109" s="10">
        <f t="shared" ca="1" si="19"/>
        <v>119.7591109376818</v>
      </c>
      <c r="U109" s="10">
        <f t="shared" ca="1" si="20"/>
        <v>123.34675535132885</v>
      </c>
      <c r="V109" s="10">
        <f t="shared" ca="1" si="21"/>
        <v>0</v>
      </c>
    </row>
    <row r="110" spans="12:22" ht="15" customHeight="1" x14ac:dyDescent="0.45">
      <c r="L110" s="9">
        <v>106</v>
      </c>
      <c r="M110" s="10">
        <f t="shared" ca="1" si="22"/>
        <v>120.43114448133599</v>
      </c>
      <c r="N110" s="10">
        <f t="shared" ca="1" si="17"/>
        <v>7.0525771857081004E-2</v>
      </c>
      <c r="O110" s="10">
        <f t="shared" ca="1" si="23"/>
        <v>123.34675535132885</v>
      </c>
      <c r="P110" s="10">
        <f t="shared" ca="1" si="24"/>
        <v>121.54386001527345</v>
      </c>
      <c r="Q110" s="10">
        <f t="shared" ca="1" si="25"/>
        <v>1000000000</v>
      </c>
      <c r="R110" s="10">
        <f t="shared" ca="1" si="26"/>
        <v>1000000000</v>
      </c>
      <c r="S110" s="9">
        <f t="shared" ca="1" si="18"/>
        <v>2</v>
      </c>
      <c r="T110" s="10">
        <f t="shared" ca="1" si="19"/>
        <v>121.54386001527345</v>
      </c>
      <c r="U110" s="10">
        <f t="shared" ca="1" si="20"/>
        <v>121.61438578713053</v>
      </c>
      <c r="V110" s="10">
        <f t="shared" ca="1" si="21"/>
        <v>1.112715533937461</v>
      </c>
    </row>
    <row r="111" spans="12:22" ht="15" customHeight="1" x14ac:dyDescent="0.45">
      <c r="L111" s="9">
        <v>107</v>
      </c>
      <c r="M111" s="10">
        <f t="shared" ca="1" si="22"/>
        <v>121.13131030586482</v>
      </c>
      <c r="N111" s="10">
        <f t="shared" ca="1" si="17"/>
        <v>0.48267780274944722</v>
      </c>
      <c r="O111" s="10">
        <f t="shared" ca="1" si="23"/>
        <v>123.34675535132885</v>
      </c>
      <c r="P111" s="10">
        <f t="shared" ca="1" si="24"/>
        <v>121.61438578713053</v>
      </c>
      <c r="Q111" s="10">
        <f t="shared" ca="1" si="25"/>
        <v>1000000000</v>
      </c>
      <c r="R111" s="10">
        <f t="shared" ca="1" si="26"/>
        <v>1000000000</v>
      </c>
      <c r="S111" s="9">
        <f t="shared" ca="1" si="18"/>
        <v>2</v>
      </c>
      <c r="T111" s="10">
        <f t="shared" ca="1" si="19"/>
        <v>121.61438578713053</v>
      </c>
      <c r="U111" s="10">
        <f t="shared" ca="1" si="20"/>
        <v>122.09706358987998</v>
      </c>
      <c r="V111" s="10">
        <f t="shared" ca="1" si="21"/>
        <v>0.48307548126571476</v>
      </c>
    </row>
    <row r="112" spans="12:22" ht="15" customHeight="1" x14ac:dyDescent="0.45">
      <c r="L112" s="9">
        <v>108</v>
      </c>
      <c r="M112" s="10">
        <f t="shared" ca="1" si="22"/>
        <v>121.55315329455657</v>
      </c>
      <c r="N112" s="10">
        <f t="shared" ca="1" si="17"/>
        <v>1.0498558360691883</v>
      </c>
      <c r="O112" s="10">
        <f t="shared" ca="1" si="23"/>
        <v>123.34675535132885</v>
      </c>
      <c r="P112" s="10">
        <f t="shared" ca="1" si="24"/>
        <v>122.09706358987998</v>
      </c>
      <c r="Q112" s="10">
        <f t="shared" ca="1" si="25"/>
        <v>1000000000</v>
      </c>
      <c r="R112" s="10">
        <f t="shared" ca="1" si="26"/>
        <v>1000000000</v>
      </c>
      <c r="S112" s="9">
        <f t="shared" ca="1" si="18"/>
        <v>2</v>
      </c>
      <c r="T112" s="10">
        <f t="shared" ca="1" si="19"/>
        <v>122.09706358987998</v>
      </c>
      <c r="U112" s="10">
        <f t="shared" ca="1" si="20"/>
        <v>123.14691942594916</v>
      </c>
      <c r="V112" s="10">
        <f t="shared" ca="1" si="21"/>
        <v>0.54391029532341406</v>
      </c>
    </row>
    <row r="113" spans="12:22" ht="15" customHeight="1" x14ac:dyDescent="0.45">
      <c r="L113" s="9">
        <v>109</v>
      </c>
      <c r="M113" s="10">
        <f t="shared" ca="1" si="22"/>
        <v>122.24528911039449</v>
      </c>
      <c r="N113" s="10">
        <f t="shared" ca="1" si="17"/>
        <v>2.2244871536938398</v>
      </c>
      <c r="O113" s="10">
        <f t="shared" ca="1" si="23"/>
        <v>123.34675535132885</v>
      </c>
      <c r="P113" s="10">
        <f t="shared" ca="1" si="24"/>
        <v>123.14691942594916</v>
      </c>
      <c r="Q113" s="10">
        <f t="shared" ca="1" si="25"/>
        <v>1000000000</v>
      </c>
      <c r="R113" s="10">
        <f t="shared" ca="1" si="26"/>
        <v>1000000000</v>
      </c>
      <c r="S113" s="9">
        <f t="shared" ca="1" si="18"/>
        <v>2</v>
      </c>
      <c r="T113" s="10">
        <f t="shared" ca="1" si="19"/>
        <v>123.14691942594916</v>
      </c>
      <c r="U113" s="10">
        <f t="shared" ca="1" si="20"/>
        <v>125.37140657964301</v>
      </c>
      <c r="V113" s="10">
        <f t="shared" ca="1" si="21"/>
        <v>0.90163031555466944</v>
      </c>
    </row>
    <row r="114" spans="12:22" ht="15" customHeight="1" x14ac:dyDescent="0.45">
      <c r="L114" s="9">
        <v>110</v>
      </c>
      <c r="M114" s="10">
        <f t="shared" ca="1" si="22"/>
        <v>123.12317755027732</v>
      </c>
      <c r="N114" s="10">
        <f t="shared" ca="1" si="17"/>
        <v>0.95633598339074743</v>
      </c>
      <c r="O114" s="10">
        <f t="shared" ca="1" si="23"/>
        <v>123.34675535132885</v>
      </c>
      <c r="P114" s="10">
        <f t="shared" ca="1" si="24"/>
        <v>125.37140657964301</v>
      </c>
      <c r="Q114" s="10">
        <f t="shared" ca="1" si="25"/>
        <v>1000000000</v>
      </c>
      <c r="R114" s="10">
        <f t="shared" ca="1" si="26"/>
        <v>1000000000</v>
      </c>
      <c r="S114" s="9">
        <f t="shared" ca="1" si="18"/>
        <v>1</v>
      </c>
      <c r="T114" s="10">
        <f t="shared" ca="1" si="19"/>
        <v>123.34675535132885</v>
      </c>
      <c r="U114" s="10">
        <f t="shared" ca="1" si="20"/>
        <v>124.3030913347196</v>
      </c>
      <c r="V114" s="10">
        <f t="shared" ca="1" si="21"/>
        <v>0.22357780105153324</v>
      </c>
    </row>
    <row r="115" spans="12:22" ht="15" customHeight="1" x14ac:dyDescent="0.45">
      <c r="L115" s="9">
        <v>111</v>
      </c>
      <c r="M115" s="10">
        <f t="shared" ca="1" si="22"/>
        <v>123.93096421700855</v>
      </c>
      <c r="N115" s="10">
        <f t="shared" ca="1" si="17"/>
        <v>0.39359996207622272</v>
      </c>
      <c r="O115" s="10">
        <f t="shared" ca="1" si="23"/>
        <v>124.3030913347196</v>
      </c>
      <c r="P115" s="10">
        <f t="shared" ca="1" si="24"/>
        <v>125.37140657964301</v>
      </c>
      <c r="Q115" s="10">
        <f t="shared" ca="1" si="25"/>
        <v>1000000000</v>
      </c>
      <c r="R115" s="10">
        <f t="shared" ca="1" si="26"/>
        <v>1000000000</v>
      </c>
      <c r="S115" s="9">
        <f t="shared" ca="1" si="18"/>
        <v>1</v>
      </c>
      <c r="T115" s="10">
        <f t="shared" ca="1" si="19"/>
        <v>124.3030913347196</v>
      </c>
      <c r="U115" s="10">
        <f t="shared" ca="1" si="20"/>
        <v>124.69669129679582</v>
      </c>
      <c r="V115" s="10">
        <f t="shared" ca="1" si="21"/>
        <v>0.37212711771104523</v>
      </c>
    </row>
    <row r="116" spans="12:22" ht="15" customHeight="1" x14ac:dyDescent="0.45">
      <c r="L116" s="9">
        <v>112</v>
      </c>
      <c r="M116" s="10">
        <f t="shared" ca="1" si="22"/>
        <v>124.56053332654206</v>
      </c>
      <c r="N116" s="10">
        <f t="shared" ca="1" si="17"/>
        <v>0.15963966757834647</v>
      </c>
      <c r="O116" s="10">
        <f t="shared" ca="1" si="23"/>
        <v>124.69669129679582</v>
      </c>
      <c r="P116" s="10">
        <f t="shared" ca="1" si="24"/>
        <v>125.37140657964301</v>
      </c>
      <c r="Q116" s="10">
        <f t="shared" ca="1" si="25"/>
        <v>1000000000</v>
      </c>
      <c r="R116" s="10">
        <f t="shared" ca="1" si="26"/>
        <v>1000000000</v>
      </c>
      <c r="S116" s="9">
        <f t="shared" ca="1" si="18"/>
        <v>1</v>
      </c>
      <c r="T116" s="10">
        <f t="shared" ca="1" si="19"/>
        <v>124.69669129679582</v>
      </c>
      <c r="U116" s="10">
        <f t="shared" ca="1" si="20"/>
        <v>124.85633096437417</v>
      </c>
      <c r="V116" s="10">
        <f t="shared" ca="1" si="21"/>
        <v>0.13615797025376253</v>
      </c>
    </row>
    <row r="117" spans="12:22" ht="15" customHeight="1" x14ac:dyDescent="0.45">
      <c r="L117" s="9">
        <v>113</v>
      </c>
      <c r="M117" s="10">
        <f t="shared" ca="1" si="22"/>
        <v>128.25469672138868</v>
      </c>
      <c r="N117" s="10">
        <f t="shared" ca="1" si="17"/>
        <v>1.0295325895845535</v>
      </c>
      <c r="O117" s="10">
        <f t="shared" ca="1" si="23"/>
        <v>124.85633096437417</v>
      </c>
      <c r="P117" s="10">
        <f t="shared" ca="1" si="24"/>
        <v>125.37140657964301</v>
      </c>
      <c r="Q117" s="10">
        <f t="shared" ca="1" si="25"/>
        <v>1000000000</v>
      </c>
      <c r="R117" s="10">
        <f t="shared" ca="1" si="26"/>
        <v>1000000000</v>
      </c>
      <c r="S117" s="9">
        <f t="shared" ca="1" si="18"/>
        <v>1</v>
      </c>
      <c r="T117" s="10">
        <f t="shared" ca="1" si="19"/>
        <v>128.25469672138868</v>
      </c>
      <c r="U117" s="10">
        <f t="shared" ca="1" si="20"/>
        <v>129.28422931097325</v>
      </c>
      <c r="V117" s="10">
        <f t="shared" ca="1" si="21"/>
        <v>0</v>
      </c>
    </row>
    <row r="118" spans="12:22" ht="15" customHeight="1" x14ac:dyDescent="0.45">
      <c r="L118" s="9">
        <v>114</v>
      </c>
      <c r="M118" s="10">
        <f t="shared" ca="1" si="22"/>
        <v>128.57237697958129</v>
      </c>
      <c r="N118" s="10">
        <f t="shared" ca="1" si="17"/>
        <v>1.5642279899705611</v>
      </c>
      <c r="O118" s="10">
        <f t="shared" ca="1" si="23"/>
        <v>129.28422931097325</v>
      </c>
      <c r="P118" s="10">
        <f t="shared" ca="1" si="24"/>
        <v>125.37140657964301</v>
      </c>
      <c r="Q118" s="10">
        <f t="shared" ca="1" si="25"/>
        <v>1000000000</v>
      </c>
      <c r="R118" s="10">
        <f t="shared" ca="1" si="26"/>
        <v>1000000000</v>
      </c>
      <c r="S118" s="9">
        <f t="shared" ca="1" si="18"/>
        <v>2</v>
      </c>
      <c r="T118" s="10">
        <f t="shared" ca="1" si="19"/>
        <v>128.57237697958129</v>
      </c>
      <c r="U118" s="10">
        <f t="shared" ca="1" si="20"/>
        <v>130.13660496955185</v>
      </c>
      <c r="V118" s="10">
        <f t="shared" ca="1" si="21"/>
        <v>0</v>
      </c>
    </row>
    <row r="119" spans="12:22" ht="15" customHeight="1" x14ac:dyDescent="0.45">
      <c r="L119" s="9">
        <v>115</v>
      </c>
      <c r="M119" s="10">
        <f t="shared" ca="1" si="22"/>
        <v>128.69552415512695</v>
      </c>
      <c r="N119" s="10">
        <f t="shared" ca="1" si="17"/>
        <v>1.5053339457000616</v>
      </c>
      <c r="O119" s="10">
        <f t="shared" ca="1" si="23"/>
        <v>129.28422931097325</v>
      </c>
      <c r="P119" s="10">
        <f t="shared" ca="1" si="24"/>
        <v>130.13660496955185</v>
      </c>
      <c r="Q119" s="10">
        <f t="shared" ca="1" si="25"/>
        <v>1000000000</v>
      </c>
      <c r="R119" s="10">
        <f t="shared" ca="1" si="26"/>
        <v>1000000000</v>
      </c>
      <c r="S119" s="9">
        <f t="shared" ca="1" si="18"/>
        <v>1</v>
      </c>
      <c r="T119" s="10">
        <f t="shared" ca="1" si="19"/>
        <v>129.28422931097325</v>
      </c>
      <c r="U119" s="10">
        <f t="shared" ca="1" si="20"/>
        <v>130.78956325667332</v>
      </c>
      <c r="V119" s="10">
        <f t="shared" ca="1" si="21"/>
        <v>0.58870515584629857</v>
      </c>
    </row>
    <row r="120" spans="12:22" x14ac:dyDescent="0.45">
      <c r="L120" s="9">
        <v>116</v>
      </c>
      <c r="M120" s="10">
        <f t="shared" ca="1" si="22"/>
        <v>128.72852648191986</v>
      </c>
      <c r="N120" s="10">
        <f t="shared" ca="1" si="17"/>
        <v>0.45290132032865515</v>
      </c>
      <c r="O120" s="10">
        <f t="shared" ca="1" si="23"/>
        <v>130.78956325667332</v>
      </c>
      <c r="P120" s="10">
        <f t="shared" ca="1" si="24"/>
        <v>130.13660496955185</v>
      </c>
      <c r="Q120" s="10">
        <f t="shared" ca="1" si="25"/>
        <v>1000000000</v>
      </c>
      <c r="R120" s="10">
        <f t="shared" ca="1" si="26"/>
        <v>1000000000</v>
      </c>
      <c r="S120" s="9">
        <f t="shared" ca="1" si="18"/>
        <v>2</v>
      </c>
      <c r="T120" s="10">
        <f t="shared" ca="1" si="19"/>
        <v>130.13660496955185</v>
      </c>
      <c r="U120" s="10">
        <f t="shared" ca="1" si="20"/>
        <v>130.58950628988052</v>
      </c>
      <c r="V120" s="10">
        <f t="shared" ca="1" si="21"/>
        <v>1.4080784876319967</v>
      </c>
    </row>
    <row r="121" spans="12:22" x14ac:dyDescent="0.45">
      <c r="L121" s="9">
        <v>117</v>
      </c>
      <c r="M121" s="10">
        <f t="shared" ca="1" si="22"/>
        <v>128.77433305771703</v>
      </c>
      <c r="N121" s="10">
        <f t="shared" ca="1" si="17"/>
        <v>2.3977762319129559</v>
      </c>
      <c r="O121" s="10">
        <f t="shared" ca="1" si="23"/>
        <v>130.78956325667332</v>
      </c>
      <c r="P121" s="10">
        <f t="shared" ca="1" si="24"/>
        <v>130.58950628988052</v>
      </c>
      <c r="Q121" s="10">
        <f t="shared" ca="1" si="25"/>
        <v>1000000000</v>
      </c>
      <c r="R121" s="10">
        <f t="shared" ca="1" si="26"/>
        <v>1000000000</v>
      </c>
      <c r="S121" s="9">
        <f t="shared" ca="1" si="18"/>
        <v>2</v>
      </c>
      <c r="T121" s="10">
        <f t="shared" ca="1" si="19"/>
        <v>130.58950628988052</v>
      </c>
      <c r="U121" s="10">
        <f t="shared" ca="1" si="20"/>
        <v>132.98728252179347</v>
      </c>
      <c r="V121" s="10">
        <f t="shared" ca="1" si="21"/>
        <v>1.8151732321634881</v>
      </c>
    </row>
    <row r="122" spans="12:22" x14ac:dyDescent="0.45">
      <c r="L122" s="9">
        <v>118</v>
      </c>
      <c r="M122" s="10">
        <f t="shared" ca="1" si="22"/>
        <v>130.89002609424432</v>
      </c>
      <c r="N122" s="10">
        <f t="shared" ca="1" si="17"/>
        <v>2.9552363601936014</v>
      </c>
      <c r="O122" s="10">
        <f t="shared" ca="1" si="23"/>
        <v>130.78956325667332</v>
      </c>
      <c r="P122" s="10">
        <f t="shared" ca="1" si="24"/>
        <v>132.98728252179347</v>
      </c>
      <c r="Q122" s="10">
        <f t="shared" ca="1" si="25"/>
        <v>1000000000</v>
      </c>
      <c r="R122" s="10">
        <f t="shared" ca="1" si="26"/>
        <v>1000000000</v>
      </c>
      <c r="S122" s="9">
        <f t="shared" ca="1" si="18"/>
        <v>1</v>
      </c>
      <c r="T122" s="10">
        <f t="shared" ca="1" si="19"/>
        <v>130.89002609424432</v>
      </c>
      <c r="U122" s="10">
        <f t="shared" ca="1" si="20"/>
        <v>133.84526245443791</v>
      </c>
      <c r="V122" s="10">
        <f t="shared" ca="1" si="21"/>
        <v>0</v>
      </c>
    </row>
    <row r="123" spans="12:22" x14ac:dyDescent="0.45">
      <c r="L123" s="9">
        <v>119</v>
      </c>
      <c r="M123" s="10">
        <f t="shared" ca="1" si="22"/>
        <v>134.01550480451871</v>
      </c>
      <c r="N123" s="10">
        <f t="shared" ca="1" si="17"/>
        <v>5.8054054581950232E-2</v>
      </c>
      <c r="O123" s="10">
        <f t="shared" ca="1" si="23"/>
        <v>133.84526245443791</v>
      </c>
      <c r="P123" s="10">
        <f t="shared" ca="1" si="24"/>
        <v>132.98728252179347</v>
      </c>
      <c r="Q123" s="10">
        <f t="shared" ca="1" si="25"/>
        <v>1000000000</v>
      </c>
      <c r="R123" s="10">
        <f t="shared" ca="1" si="26"/>
        <v>1000000000</v>
      </c>
      <c r="S123" s="9">
        <f t="shared" ca="1" si="18"/>
        <v>2</v>
      </c>
      <c r="T123" s="10">
        <f t="shared" ca="1" si="19"/>
        <v>134.01550480451871</v>
      </c>
      <c r="U123" s="10">
        <f t="shared" ca="1" si="20"/>
        <v>134.07355885910067</v>
      </c>
      <c r="V123" s="10">
        <f t="shared" ca="1" si="21"/>
        <v>0</v>
      </c>
    </row>
    <row r="124" spans="12:22" x14ac:dyDescent="0.45">
      <c r="L124" s="9">
        <v>120</v>
      </c>
      <c r="M124" s="10">
        <f t="shared" ca="1" si="22"/>
        <v>135.44401769143258</v>
      </c>
      <c r="N124" s="10">
        <f t="shared" ca="1" si="17"/>
        <v>0.67729707893605284</v>
      </c>
      <c r="O124" s="10">
        <f t="shared" ca="1" si="23"/>
        <v>133.84526245443791</v>
      </c>
      <c r="P124" s="10">
        <f t="shared" ca="1" si="24"/>
        <v>134.07355885910067</v>
      </c>
      <c r="Q124" s="10">
        <f t="shared" ca="1" si="25"/>
        <v>1000000000</v>
      </c>
      <c r="R124" s="10">
        <f t="shared" ca="1" si="26"/>
        <v>1000000000</v>
      </c>
      <c r="S124" s="9">
        <f t="shared" ca="1" si="18"/>
        <v>1</v>
      </c>
      <c r="T124" s="10">
        <f t="shared" ca="1" si="19"/>
        <v>135.44401769143258</v>
      </c>
      <c r="U124" s="10">
        <f t="shared" ca="1" si="20"/>
        <v>136.12131477036863</v>
      </c>
      <c r="V124" s="10">
        <f t="shared" ca="1" si="21"/>
        <v>0</v>
      </c>
    </row>
    <row r="125" spans="12:22" x14ac:dyDescent="0.45">
      <c r="L125" s="9">
        <v>121</v>
      </c>
      <c r="M125" s="10">
        <f t="shared" ca="1" si="22"/>
        <v>135.632319244889</v>
      </c>
      <c r="N125" s="10">
        <f t="shared" ca="1" si="17"/>
        <v>4.4047411875117612E-2</v>
      </c>
      <c r="O125" s="10">
        <f t="shared" ca="1" si="23"/>
        <v>136.12131477036863</v>
      </c>
      <c r="P125" s="10">
        <f t="shared" ca="1" si="24"/>
        <v>134.07355885910067</v>
      </c>
      <c r="Q125" s="10">
        <f t="shared" ca="1" si="25"/>
        <v>1000000000</v>
      </c>
      <c r="R125" s="10">
        <f t="shared" ca="1" si="26"/>
        <v>1000000000</v>
      </c>
      <c r="S125" s="9">
        <f t="shared" ca="1" si="18"/>
        <v>2</v>
      </c>
      <c r="T125" s="10">
        <f t="shared" ca="1" si="19"/>
        <v>135.632319244889</v>
      </c>
      <c r="U125" s="10">
        <f t="shared" ca="1" si="20"/>
        <v>135.67636665676412</v>
      </c>
      <c r="V125" s="10">
        <f t="shared" ca="1" si="21"/>
        <v>0</v>
      </c>
    </row>
    <row r="126" spans="12:22" x14ac:dyDescent="0.45">
      <c r="L126" s="9">
        <v>122</v>
      </c>
      <c r="M126" s="10">
        <f t="shared" ca="1" si="22"/>
        <v>137.84335913876714</v>
      </c>
      <c r="N126" s="10">
        <f t="shared" ca="1" si="17"/>
        <v>0.94954186595365675</v>
      </c>
      <c r="O126" s="10">
        <f t="shared" ca="1" si="23"/>
        <v>136.12131477036863</v>
      </c>
      <c r="P126" s="10">
        <f t="shared" ca="1" si="24"/>
        <v>135.67636665676412</v>
      </c>
      <c r="Q126" s="10">
        <f t="shared" ca="1" si="25"/>
        <v>1000000000</v>
      </c>
      <c r="R126" s="10">
        <f t="shared" ca="1" si="26"/>
        <v>1000000000</v>
      </c>
      <c r="S126" s="9">
        <f t="shared" ca="1" si="18"/>
        <v>2</v>
      </c>
      <c r="T126" s="10">
        <f t="shared" ca="1" si="19"/>
        <v>137.84335913876714</v>
      </c>
      <c r="U126" s="10">
        <f t="shared" ca="1" si="20"/>
        <v>138.79290100472079</v>
      </c>
      <c r="V126" s="10">
        <f t="shared" ca="1" si="21"/>
        <v>0</v>
      </c>
    </row>
    <row r="127" spans="12:22" x14ac:dyDescent="0.45">
      <c r="L127" s="9">
        <v>123</v>
      </c>
      <c r="M127" s="10">
        <f t="shared" ca="1" si="22"/>
        <v>138.15595659930864</v>
      </c>
      <c r="N127" s="10">
        <f t="shared" ca="1" si="17"/>
        <v>1.5773917685659509</v>
      </c>
      <c r="O127" s="10">
        <f t="shared" ca="1" si="23"/>
        <v>136.12131477036863</v>
      </c>
      <c r="P127" s="10">
        <f t="shared" ca="1" si="24"/>
        <v>138.79290100472079</v>
      </c>
      <c r="Q127" s="10">
        <f t="shared" ca="1" si="25"/>
        <v>1000000000</v>
      </c>
      <c r="R127" s="10">
        <f t="shared" ca="1" si="26"/>
        <v>1000000000</v>
      </c>
      <c r="S127" s="9">
        <f t="shared" ca="1" si="18"/>
        <v>1</v>
      </c>
      <c r="T127" s="10">
        <f t="shared" ca="1" si="19"/>
        <v>138.15595659930864</v>
      </c>
      <c r="U127" s="10">
        <f t="shared" ca="1" si="20"/>
        <v>139.73334836787458</v>
      </c>
      <c r="V127" s="10">
        <f t="shared" ca="1" si="21"/>
        <v>0</v>
      </c>
    </row>
    <row r="128" spans="12:22" x14ac:dyDescent="0.45">
      <c r="L128" s="9">
        <v>124</v>
      </c>
      <c r="M128" s="10">
        <f t="shared" ca="1" si="22"/>
        <v>138.79175919077443</v>
      </c>
      <c r="N128" s="10">
        <f t="shared" ca="1" si="17"/>
        <v>0.87063973257072469</v>
      </c>
      <c r="O128" s="10">
        <f t="shared" ca="1" si="23"/>
        <v>139.73334836787458</v>
      </c>
      <c r="P128" s="10">
        <f t="shared" ca="1" si="24"/>
        <v>138.79290100472079</v>
      </c>
      <c r="Q128" s="10">
        <f t="shared" ca="1" si="25"/>
        <v>1000000000</v>
      </c>
      <c r="R128" s="10">
        <f t="shared" ca="1" si="26"/>
        <v>1000000000</v>
      </c>
      <c r="S128" s="9">
        <f t="shared" ca="1" si="18"/>
        <v>2</v>
      </c>
      <c r="T128" s="10">
        <f t="shared" ca="1" si="19"/>
        <v>138.79290100472079</v>
      </c>
      <c r="U128" s="10">
        <f t="shared" ca="1" si="20"/>
        <v>139.66354073729153</v>
      </c>
      <c r="V128" s="10">
        <f t="shared" ca="1" si="21"/>
        <v>1.1418139463614807E-3</v>
      </c>
    </row>
    <row r="129" spans="12:22" x14ac:dyDescent="0.45">
      <c r="L129" s="9">
        <v>125</v>
      </c>
      <c r="M129" s="10">
        <f t="shared" ca="1" si="22"/>
        <v>139.79745254384542</v>
      </c>
      <c r="N129" s="10">
        <f t="shared" ca="1" si="17"/>
        <v>0.28994519689204051</v>
      </c>
      <c r="O129" s="10">
        <f t="shared" ca="1" si="23"/>
        <v>139.73334836787458</v>
      </c>
      <c r="P129" s="10">
        <f t="shared" ca="1" si="24"/>
        <v>139.66354073729153</v>
      </c>
      <c r="Q129" s="10">
        <f t="shared" ca="1" si="25"/>
        <v>1000000000</v>
      </c>
      <c r="R129" s="10">
        <f t="shared" ca="1" si="26"/>
        <v>1000000000</v>
      </c>
      <c r="S129" s="9">
        <f t="shared" ca="1" si="18"/>
        <v>2</v>
      </c>
      <c r="T129" s="10">
        <f t="shared" ca="1" si="19"/>
        <v>139.79745254384542</v>
      </c>
      <c r="U129" s="10">
        <f t="shared" ca="1" si="20"/>
        <v>140.08739774073746</v>
      </c>
      <c r="V129" s="10">
        <f t="shared" ca="1" si="21"/>
        <v>0</v>
      </c>
    </row>
    <row r="130" spans="12:22" x14ac:dyDescent="0.45">
      <c r="L130" s="9">
        <v>126</v>
      </c>
      <c r="M130" s="10">
        <f t="shared" ca="1" si="22"/>
        <v>139.90530033320633</v>
      </c>
      <c r="N130" s="10">
        <f t="shared" ca="1" si="17"/>
        <v>0.44141341484521129</v>
      </c>
      <c r="O130" s="10">
        <f t="shared" ca="1" si="23"/>
        <v>139.73334836787458</v>
      </c>
      <c r="P130" s="10">
        <f t="shared" ca="1" si="24"/>
        <v>140.08739774073746</v>
      </c>
      <c r="Q130" s="10">
        <f t="shared" ca="1" si="25"/>
        <v>1000000000</v>
      </c>
      <c r="R130" s="10">
        <f t="shared" ca="1" si="26"/>
        <v>1000000000</v>
      </c>
      <c r="S130" s="9">
        <f t="shared" ca="1" si="18"/>
        <v>1</v>
      </c>
      <c r="T130" s="10">
        <f t="shared" ca="1" si="19"/>
        <v>139.90530033320633</v>
      </c>
      <c r="U130" s="10">
        <f t="shared" ca="1" si="20"/>
        <v>140.34671374805154</v>
      </c>
      <c r="V130" s="10">
        <f t="shared" ca="1" si="21"/>
        <v>0</v>
      </c>
    </row>
    <row r="131" spans="12:22" x14ac:dyDescent="0.45">
      <c r="L131" s="9">
        <v>127</v>
      </c>
      <c r="M131" s="10">
        <f t="shared" ca="1" si="22"/>
        <v>140.09636185140326</v>
      </c>
      <c r="N131" s="10">
        <f t="shared" ca="1" si="17"/>
        <v>0.2225367702946347</v>
      </c>
      <c r="O131" s="10">
        <f t="shared" ca="1" si="23"/>
        <v>140.34671374805154</v>
      </c>
      <c r="P131" s="10">
        <f t="shared" ca="1" si="24"/>
        <v>140.08739774073746</v>
      </c>
      <c r="Q131" s="10">
        <f t="shared" ca="1" si="25"/>
        <v>1000000000</v>
      </c>
      <c r="R131" s="10">
        <f t="shared" ca="1" si="26"/>
        <v>1000000000</v>
      </c>
      <c r="S131" s="9">
        <f t="shared" ca="1" si="18"/>
        <v>2</v>
      </c>
      <c r="T131" s="10">
        <f t="shared" ca="1" si="19"/>
        <v>140.09636185140326</v>
      </c>
      <c r="U131" s="10">
        <f t="shared" ca="1" si="20"/>
        <v>140.31889862169788</v>
      </c>
      <c r="V131" s="10">
        <f t="shared" ca="1" si="21"/>
        <v>0</v>
      </c>
    </row>
    <row r="132" spans="12:22" x14ac:dyDescent="0.45">
      <c r="L132" s="9">
        <v>128</v>
      </c>
      <c r="M132" s="10">
        <f t="shared" ca="1" si="22"/>
        <v>142.74882396555972</v>
      </c>
      <c r="N132" s="10">
        <f t="shared" ca="1" si="17"/>
        <v>0.85901985592779395</v>
      </c>
      <c r="O132" s="10">
        <f t="shared" ca="1" si="23"/>
        <v>140.34671374805154</v>
      </c>
      <c r="P132" s="10">
        <f t="shared" ca="1" si="24"/>
        <v>140.31889862169788</v>
      </c>
      <c r="Q132" s="10">
        <f t="shared" ca="1" si="25"/>
        <v>1000000000</v>
      </c>
      <c r="R132" s="10">
        <f t="shared" ca="1" si="26"/>
        <v>1000000000</v>
      </c>
      <c r="S132" s="9">
        <f t="shared" ca="1" si="18"/>
        <v>2</v>
      </c>
      <c r="T132" s="10">
        <f t="shared" ca="1" si="19"/>
        <v>142.74882396555972</v>
      </c>
      <c r="U132" s="10">
        <f t="shared" ca="1" si="20"/>
        <v>143.60784382148751</v>
      </c>
      <c r="V132" s="10">
        <f t="shared" ca="1" si="21"/>
        <v>0</v>
      </c>
    </row>
    <row r="133" spans="12:22" x14ac:dyDescent="0.45">
      <c r="L133" s="9">
        <v>129</v>
      </c>
      <c r="M133" s="10">
        <f t="shared" ca="1" si="22"/>
        <v>144.31705047617857</v>
      </c>
      <c r="N133" s="10">
        <f t="shared" ref="N133:N196" ca="1" si="27">-60/$C$6*LN(1-RAND())</f>
        <v>3.6880914933688578</v>
      </c>
      <c r="O133" s="10">
        <f t="shared" ca="1" si="23"/>
        <v>140.34671374805154</v>
      </c>
      <c r="P133" s="10">
        <f t="shared" ca="1" si="24"/>
        <v>143.60784382148751</v>
      </c>
      <c r="Q133" s="10">
        <f t="shared" ca="1" si="25"/>
        <v>1000000000</v>
      </c>
      <c r="R133" s="10">
        <f t="shared" ca="1" si="26"/>
        <v>1000000000</v>
      </c>
      <c r="S133" s="9">
        <f t="shared" ref="S133:S196" ca="1" si="28">MATCH(MIN(O133:R133),O133:R133,0)</f>
        <v>1</v>
      </c>
      <c r="T133" s="10">
        <f t="shared" ref="T133:T196" ca="1" si="29">MAX(M133,MIN(O133:R133))</f>
        <v>144.31705047617857</v>
      </c>
      <c r="U133" s="10">
        <f t="shared" ref="U133:U196" ca="1" si="30">T133+N133</f>
        <v>148.00514196954742</v>
      </c>
      <c r="V133" s="10">
        <f t="shared" ref="V133:V196" ca="1" si="31">T133-M133</f>
        <v>0</v>
      </c>
    </row>
    <row r="134" spans="12:22" x14ac:dyDescent="0.45">
      <c r="L134" s="9">
        <v>130</v>
      </c>
      <c r="M134" s="10">
        <f t="shared" ref="M134:M197" ca="1" si="32">M133-60/$C$5*LN(1-RAND())</f>
        <v>146.62913223387599</v>
      </c>
      <c r="N134" s="10">
        <f t="shared" ca="1" si="27"/>
        <v>1.7691306125658937</v>
      </c>
      <c r="O134" s="10">
        <f t="shared" ref="O134:O197" ca="1" si="33">IF(S133=1,U133,O133)</f>
        <v>148.00514196954742</v>
      </c>
      <c r="P134" s="10">
        <f t="shared" ref="P134:P197" ca="1" si="34">IF(S133=2,U133,P133)</f>
        <v>143.60784382148751</v>
      </c>
      <c r="Q134" s="10">
        <f t="shared" ref="Q134:Q197" ca="1" si="35">IF(S133=3,U133,Q133)</f>
        <v>1000000000</v>
      </c>
      <c r="R134" s="10">
        <f t="shared" ref="R134:R197" ca="1" si="36">IF(S133=4,U133,R133)</f>
        <v>1000000000</v>
      </c>
      <c r="S134" s="9">
        <f t="shared" ca="1" si="28"/>
        <v>2</v>
      </c>
      <c r="T134" s="10">
        <f t="shared" ca="1" si="29"/>
        <v>146.62913223387599</v>
      </c>
      <c r="U134" s="10">
        <f t="shared" ca="1" si="30"/>
        <v>148.3982628464419</v>
      </c>
      <c r="V134" s="10">
        <f t="shared" ca="1" si="31"/>
        <v>0</v>
      </c>
    </row>
    <row r="135" spans="12:22" x14ac:dyDescent="0.45">
      <c r="L135" s="9">
        <v>131</v>
      </c>
      <c r="M135" s="10">
        <f t="shared" ca="1" si="32"/>
        <v>147.51900136917192</v>
      </c>
      <c r="N135" s="10">
        <f t="shared" ca="1" si="27"/>
        <v>2.4279989116780061</v>
      </c>
      <c r="O135" s="10">
        <f t="shared" ca="1" si="33"/>
        <v>148.00514196954742</v>
      </c>
      <c r="P135" s="10">
        <f t="shared" ca="1" si="34"/>
        <v>148.3982628464419</v>
      </c>
      <c r="Q135" s="10">
        <f t="shared" ca="1" si="35"/>
        <v>1000000000</v>
      </c>
      <c r="R135" s="10">
        <f t="shared" ca="1" si="36"/>
        <v>1000000000</v>
      </c>
      <c r="S135" s="9">
        <f t="shared" ca="1" si="28"/>
        <v>1</v>
      </c>
      <c r="T135" s="10">
        <f t="shared" ca="1" si="29"/>
        <v>148.00514196954742</v>
      </c>
      <c r="U135" s="10">
        <f t="shared" ca="1" si="30"/>
        <v>150.43314088122543</v>
      </c>
      <c r="V135" s="10">
        <f t="shared" ca="1" si="31"/>
        <v>0.48614060037550644</v>
      </c>
    </row>
    <row r="136" spans="12:22" x14ac:dyDescent="0.45">
      <c r="L136" s="9">
        <v>132</v>
      </c>
      <c r="M136" s="10">
        <f t="shared" ca="1" si="32"/>
        <v>148.0922695755367</v>
      </c>
      <c r="N136" s="10">
        <f t="shared" ca="1" si="27"/>
        <v>0.64458056820419551</v>
      </c>
      <c r="O136" s="10">
        <f t="shared" ca="1" si="33"/>
        <v>150.43314088122543</v>
      </c>
      <c r="P136" s="10">
        <f t="shared" ca="1" si="34"/>
        <v>148.3982628464419</v>
      </c>
      <c r="Q136" s="10">
        <f t="shared" ca="1" si="35"/>
        <v>1000000000</v>
      </c>
      <c r="R136" s="10">
        <f t="shared" ca="1" si="36"/>
        <v>1000000000</v>
      </c>
      <c r="S136" s="9">
        <f t="shared" ca="1" si="28"/>
        <v>2</v>
      </c>
      <c r="T136" s="10">
        <f t="shared" ca="1" si="29"/>
        <v>148.3982628464419</v>
      </c>
      <c r="U136" s="10">
        <f t="shared" ca="1" si="30"/>
        <v>149.04284341464609</v>
      </c>
      <c r="V136" s="10">
        <f t="shared" ca="1" si="31"/>
        <v>0.30599327090519068</v>
      </c>
    </row>
    <row r="137" spans="12:22" x14ac:dyDescent="0.45">
      <c r="L137" s="9">
        <v>133</v>
      </c>
      <c r="M137" s="10">
        <f t="shared" ca="1" si="32"/>
        <v>150.07437466890227</v>
      </c>
      <c r="N137" s="10">
        <f t="shared" ca="1" si="27"/>
        <v>1.0390281778770096</v>
      </c>
      <c r="O137" s="10">
        <f t="shared" ca="1" si="33"/>
        <v>150.43314088122543</v>
      </c>
      <c r="P137" s="10">
        <f t="shared" ca="1" si="34"/>
        <v>149.04284341464609</v>
      </c>
      <c r="Q137" s="10">
        <f t="shared" ca="1" si="35"/>
        <v>1000000000</v>
      </c>
      <c r="R137" s="10">
        <f t="shared" ca="1" si="36"/>
        <v>1000000000</v>
      </c>
      <c r="S137" s="9">
        <f t="shared" ca="1" si="28"/>
        <v>2</v>
      </c>
      <c r="T137" s="10">
        <f t="shared" ca="1" si="29"/>
        <v>150.07437466890227</v>
      </c>
      <c r="U137" s="10">
        <f t="shared" ca="1" si="30"/>
        <v>151.11340284677928</v>
      </c>
      <c r="V137" s="10">
        <f t="shared" ca="1" si="31"/>
        <v>0</v>
      </c>
    </row>
    <row r="138" spans="12:22" x14ac:dyDescent="0.45">
      <c r="L138" s="9">
        <v>134</v>
      </c>
      <c r="M138" s="10">
        <f t="shared" ca="1" si="32"/>
        <v>150.15471522064345</v>
      </c>
      <c r="N138" s="10">
        <f t="shared" ca="1" si="27"/>
        <v>1.4731728063798413</v>
      </c>
      <c r="O138" s="10">
        <f t="shared" ca="1" si="33"/>
        <v>150.43314088122543</v>
      </c>
      <c r="P138" s="10">
        <f t="shared" ca="1" si="34"/>
        <v>151.11340284677928</v>
      </c>
      <c r="Q138" s="10">
        <f t="shared" ca="1" si="35"/>
        <v>1000000000</v>
      </c>
      <c r="R138" s="10">
        <f t="shared" ca="1" si="36"/>
        <v>1000000000</v>
      </c>
      <c r="S138" s="9">
        <f t="shared" ca="1" si="28"/>
        <v>1</v>
      </c>
      <c r="T138" s="10">
        <f t="shared" ca="1" si="29"/>
        <v>150.43314088122543</v>
      </c>
      <c r="U138" s="10">
        <f t="shared" ca="1" si="30"/>
        <v>151.90631368760526</v>
      </c>
      <c r="V138" s="10">
        <f t="shared" ca="1" si="31"/>
        <v>0.27842566058197349</v>
      </c>
    </row>
    <row r="139" spans="12:22" x14ac:dyDescent="0.45">
      <c r="L139" s="9">
        <v>135</v>
      </c>
      <c r="M139" s="10">
        <f t="shared" ca="1" si="32"/>
        <v>150.9792164699931</v>
      </c>
      <c r="N139" s="10">
        <f t="shared" ca="1" si="27"/>
        <v>1.9784193418657008</v>
      </c>
      <c r="O139" s="10">
        <f t="shared" ca="1" si="33"/>
        <v>151.90631368760526</v>
      </c>
      <c r="P139" s="10">
        <f t="shared" ca="1" si="34"/>
        <v>151.11340284677928</v>
      </c>
      <c r="Q139" s="10">
        <f t="shared" ca="1" si="35"/>
        <v>1000000000</v>
      </c>
      <c r="R139" s="10">
        <f t="shared" ca="1" si="36"/>
        <v>1000000000</v>
      </c>
      <c r="S139" s="9">
        <f t="shared" ca="1" si="28"/>
        <v>2</v>
      </c>
      <c r="T139" s="10">
        <f t="shared" ca="1" si="29"/>
        <v>151.11340284677928</v>
      </c>
      <c r="U139" s="10">
        <f t="shared" ca="1" si="30"/>
        <v>153.09182218864498</v>
      </c>
      <c r="V139" s="10">
        <f t="shared" ca="1" si="31"/>
        <v>0.13418637678617529</v>
      </c>
    </row>
    <row r="140" spans="12:22" x14ac:dyDescent="0.45">
      <c r="L140" s="9">
        <v>136</v>
      </c>
      <c r="M140" s="10">
        <f t="shared" ca="1" si="32"/>
        <v>151.01688583847078</v>
      </c>
      <c r="N140" s="10">
        <f t="shared" ca="1" si="27"/>
        <v>0.54889790015782502</v>
      </c>
      <c r="O140" s="10">
        <f t="shared" ca="1" si="33"/>
        <v>151.90631368760526</v>
      </c>
      <c r="P140" s="10">
        <f t="shared" ca="1" si="34"/>
        <v>153.09182218864498</v>
      </c>
      <c r="Q140" s="10">
        <f t="shared" ca="1" si="35"/>
        <v>1000000000</v>
      </c>
      <c r="R140" s="10">
        <f t="shared" ca="1" si="36"/>
        <v>1000000000</v>
      </c>
      <c r="S140" s="9">
        <f t="shared" ca="1" si="28"/>
        <v>1</v>
      </c>
      <c r="T140" s="10">
        <f t="shared" ca="1" si="29"/>
        <v>151.90631368760526</v>
      </c>
      <c r="U140" s="10">
        <f t="shared" ca="1" si="30"/>
        <v>152.45521158776307</v>
      </c>
      <c r="V140" s="10">
        <f t="shared" ca="1" si="31"/>
        <v>0.88942784913447781</v>
      </c>
    </row>
    <row r="141" spans="12:22" x14ac:dyDescent="0.45">
      <c r="L141" s="9">
        <v>137</v>
      </c>
      <c r="M141" s="10">
        <f t="shared" ca="1" si="32"/>
        <v>153.25956408417306</v>
      </c>
      <c r="N141" s="10">
        <f t="shared" ca="1" si="27"/>
        <v>8.2911910823937757E-2</v>
      </c>
      <c r="O141" s="10">
        <f t="shared" ca="1" si="33"/>
        <v>152.45521158776307</v>
      </c>
      <c r="P141" s="10">
        <f t="shared" ca="1" si="34"/>
        <v>153.09182218864498</v>
      </c>
      <c r="Q141" s="10">
        <f t="shared" ca="1" si="35"/>
        <v>1000000000</v>
      </c>
      <c r="R141" s="10">
        <f t="shared" ca="1" si="36"/>
        <v>1000000000</v>
      </c>
      <c r="S141" s="9">
        <f t="shared" ca="1" si="28"/>
        <v>1</v>
      </c>
      <c r="T141" s="10">
        <f t="shared" ca="1" si="29"/>
        <v>153.25956408417306</v>
      </c>
      <c r="U141" s="10">
        <f t="shared" ca="1" si="30"/>
        <v>153.34247599499699</v>
      </c>
      <c r="V141" s="10">
        <f t="shared" ca="1" si="31"/>
        <v>0</v>
      </c>
    </row>
    <row r="142" spans="12:22" x14ac:dyDescent="0.45">
      <c r="L142" s="9">
        <v>138</v>
      </c>
      <c r="M142" s="10">
        <f t="shared" ca="1" si="32"/>
        <v>154.78131273835183</v>
      </c>
      <c r="N142" s="10">
        <f t="shared" ca="1" si="27"/>
        <v>0.24953171075868216</v>
      </c>
      <c r="O142" s="10">
        <f t="shared" ca="1" si="33"/>
        <v>153.34247599499699</v>
      </c>
      <c r="P142" s="10">
        <f t="shared" ca="1" si="34"/>
        <v>153.09182218864498</v>
      </c>
      <c r="Q142" s="10">
        <f t="shared" ca="1" si="35"/>
        <v>1000000000</v>
      </c>
      <c r="R142" s="10">
        <f t="shared" ca="1" si="36"/>
        <v>1000000000</v>
      </c>
      <c r="S142" s="9">
        <f t="shared" ca="1" si="28"/>
        <v>2</v>
      </c>
      <c r="T142" s="10">
        <f t="shared" ca="1" si="29"/>
        <v>154.78131273835183</v>
      </c>
      <c r="U142" s="10">
        <f t="shared" ca="1" si="30"/>
        <v>155.0308444491105</v>
      </c>
      <c r="V142" s="10">
        <f t="shared" ca="1" si="31"/>
        <v>0</v>
      </c>
    </row>
    <row r="143" spans="12:22" x14ac:dyDescent="0.45">
      <c r="L143" s="9">
        <v>139</v>
      </c>
      <c r="M143" s="10">
        <f t="shared" ca="1" si="32"/>
        <v>156.11794617229455</v>
      </c>
      <c r="N143" s="10">
        <f t="shared" ca="1" si="27"/>
        <v>0.63901784952409424</v>
      </c>
      <c r="O143" s="10">
        <f t="shared" ca="1" si="33"/>
        <v>153.34247599499699</v>
      </c>
      <c r="P143" s="10">
        <f t="shared" ca="1" si="34"/>
        <v>155.0308444491105</v>
      </c>
      <c r="Q143" s="10">
        <f t="shared" ca="1" si="35"/>
        <v>1000000000</v>
      </c>
      <c r="R143" s="10">
        <f t="shared" ca="1" si="36"/>
        <v>1000000000</v>
      </c>
      <c r="S143" s="9">
        <f t="shared" ca="1" si="28"/>
        <v>1</v>
      </c>
      <c r="T143" s="10">
        <f t="shared" ca="1" si="29"/>
        <v>156.11794617229455</v>
      </c>
      <c r="U143" s="10">
        <f t="shared" ca="1" si="30"/>
        <v>156.75696402181865</v>
      </c>
      <c r="V143" s="10">
        <f t="shared" ca="1" si="31"/>
        <v>0</v>
      </c>
    </row>
    <row r="144" spans="12:22" x14ac:dyDescent="0.45">
      <c r="L144" s="9">
        <v>140</v>
      </c>
      <c r="M144" s="10">
        <f t="shared" ca="1" si="32"/>
        <v>156.91934630177963</v>
      </c>
      <c r="N144" s="10">
        <f t="shared" ca="1" si="27"/>
        <v>1.6915494181070938</v>
      </c>
      <c r="O144" s="10">
        <f t="shared" ca="1" si="33"/>
        <v>156.75696402181865</v>
      </c>
      <c r="P144" s="10">
        <f t="shared" ca="1" si="34"/>
        <v>155.0308444491105</v>
      </c>
      <c r="Q144" s="10">
        <f t="shared" ca="1" si="35"/>
        <v>1000000000</v>
      </c>
      <c r="R144" s="10">
        <f t="shared" ca="1" si="36"/>
        <v>1000000000</v>
      </c>
      <c r="S144" s="9">
        <f t="shared" ca="1" si="28"/>
        <v>2</v>
      </c>
      <c r="T144" s="10">
        <f t="shared" ca="1" si="29"/>
        <v>156.91934630177963</v>
      </c>
      <c r="U144" s="10">
        <f t="shared" ca="1" si="30"/>
        <v>158.61089571988671</v>
      </c>
      <c r="V144" s="10">
        <f t="shared" ca="1" si="31"/>
        <v>0</v>
      </c>
    </row>
    <row r="145" spans="12:22" x14ac:dyDescent="0.45">
      <c r="L145" s="9">
        <v>141</v>
      </c>
      <c r="M145" s="10">
        <f t="shared" ca="1" si="32"/>
        <v>159.53958199582991</v>
      </c>
      <c r="N145" s="10">
        <f t="shared" ca="1" si="27"/>
        <v>4.5686788873903733E-2</v>
      </c>
      <c r="O145" s="10">
        <f t="shared" ca="1" si="33"/>
        <v>156.75696402181865</v>
      </c>
      <c r="P145" s="10">
        <f t="shared" ca="1" si="34"/>
        <v>158.61089571988671</v>
      </c>
      <c r="Q145" s="10">
        <f t="shared" ca="1" si="35"/>
        <v>1000000000</v>
      </c>
      <c r="R145" s="10">
        <f t="shared" ca="1" si="36"/>
        <v>1000000000</v>
      </c>
      <c r="S145" s="9">
        <f t="shared" ca="1" si="28"/>
        <v>1</v>
      </c>
      <c r="T145" s="10">
        <f t="shared" ca="1" si="29"/>
        <v>159.53958199582991</v>
      </c>
      <c r="U145" s="10">
        <f t="shared" ca="1" si="30"/>
        <v>159.5852687847038</v>
      </c>
      <c r="V145" s="10">
        <f t="shared" ca="1" si="31"/>
        <v>0</v>
      </c>
    </row>
    <row r="146" spans="12:22" x14ac:dyDescent="0.45">
      <c r="L146" s="9">
        <v>142</v>
      </c>
      <c r="M146" s="10">
        <f t="shared" ca="1" si="32"/>
        <v>160.06465911118147</v>
      </c>
      <c r="N146" s="10">
        <f t="shared" ca="1" si="27"/>
        <v>1.6683645241202407</v>
      </c>
      <c r="O146" s="10">
        <f t="shared" ca="1" si="33"/>
        <v>159.5852687847038</v>
      </c>
      <c r="P146" s="10">
        <f t="shared" ca="1" si="34"/>
        <v>158.61089571988671</v>
      </c>
      <c r="Q146" s="10">
        <f t="shared" ca="1" si="35"/>
        <v>1000000000</v>
      </c>
      <c r="R146" s="10">
        <f t="shared" ca="1" si="36"/>
        <v>1000000000</v>
      </c>
      <c r="S146" s="9">
        <f t="shared" ca="1" si="28"/>
        <v>2</v>
      </c>
      <c r="T146" s="10">
        <f t="shared" ca="1" si="29"/>
        <v>160.06465911118147</v>
      </c>
      <c r="U146" s="10">
        <f t="shared" ca="1" si="30"/>
        <v>161.73302363530172</v>
      </c>
      <c r="V146" s="10">
        <f t="shared" ca="1" si="31"/>
        <v>0</v>
      </c>
    </row>
    <row r="147" spans="12:22" x14ac:dyDescent="0.45">
      <c r="L147" s="9">
        <v>143</v>
      </c>
      <c r="M147" s="10">
        <f t="shared" ca="1" si="32"/>
        <v>162.30645181176919</v>
      </c>
      <c r="N147" s="10">
        <f t="shared" ca="1" si="27"/>
        <v>0.6562994276090055</v>
      </c>
      <c r="O147" s="10">
        <f t="shared" ca="1" si="33"/>
        <v>159.5852687847038</v>
      </c>
      <c r="P147" s="10">
        <f t="shared" ca="1" si="34"/>
        <v>161.73302363530172</v>
      </c>
      <c r="Q147" s="10">
        <f t="shared" ca="1" si="35"/>
        <v>1000000000</v>
      </c>
      <c r="R147" s="10">
        <f t="shared" ca="1" si="36"/>
        <v>1000000000</v>
      </c>
      <c r="S147" s="9">
        <f t="shared" ca="1" si="28"/>
        <v>1</v>
      </c>
      <c r="T147" s="10">
        <f t="shared" ca="1" si="29"/>
        <v>162.30645181176919</v>
      </c>
      <c r="U147" s="10">
        <f t="shared" ca="1" si="30"/>
        <v>162.96275123937821</v>
      </c>
      <c r="V147" s="10">
        <f t="shared" ca="1" si="31"/>
        <v>0</v>
      </c>
    </row>
    <row r="148" spans="12:22" x14ac:dyDescent="0.45">
      <c r="L148" s="9">
        <v>144</v>
      </c>
      <c r="M148" s="10">
        <f t="shared" ca="1" si="32"/>
        <v>163.26071094418302</v>
      </c>
      <c r="N148" s="10">
        <f t="shared" ca="1" si="27"/>
        <v>1.1071470830063701</v>
      </c>
      <c r="O148" s="10">
        <f t="shared" ca="1" si="33"/>
        <v>162.96275123937821</v>
      </c>
      <c r="P148" s="10">
        <f t="shared" ca="1" si="34"/>
        <v>161.73302363530172</v>
      </c>
      <c r="Q148" s="10">
        <f t="shared" ca="1" si="35"/>
        <v>1000000000</v>
      </c>
      <c r="R148" s="10">
        <f t="shared" ca="1" si="36"/>
        <v>1000000000</v>
      </c>
      <c r="S148" s="9">
        <f t="shared" ca="1" si="28"/>
        <v>2</v>
      </c>
      <c r="T148" s="10">
        <f t="shared" ca="1" si="29"/>
        <v>163.26071094418302</v>
      </c>
      <c r="U148" s="10">
        <f t="shared" ca="1" si="30"/>
        <v>164.36785802718938</v>
      </c>
      <c r="V148" s="10">
        <f t="shared" ca="1" si="31"/>
        <v>0</v>
      </c>
    </row>
    <row r="149" spans="12:22" x14ac:dyDescent="0.45">
      <c r="L149" s="9">
        <v>145</v>
      </c>
      <c r="M149" s="10">
        <f t="shared" ca="1" si="32"/>
        <v>163.79677587040624</v>
      </c>
      <c r="N149" s="10">
        <f t="shared" ca="1" si="27"/>
        <v>0.84030297832357681</v>
      </c>
      <c r="O149" s="10">
        <f t="shared" ca="1" si="33"/>
        <v>162.96275123937821</v>
      </c>
      <c r="P149" s="10">
        <f t="shared" ca="1" si="34"/>
        <v>164.36785802718938</v>
      </c>
      <c r="Q149" s="10">
        <f t="shared" ca="1" si="35"/>
        <v>1000000000</v>
      </c>
      <c r="R149" s="10">
        <f t="shared" ca="1" si="36"/>
        <v>1000000000</v>
      </c>
      <c r="S149" s="9">
        <f t="shared" ca="1" si="28"/>
        <v>1</v>
      </c>
      <c r="T149" s="10">
        <f t="shared" ca="1" si="29"/>
        <v>163.79677587040624</v>
      </c>
      <c r="U149" s="10">
        <f t="shared" ca="1" si="30"/>
        <v>164.6370788487298</v>
      </c>
      <c r="V149" s="10">
        <f t="shared" ca="1" si="31"/>
        <v>0</v>
      </c>
    </row>
    <row r="150" spans="12:22" x14ac:dyDescent="0.45">
      <c r="L150" s="9">
        <v>146</v>
      </c>
      <c r="M150" s="10">
        <f t="shared" ca="1" si="32"/>
        <v>164.60121628941803</v>
      </c>
      <c r="N150" s="10">
        <f t="shared" ca="1" si="27"/>
        <v>0.36881993750639924</v>
      </c>
      <c r="O150" s="10">
        <f t="shared" ca="1" si="33"/>
        <v>164.6370788487298</v>
      </c>
      <c r="P150" s="10">
        <f t="shared" ca="1" si="34"/>
        <v>164.36785802718938</v>
      </c>
      <c r="Q150" s="10">
        <f t="shared" ca="1" si="35"/>
        <v>1000000000</v>
      </c>
      <c r="R150" s="10">
        <f t="shared" ca="1" si="36"/>
        <v>1000000000</v>
      </c>
      <c r="S150" s="9">
        <f t="shared" ca="1" si="28"/>
        <v>2</v>
      </c>
      <c r="T150" s="10">
        <f t="shared" ca="1" si="29"/>
        <v>164.60121628941803</v>
      </c>
      <c r="U150" s="10">
        <f t="shared" ca="1" si="30"/>
        <v>164.97003622692444</v>
      </c>
      <c r="V150" s="10">
        <f t="shared" ca="1" si="31"/>
        <v>0</v>
      </c>
    </row>
    <row r="151" spans="12:22" x14ac:dyDescent="0.45">
      <c r="L151" s="9">
        <v>147</v>
      </c>
      <c r="M151" s="10">
        <f t="shared" ca="1" si="32"/>
        <v>164.76492535704176</v>
      </c>
      <c r="N151" s="10">
        <f t="shared" ca="1" si="27"/>
        <v>0.7614971013890881</v>
      </c>
      <c r="O151" s="10">
        <f t="shared" ca="1" si="33"/>
        <v>164.6370788487298</v>
      </c>
      <c r="P151" s="10">
        <f t="shared" ca="1" si="34"/>
        <v>164.97003622692444</v>
      </c>
      <c r="Q151" s="10">
        <f t="shared" ca="1" si="35"/>
        <v>1000000000</v>
      </c>
      <c r="R151" s="10">
        <f t="shared" ca="1" si="36"/>
        <v>1000000000</v>
      </c>
      <c r="S151" s="9">
        <f t="shared" ca="1" si="28"/>
        <v>1</v>
      </c>
      <c r="T151" s="10">
        <f t="shared" ca="1" si="29"/>
        <v>164.76492535704176</v>
      </c>
      <c r="U151" s="10">
        <f t="shared" ca="1" si="30"/>
        <v>165.52642245843086</v>
      </c>
      <c r="V151" s="10">
        <f t="shared" ca="1" si="31"/>
        <v>0</v>
      </c>
    </row>
    <row r="152" spans="12:22" x14ac:dyDescent="0.45">
      <c r="L152" s="9">
        <v>148</v>
      </c>
      <c r="M152" s="10">
        <f t="shared" ca="1" si="32"/>
        <v>165.46836086857016</v>
      </c>
      <c r="N152" s="10">
        <f t="shared" ca="1" si="27"/>
        <v>3.5600504343845261</v>
      </c>
      <c r="O152" s="10">
        <f t="shared" ca="1" si="33"/>
        <v>165.52642245843086</v>
      </c>
      <c r="P152" s="10">
        <f t="shared" ca="1" si="34"/>
        <v>164.97003622692444</v>
      </c>
      <c r="Q152" s="10">
        <f t="shared" ca="1" si="35"/>
        <v>1000000000</v>
      </c>
      <c r="R152" s="10">
        <f t="shared" ca="1" si="36"/>
        <v>1000000000</v>
      </c>
      <c r="S152" s="9">
        <f t="shared" ca="1" si="28"/>
        <v>2</v>
      </c>
      <c r="T152" s="10">
        <f t="shared" ca="1" si="29"/>
        <v>165.46836086857016</v>
      </c>
      <c r="U152" s="10">
        <f t="shared" ca="1" si="30"/>
        <v>169.02841130295468</v>
      </c>
      <c r="V152" s="10">
        <f t="shared" ca="1" si="31"/>
        <v>0</v>
      </c>
    </row>
    <row r="153" spans="12:22" x14ac:dyDescent="0.45">
      <c r="L153" s="9">
        <v>149</v>
      </c>
      <c r="M153" s="10">
        <f t="shared" ca="1" si="32"/>
        <v>168.29527085668619</v>
      </c>
      <c r="N153" s="10">
        <f t="shared" ca="1" si="27"/>
        <v>0.10461145785844701</v>
      </c>
      <c r="O153" s="10">
        <f t="shared" ca="1" si="33"/>
        <v>165.52642245843086</v>
      </c>
      <c r="P153" s="10">
        <f t="shared" ca="1" si="34"/>
        <v>169.02841130295468</v>
      </c>
      <c r="Q153" s="10">
        <f t="shared" ca="1" si="35"/>
        <v>1000000000</v>
      </c>
      <c r="R153" s="10">
        <f t="shared" ca="1" si="36"/>
        <v>1000000000</v>
      </c>
      <c r="S153" s="9">
        <f t="shared" ca="1" si="28"/>
        <v>1</v>
      </c>
      <c r="T153" s="10">
        <f t="shared" ca="1" si="29"/>
        <v>168.29527085668619</v>
      </c>
      <c r="U153" s="10">
        <f t="shared" ca="1" si="30"/>
        <v>168.39988231454464</v>
      </c>
      <c r="V153" s="10">
        <f t="shared" ca="1" si="31"/>
        <v>0</v>
      </c>
    </row>
    <row r="154" spans="12:22" x14ac:dyDescent="0.45">
      <c r="L154" s="9">
        <v>150</v>
      </c>
      <c r="M154" s="10">
        <f t="shared" ca="1" si="32"/>
        <v>169.00204176784931</v>
      </c>
      <c r="N154" s="10">
        <f t="shared" ca="1" si="27"/>
        <v>0.83080468646053829</v>
      </c>
      <c r="O154" s="10">
        <f t="shared" ca="1" si="33"/>
        <v>168.39988231454464</v>
      </c>
      <c r="P154" s="10">
        <f t="shared" ca="1" si="34"/>
        <v>169.02841130295468</v>
      </c>
      <c r="Q154" s="10">
        <f t="shared" ca="1" si="35"/>
        <v>1000000000</v>
      </c>
      <c r="R154" s="10">
        <f t="shared" ca="1" si="36"/>
        <v>1000000000</v>
      </c>
      <c r="S154" s="9">
        <f t="shared" ca="1" si="28"/>
        <v>1</v>
      </c>
      <c r="T154" s="10">
        <f t="shared" ca="1" si="29"/>
        <v>169.00204176784931</v>
      </c>
      <c r="U154" s="10">
        <f t="shared" ca="1" si="30"/>
        <v>169.83284645430984</v>
      </c>
      <c r="V154" s="10">
        <f t="shared" ca="1" si="31"/>
        <v>0</v>
      </c>
    </row>
    <row r="155" spans="12:22" x14ac:dyDescent="0.45">
      <c r="L155" s="9">
        <v>151</v>
      </c>
      <c r="M155" s="10">
        <f t="shared" ca="1" si="32"/>
        <v>171.17047727367427</v>
      </c>
      <c r="N155" s="10">
        <f t="shared" ca="1" si="27"/>
        <v>2.369324142505878E-2</v>
      </c>
      <c r="O155" s="10">
        <f t="shared" ca="1" si="33"/>
        <v>169.83284645430984</v>
      </c>
      <c r="P155" s="10">
        <f t="shared" ca="1" si="34"/>
        <v>169.02841130295468</v>
      </c>
      <c r="Q155" s="10">
        <f t="shared" ca="1" si="35"/>
        <v>1000000000</v>
      </c>
      <c r="R155" s="10">
        <f t="shared" ca="1" si="36"/>
        <v>1000000000</v>
      </c>
      <c r="S155" s="9">
        <f t="shared" ca="1" si="28"/>
        <v>2</v>
      </c>
      <c r="T155" s="10">
        <f t="shared" ca="1" si="29"/>
        <v>171.17047727367427</v>
      </c>
      <c r="U155" s="10">
        <f t="shared" ca="1" si="30"/>
        <v>171.19417051509933</v>
      </c>
      <c r="V155" s="10">
        <f t="shared" ca="1" si="31"/>
        <v>0</v>
      </c>
    </row>
    <row r="156" spans="12:22" x14ac:dyDescent="0.45">
      <c r="L156" s="9">
        <v>152</v>
      </c>
      <c r="M156" s="10">
        <f t="shared" ca="1" si="32"/>
        <v>174.24891975826651</v>
      </c>
      <c r="N156" s="10">
        <f t="shared" ca="1" si="27"/>
        <v>0.287827939692061</v>
      </c>
      <c r="O156" s="10">
        <f t="shared" ca="1" si="33"/>
        <v>169.83284645430984</v>
      </c>
      <c r="P156" s="10">
        <f t="shared" ca="1" si="34"/>
        <v>171.19417051509933</v>
      </c>
      <c r="Q156" s="10">
        <f t="shared" ca="1" si="35"/>
        <v>1000000000</v>
      </c>
      <c r="R156" s="10">
        <f t="shared" ca="1" si="36"/>
        <v>1000000000</v>
      </c>
      <c r="S156" s="9">
        <f t="shared" ca="1" si="28"/>
        <v>1</v>
      </c>
      <c r="T156" s="10">
        <f t="shared" ca="1" si="29"/>
        <v>174.24891975826651</v>
      </c>
      <c r="U156" s="10">
        <f t="shared" ca="1" si="30"/>
        <v>174.53674769795856</v>
      </c>
      <c r="V156" s="10">
        <f t="shared" ca="1" si="31"/>
        <v>0</v>
      </c>
    </row>
    <row r="157" spans="12:22" x14ac:dyDescent="0.45">
      <c r="L157" s="9">
        <v>153</v>
      </c>
      <c r="M157" s="10">
        <f t="shared" ca="1" si="32"/>
        <v>174.76658352895393</v>
      </c>
      <c r="N157" s="10">
        <f t="shared" ca="1" si="27"/>
        <v>1.6399479148495248</v>
      </c>
      <c r="O157" s="10">
        <f t="shared" ca="1" si="33"/>
        <v>174.53674769795856</v>
      </c>
      <c r="P157" s="10">
        <f t="shared" ca="1" si="34"/>
        <v>171.19417051509933</v>
      </c>
      <c r="Q157" s="10">
        <f t="shared" ca="1" si="35"/>
        <v>1000000000</v>
      </c>
      <c r="R157" s="10">
        <f t="shared" ca="1" si="36"/>
        <v>1000000000</v>
      </c>
      <c r="S157" s="9">
        <f t="shared" ca="1" si="28"/>
        <v>2</v>
      </c>
      <c r="T157" s="10">
        <f t="shared" ca="1" si="29"/>
        <v>174.76658352895393</v>
      </c>
      <c r="U157" s="10">
        <f t="shared" ca="1" si="30"/>
        <v>176.40653144380346</v>
      </c>
      <c r="V157" s="10">
        <f t="shared" ca="1" si="31"/>
        <v>0</v>
      </c>
    </row>
    <row r="158" spans="12:22" x14ac:dyDescent="0.45">
      <c r="L158" s="9">
        <v>154</v>
      </c>
      <c r="M158" s="10">
        <f t="shared" ca="1" si="32"/>
        <v>175.23294057561046</v>
      </c>
      <c r="N158" s="10">
        <f t="shared" ca="1" si="27"/>
        <v>0.18345334118150317</v>
      </c>
      <c r="O158" s="10">
        <f t="shared" ca="1" si="33"/>
        <v>174.53674769795856</v>
      </c>
      <c r="P158" s="10">
        <f t="shared" ca="1" si="34"/>
        <v>176.40653144380346</v>
      </c>
      <c r="Q158" s="10">
        <f t="shared" ca="1" si="35"/>
        <v>1000000000</v>
      </c>
      <c r="R158" s="10">
        <f t="shared" ca="1" si="36"/>
        <v>1000000000</v>
      </c>
      <c r="S158" s="9">
        <f t="shared" ca="1" si="28"/>
        <v>1</v>
      </c>
      <c r="T158" s="10">
        <f t="shared" ca="1" si="29"/>
        <v>175.23294057561046</v>
      </c>
      <c r="U158" s="10">
        <f t="shared" ca="1" si="30"/>
        <v>175.41639391679195</v>
      </c>
      <c r="V158" s="10">
        <f t="shared" ca="1" si="31"/>
        <v>0</v>
      </c>
    </row>
    <row r="159" spans="12:22" x14ac:dyDescent="0.45">
      <c r="L159" s="9">
        <v>155</v>
      </c>
      <c r="M159" s="10">
        <f t="shared" ca="1" si="32"/>
        <v>175.45785830177351</v>
      </c>
      <c r="N159" s="10">
        <f t="shared" ca="1" si="27"/>
        <v>0.98174142700850364</v>
      </c>
      <c r="O159" s="10">
        <f t="shared" ca="1" si="33"/>
        <v>175.41639391679195</v>
      </c>
      <c r="P159" s="10">
        <f t="shared" ca="1" si="34"/>
        <v>176.40653144380346</v>
      </c>
      <c r="Q159" s="10">
        <f t="shared" ca="1" si="35"/>
        <v>1000000000</v>
      </c>
      <c r="R159" s="10">
        <f t="shared" ca="1" si="36"/>
        <v>1000000000</v>
      </c>
      <c r="S159" s="9">
        <f t="shared" ca="1" si="28"/>
        <v>1</v>
      </c>
      <c r="T159" s="10">
        <f t="shared" ca="1" si="29"/>
        <v>175.45785830177351</v>
      </c>
      <c r="U159" s="10">
        <f t="shared" ca="1" si="30"/>
        <v>176.43959972878201</v>
      </c>
      <c r="V159" s="10">
        <f t="shared" ca="1" si="31"/>
        <v>0</v>
      </c>
    </row>
    <row r="160" spans="12:22" x14ac:dyDescent="0.45">
      <c r="L160" s="9">
        <v>156</v>
      </c>
      <c r="M160" s="10">
        <f t="shared" ca="1" si="32"/>
        <v>175.60420141361658</v>
      </c>
      <c r="N160" s="10">
        <f t="shared" ca="1" si="27"/>
        <v>0.24743050241756351</v>
      </c>
      <c r="O160" s="10">
        <f t="shared" ca="1" si="33"/>
        <v>176.43959972878201</v>
      </c>
      <c r="P160" s="10">
        <f t="shared" ca="1" si="34"/>
        <v>176.40653144380346</v>
      </c>
      <c r="Q160" s="10">
        <f t="shared" ca="1" si="35"/>
        <v>1000000000</v>
      </c>
      <c r="R160" s="10">
        <f t="shared" ca="1" si="36"/>
        <v>1000000000</v>
      </c>
      <c r="S160" s="9">
        <f t="shared" ca="1" si="28"/>
        <v>2</v>
      </c>
      <c r="T160" s="10">
        <f t="shared" ca="1" si="29"/>
        <v>176.40653144380346</v>
      </c>
      <c r="U160" s="10">
        <f t="shared" ca="1" si="30"/>
        <v>176.65396194622102</v>
      </c>
      <c r="V160" s="10">
        <f t="shared" ca="1" si="31"/>
        <v>0.80233003018688009</v>
      </c>
    </row>
    <row r="161" spans="12:22" x14ac:dyDescent="0.45">
      <c r="L161" s="9">
        <v>157</v>
      </c>
      <c r="M161" s="10">
        <f t="shared" ca="1" si="32"/>
        <v>178.51007226008704</v>
      </c>
      <c r="N161" s="10">
        <f t="shared" ca="1" si="27"/>
        <v>0.52498567814015085</v>
      </c>
      <c r="O161" s="10">
        <f t="shared" ca="1" si="33"/>
        <v>176.43959972878201</v>
      </c>
      <c r="P161" s="10">
        <f t="shared" ca="1" si="34"/>
        <v>176.65396194622102</v>
      </c>
      <c r="Q161" s="10">
        <f t="shared" ca="1" si="35"/>
        <v>1000000000</v>
      </c>
      <c r="R161" s="10">
        <f t="shared" ca="1" si="36"/>
        <v>1000000000</v>
      </c>
      <c r="S161" s="9">
        <f t="shared" ca="1" si="28"/>
        <v>1</v>
      </c>
      <c r="T161" s="10">
        <f t="shared" ca="1" si="29"/>
        <v>178.51007226008704</v>
      </c>
      <c r="U161" s="10">
        <f t="shared" ca="1" si="30"/>
        <v>179.0350579382272</v>
      </c>
      <c r="V161" s="10">
        <f t="shared" ca="1" si="31"/>
        <v>0</v>
      </c>
    </row>
    <row r="162" spans="12:22" x14ac:dyDescent="0.45">
      <c r="L162" s="9">
        <v>158</v>
      </c>
      <c r="M162" s="10">
        <f t="shared" ca="1" si="32"/>
        <v>178.92019593531569</v>
      </c>
      <c r="N162" s="10">
        <f t="shared" ca="1" si="27"/>
        <v>1.6315539197059725</v>
      </c>
      <c r="O162" s="10">
        <f t="shared" ca="1" si="33"/>
        <v>179.0350579382272</v>
      </c>
      <c r="P162" s="10">
        <f t="shared" ca="1" si="34"/>
        <v>176.65396194622102</v>
      </c>
      <c r="Q162" s="10">
        <f t="shared" ca="1" si="35"/>
        <v>1000000000</v>
      </c>
      <c r="R162" s="10">
        <f t="shared" ca="1" si="36"/>
        <v>1000000000</v>
      </c>
      <c r="S162" s="9">
        <f t="shared" ca="1" si="28"/>
        <v>2</v>
      </c>
      <c r="T162" s="10">
        <f t="shared" ca="1" si="29"/>
        <v>178.92019593531569</v>
      </c>
      <c r="U162" s="10">
        <f t="shared" ca="1" si="30"/>
        <v>180.55174985502165</v>
      </c>
      <c r="V162" s="10">
        <f t="shared" ca="1" si="31"/>
        <v>0</v>
      </c>
    </row>
    <row r="163" spans="12:22" x14ac:dyDescent="0.45">
      <c r="L163" s="9">
        <v>159</v>
      </c>
      <c r="M163" s="10">
        <f t="shared" ca="1" si="32"/>
        <v>179.07613776338121</v>
      </c>
      <c r="N163" s="10">
        <f t="shared" ca="1" si="27"/>
        <v>5.5602601633106416E-2</v>
      </c>
      <c r="O163" s="10">
        <f t="shared" ca="1" si="33"/>
        <v>179.0350579382272</v>
      </c>
      <c r="P163" s="10">
        <f t="shared" ca="1" si="34"/>
        <v>180.55174985502165</v>
      </c>
      <c r="Q163" s="10">
        <f t="shared" ca="1" si="35"/>
        <v>1000000000</v>
      </c>
      <c r="R163" s="10">
        <f t="shared" ca="1" si="36"/>
        <v>1000000000</v>
      </c>
      <c r="S163" s="9">
        <f t="shared" ca="1" si="28"/>
        <v>1</v>
      </c>
      <c r="T163" s="10">
        <f t="shared" ca="1" si="29"/>
        <v>179.07613776338121</v>
      </c>
      <c r="U163" s="10">
        <f t="shared" ca="1" si="30"/>
        <v>179.13174036501431</v>
      </c>
      <c r="V163" s="10">
        <f t="shared" ca="1" si="31"/>
        <v>0</v>
      </c>
    </row>
    <row r="164" spans="12:22" x14ac:dyDescent="0.45">
      <c r="L164" s="9">
        <v>160</v>
      </c>
      <c r="M164" s="10">
        <f t="shared" ca="1" si="32"/>
        <v>179.4148417755942</v>
      </c>
      <c r="N164" s="10">
        <f t="shared" ca="1" si="27"/>
        <v>3.0541706712005761</v>
      </c>
      <c r="O164" s="10">
        <f t="shared" ca="1" si="33"/>
        <v>179.13174036501431</v>
      </c>
      <c r="P164" s="10">
        <f t="shared" ca="1" si="34"/>
        <v>180.55174985502165</v>
      </c>
      <c r="Q164" s="10">
        <f t="shared" ca="1" si="35"/>
        <v>1000000000</v>
      </c>
      <c r="R164" s="10">
        <f t="shared" ca="1" si="36"/>
        <v>1000000000</v>
      </c>
      <c r="S164" s="9">
        <f t="shared" ca="1" si="28"/>
        <v>1</v>
      </c>
      <c r="T164" s="10">
        <f t="shared" ca="1" si="29"/>
        <v>179.4148417755942</v>
      </c>
      <c r="U164" s="10">
        <f t="shared" ca="1" si="30"/>
        <v>182.46901244679478</v>
      </c>
      <c r="V164" s="10">
        <f t="shared" ca="1" si="31"/>
        <v>0</v>
      </c>
    </row>
    <row r="165" spans="12:22" x14ac:dyDescent="0.45">
      <c r="L165" s="9">
        <v>161</v>
      </c>
      <c r="M165" s="10">
        <f t="shared" ca="1" si="32"/>
        <v>181.08516105605412</v>
      </c>
      <c r="N165" s="10">
        <f t="shared" ca="1" si="27"/>
        <v>0.24388505447118286</v>
      </c>
      <c r="O165" s="10">
        <f t="shared" ca="1" si="33"/>
        <v>182.46901244679478</v>
      </c>
      <c r="P165" s="10">
        <f t="shared" ca="1" si="34"/>
        <v>180.55174985502165</v>
      </c>
      <c r="Q165" s="10">
        <f t="shared" ca="1" si="35"/>
        <v>1000000000</v>
      </c>
      <c r="R165" s="10">
        <f t="shared" ca="1" si="36"/>
        <v>1000000000</v>
      </c>
      <c r="S165" s="9">
        <f t="shared" ca="1" si="28"/>
        <v>2</v>
      </c>
      <c r="T165" s="10">
        <f t="shared" ca="1" si="29"/>
        <v>181.08516105605412</v>
      </c>
      <c r="U165" s="10">
        <f t="shared" ca="1" si="30"/>
        <v>181.3290461105253</v>
      </c>
      <c r="V165" s="10">
        <f t="shared" ca="1" si="31"/>
        <v>0</v>
      </c>
    </row>
    <row r="166" spans="12:22" x14ac:dyDescent="0.45">
      <c r="L166" s="9">
        <v>162</v>
      </c>
      <c r="M166" s="10">
        <f t="shared" ca="1" si="32"/>
        <v>182.7997499148662</v>
      </c>
      <c r="N166" s="10">
        <f t="shared" ca="1" si="27"/>
        <v>0.94024543696496143</v>
      </c>
      <c r="O166" s="10">
        <f t="shared" ca="1" si="33"/>
        <v>182.46901244679478</v>
      </c>
      <c r="P166" s="10">
        <f t="shared" ca="1" si="34"/>
        <v>181.3290461105253</v>
      </c>
      <c r="Q166" s="10">
        <f t="shared" ca="1" si="35"/>
        <v>1000000000</v>
      </c>
      <c r="R166" s="10">
        <f t="shared" ca="1" si="36"/>
        <v>1000000000</v>
      </c>
      <c r="S166" s="9">
        <f t="shared" ca="1" si="28"/>
        <v>2</v>
      </c>
      <c r="T166" s="10">
        <f t="shared" ca="1" si="29"/>
        <v>182.7997499148662</v>
      </c>
      <c r="U166" s="10">
        <f t="shared" ca="1" si="30"/>
        <v>183.73999535183117</v>
      </c>
      <c r="V166" s="10">
        <f t="shared" ca="1" si="31"/>
        <v>0</v>
      </c>
    </row>
    <row r="167" spans="12:22" x14ac:dyDescent="0.45">
      <c r="L167" s="9">
        <v>163</v>
      </c>
      <c r="M167" s="10">
        <f t="shared" ca="1" si="32"/>
        <v>185.68470001244461</v>
      </c>
      <c r="N167" s="10">
        <f t="shared" ca="1" si="27"/>
        <v>0.10094236460107017</v>
      </c>
      <c r="O167" s="10">
        <f t="shared" ca="1" si="33"/>
        <v>182.46901244679478</v>
      </c>
      <c r="P167" s="10">
        <f t="shared" ca="1" si="34"/>
        <v>183.73999535183117</v>
      </c>
      <c r="Q167" s="10">
        <f t="shared" ca="1" si="35"/>
        <v>1000000000</v>
      </c>
      <c r="R167" s="10">
        <f t="shared" ca="1" si="36"/>
        <v>1000000000</v>
      </c>
      <c r="S167" s="9">
        <f t="shared" ca="1" si="28"/>
        <v>1</v>
      </c>
      <c r="T167" s="10">
        <f t="shared" ca="1" si="29"/>
        <v>185.68470001244461</v>
      </c>
      <c r="U167" s="10">
        <f t="shared" ca="1" si="30"/>
        <v>185.78564237704569</v>
      </c>
      <c r="V167" s="10">
        <f t="shared" ca="1" si="31"/>
        <v>0</v>
      </c>
    </row>
    <row r="168" spans="12:22" x14ac:dyDescent="0.45">
      <c r="L168" s="9">
        <v>164</v>
      </c>
      <c r="M168" s="10">
        <f t="shared" ca="1" si="32"/>
        <v>186.41248238985429</v>
      </c>
      <c r="N168" s="10">
        <f t="shared" ca="1" si="27"/>
        <v>1.416346064726876</v>
      </c>
      <c r="O168" s="10">
        <f t="shared" ca="1" si="33"/>
        <v>185.78564237704569</v>
      </c>
      <c r="P168" s="10">
        <f t="shared" ca="1" si="34"/>
        <v>183.73999535183117</v>
      </c>
      <c r="Q168" s="10">
        <f t="shared" ca="1" si="35"/>
        <v>1000000000</v>
      </c>
      <c r="R168" s="10">
        <f t="shared" ca="1" si="36"/>
        <v>1000000000</v>
      </c>
      <c r="S168" s="9">
        <f t="shared" ca="1" si="28"/>
        <v>2</v>
      </c>
      <c r="T168" s="10">
        <f t="shared" ca="1" si="29"/>
        <v>186.41248238985429</v>
      </c>
      <c r="U168" s="10">
        <f t="shared" ca="1" si="30"/>
        <v>187.82882845458116</v>
      </c>
      <c r="V168" s="10">
        <f t="shared" ca="1" si="31"/>
        <v>0</v>
      </c>
    </row>
    <row r="169" spans="12:22" x14ac:dyDescent="0.45">
      <c r="L169" s="9">
        <v>165</v>
      </c>
      <c r="M169" s="10">
        <f t="shared" ca="1" si="32"/>
        <v>186.84671741315967</v>
      </c>
      <c r="N169" s="10">
        <f t="shared" ca="1" si="27"/>
        <v>2.034325588472957</v>
      </c>
      <c r="O169" s="10">
        <f t="shared" ca="1" si="33"/>
        <v>185.78564237704569</v>
      </c>
      <c r="P169" s="10">
        <f t="shared" ca="1" si="34"/>
        <v>187.82882845458116</v>
      </c>
      <c r="Q169" s="10">
        <f t="shared" ca="1" si="35"/>
        <v>1000000000</v>
      </c>
      <c r="R169" s="10">
        <f t="shared" ca="1" si="36"/>
        <v>1000000000</v>
      </c>
      <c r="S169" s="9">
        <f t="shared" ca="1" si="28"/>
        <v>1</v>
      </c>
      <c r="T169" s="10">
        <f t="shared" ca="1" si="29"/>
        <v>186.84671741315967</v>
      </c>
      <c r="U169" s="10">
        <f t="shared" ca="1" si="30"/>
        <v>188.88104300163263</v>
      </c>
      <c r="V169" s="10">
        <f t="shared" ca="1" si="31"/>
        <v>0</v>
      </c>
    </row>
    <row r="170" spans="12:22" x14ac:dyDescent="0.45">
      <c r="L170" s="9">
        <v>166</v>
      </c>
      <c r="M170" s="10">
        <f t="shared" ca="1" si="32"/>
        <v>189.33203937942406</v>
      </c>
      <c r="N170" s="10">
        <f t="shared" ca="1" si="27"/>
        <v>0.36378704347895247</v>
      </c>
      <c r="O170" s="10">
        <f t="shared" ca="1" si="33"/>
        <v>188.88104300163263</v>
      </c>
      <c r="P170" s="10">
        <f t="shared" ca="1" si="34"/>
        <v>187.82882845458116</v>
      </c>
      <c r="Q170" s="10">
        <f t="shared" ca="1" si="35"/>
        <v>1000000000</v>
      </c>
      <c r="R170" s="10">
        <f t="shared" ca="1" si="36"/>
        <v>1000000000</v>
      </c>
      <c r="S170" s="9">
        <f t="shared" ca="1" si="28"/>
        <v>2</v>
      </c>
      <c r="T170" s="10">
        <f t="shared" ca="1" si="29"/>
        <v>189.33203937942406</v>
      </c>
      <c r="U170" s="10">
        <f t="shared" ca="1" si="30"/>
        <v>189.69582642290302</v>
      </c>
      <c r="V170" s="10">
        <f t="shared" ca="1" si="31"/>
        <v>0</v>
      </c>
    </row>
    <row r="171" spans="12:22" x14ac:dyDescent="0.45">
      <c r="L171" s="9">
        <v>167</v>
      </c>
      <c r="M171" s="10">
        <f t="shared" ca="1" si="32"/>
        <v>195.04795458416564</v>
      </c>
      <c r="N171" s="10">
        <f t="shared" ca="1" si="27"/>
        <v>2.7541351081268477</v>
      </c>
      <c r="O171" s="10">
        <f t="shared" ca="1" si="33"/>
        <v>188.88104300163263</v>
      </c>
      <c r="P171" s="10">
        <f t="shared" ca="1" si="34"/>
        <v>189.69582642290302</v>
      </c>
      <c r="Q171" s="10">
        <f t="shared" ca="1" si="35"/>
        <v>1000000000</v>
      </c>
      <c r="R171" s="10">
        <f t="shared" ca="1" si="36"/>
        <v>1000000000</v>
      </c>
      <c r="S171" s="9">
        <f t="shared" ca="1" si="28"/>
        <v>1</v>
      </c>
      <c r="T171" s="10">
        <f t="shared" ca="1" si="29"/>
        <v>195.04795458416564</v>
      </c>
      <c r="U171" s="10">
        <f t="shared" ca="1" si="30"/>
        <v>197.8020896922925</v>
      </c>
      <c r="V171" s="10">
        <f t="shared" ca="1" si="31"/>
        <v>0</v>
      </c>
    </row>
    <row r="172" spans="12:22" x14ac:dyDescent="0.45">
      <c r="L172" s="9">
        <v>168</v>
      </c>
      <c r="M172" s="10">
        <f t="shared" ca="1" si="32"/>
        <v>195.23601728018974</v>
      </c>
      <c r="N172" s="10">
        <f t="shared" ca="1" si="27"/>
        <v>8.5505363651661434E-2</v>
      </c>
      <c r="O172" s="10">
        <f t="shared" ca="1" si="33"/>
        <v>197.8020896922925</v>
      </c>
      <c r="P172" s="10">
        <f t="shared" ca="1" si="34"/>
        <v>189.69582642290302</v>
      </c>
      <c r="Q172" s="10">
        <f t="shared" ca="1" si="35"/>
        <v>1000000000</v>
      </c>
      <c r="R172" s="10">
        <f t="shared" ca="1" si="36"/>
        <v>1000000000</v>
      </c>
      <c r="S172" s="9">
        <f t="shared" ca="1" si="28"/>
        <v>2</v>
      </c>
      <c r="T172" s="10">
        <f t="shared" ca="1" si="29"/>
        <v>195.23601728018974</v>
      </c>
      <c r="U172" s="10">
        <f t="shared" ca="1" si="30"/>
        <v>195.3215226438414</v>
      </c>
      <c r="V172" s="10">
        <f t="shared" ca="1" si="31"/>
        <v>0</v>
      </c>
    </row>
    <row r="173" spans="12:22" x14ac:dyDescent="0.45">
      <c r="L173" s="9">
        <v>169</v>
      </c>
      <c r="M173" s="10">
        <f t="shared" ca="1" si="32"/>
        <v>195.71168936393119</v>
      </c>
      <c r="N173" s="10">
        <f t="shared" ca="1" si="27"/>
        <v>6.5263253437915489E-2</v>
      </c>
      <c r="O173" s="10">
        <f t="shared" ca="1" si="33"/>
        <v>197.8020896922925</v>
      </c>
      <c r="P173" s="10">
        <f t="shared" ca="1" si="34"/>
        <v>195.3215226438414</v>
      </c>
      <c r="Q173" s="10">
        <f t="shared" ca="1" si="35"/>
        <v>1000000000</v>
      </c>
      <c r="R173" s="10">
        <f t="shared" ca="1" si="36"/>
        <v>1000000000</v>
      </c>
      <c r="S173" s="9">
        <f t="shared" ca="1" si="28"/>
        <v>2</v>
      </c>
      <c r="T173" s="10">
        <f t="shared" ca="1" si="29"/>
        <v>195.71168936393119</v>
      </c>
      <c r="U173" s="10">
        <f t="shared" ca="1" si="30"/>
        <v>195.77695261736909</v>
      </c>
      <c r="V173" s="10">
        <f t="shared" ca="1" si="31"/>
        <v>0</v>
      </c>
    </row>
    <row r="174" spans="12:22" x14ac:dyDescent="0.45">
      <c r="L174" s="9">
        <v>170</v>
      </c>
      <c r="M174" s="10">
        <f t="shared" ca="1" si="32"/>
        <v>196.8986784383923</v>
      </c>
      <c r="N174" s="10">
        <f t="shared" ca="1" si="27"/>
        <v>0.83274488008201797</v>
      </c>
      <c r="O174" s="10">
        <f t="shared" ca="1" si="33"/>
        <v>197.8020896922925</v>
      </c>
      <c r="P174" s="10">
        <f t="shared" ca="1" si="34"/>
        <v>195.77695261736909</v>
      </c>
      <c r="Q174" s="10">
        <f t="shared" ca="1" si="35"/>
        <v>1000000000</v>
      </c>
      <c r="R174" s="10">
        <f t="shared" ca="1" si="36"/>
        <v>1000000000</v>
      </c>
      <c r="S174" s="9">
        <f t="shared" ca="1" si="28"/>
        <v>2</v>
      </c>
      <c r="T174" s="10">
        <f t="shared" ca="1" si="29"/>
        <v>196.8986784383923</v>
      </c>
      <c r="U174" s="10">
        <f t="shared" ca="1" si="30"/>
        <v>197.73142331847433</v>
      </c>
      <c r="V174" s="10">
        <f t="shared" ca="1" si="31"/>
        <v>0</v>
      </c>
    </row>
    <row r="175" spans="12:22" x14ac:dyDescent="0.45">
      <c r="L175" s="9">
        <v>171</v>
      </c>
      <c r="M175" s="10">
        <f t="shared" ca="1" si="32"/>
        <v>198.12915476330693</v>
      </c>
      <c r="N175" s="10">
        <f t="shared" ca="1" si="27"/>
        <v>1.957651559246578</v>
      </c>
      <c r="O175" s="10">
        <f t="shared" ca="1" si="33"/>
        <v>197.8020896922925</v>
      </c>
      <c r="P175" s="10">
        <f t="shared" ca="1" si="34"/>
        <v>197.73142331847433</v>
      </c>
      <c r="Q175" s="10">
        <f t="shared" ca="1" si="35"/>
        <v>1000000000</v>
      </c>
      <c r="R175" s="10">
        <f t="shared" ca="1" si="36"/>
        <v>1000000000</v>
      </c>
      <c r="S175" s="9">
        <f t="shared" ca="1" si="28"/>
        <v>2</v>
      </c>
      <c r="T175" s="10">
        <f t="shared" ca="1" si="29"/>
        <v>198.12915476330693</v>
      </c>
      <c r="U175" s="10">
        <f t="shared" ca="1" si="30"/>
        <v>200.08680632255351</v>
      </c>
      <c r="V175" s="10">
        <f t="shared" ca="1" si="31"/>
        <v>0</v>
      </c>
    </row>
    <row r="176" spans="12:22" x14ac:dyDescent="0.45">
      <c r="L176" s="9">
        <v>172</v>
      </c>
      <c r="M176" s="10">
        <f t="shared" ca="1" si="32"/>
        <v>198.82209906113914</v>
      </c>
      <c r="N176" s="10">
        <f t="shared" ca="1" si="27"/>
        <v>0.88918601966050459</v>
      </c>
      <c r="O176" s="10">
        <f t="shared" ca="1" si="33"/>
        <v>197.8020896922925</v>
      </c>
      <c r="P176" s="10">
        <f t="shared" ca="1" si="34"/>
        <v>200.08680632255351</v>
      </c>
      <c r="Q176" s="10">
        <f t="shared" ca="1" si="35"/>
        <v>1000000000</v>
      </c>
      <c r="R176" s="10">
        <f t="shared" ca="1" si="36"/>
        <v>1000000000</v>
      </c>
      <c r="S176" s="9">
        <f t="shared" ca="1" si="28"/>
        <v>1</v>
      </c>
      <c r="T176" s="10">
        <f t="shared" ca="1" si="29"/>
        <v>198.82209906113914</v>
      </c>
      <c r="U176" s="10">
        <f t="shared" ca="1" si="30"/>
        <v>199.71128508079966</v>
      </c>
      <c r="V176" s="10">
        <f t="shared" ca="1" si="31"/>
        <v>0</v>
      </c>
    </row>
    <row r="177" spans="12:22" x14ac:dyDescent="0.45">
      <c r="L177" s="9">
        <v>173</v>
      </c>
      <c r="M177" s="10">
        <f t="shared" ca="1" si="32"/>
        <v>199.54353772582391</v>
      </c>
      <c r="N177" s="10">
        <f t="shared" ca="1" si="27"/>
        <v>0.20754490318793373</v>
      </c>
      <c r="O177" s="10">
        <f t="shared" ca="1" si="33"/>
        <v>199.71128508079966</v>
      </c>
      <c r="P177" s="10">
        <f t="shared" ca="1" si="34"/>
        <v>200.08680632255351</v>
      </c>
      <c r="Q177" s="10">
        <f t="shared" ca="1" si="35"/>
        <v>1000000000</v>
      </c>
      <c r="R177" s="10">
        <f t="shared" ca="1" si="36"/>
        <v>1000000000</v>
      </c>
      <c r="S177" s="9">
        <f t="shared" ca="1" si="28"/>
        <v>1</v>
      </c>
      <c r="T177" s="10">
        <f t="shared" ca="1" si="29"/>
        <v>199.71128508079966</v>
      </c>
      <c r="U177" s="10">
        <f t="shared" ca="1" si="30"/>
        <v>199.91882998398759</v>
      </c>
      <c r="V177" s="10">
        <f t="shared" ca="1" si="31"/>
        <v>0.16774735497574511</v>
      </c>
    </row>
    <row r="178" spans="12:22" x14ac:dyDescent="0.45">
      <c r="L178" s="9">
        <v>174</v>
      </c>
      <c r="M178" s="10">
        <f t="shared" ca="1" si="32"/>
        <v>203.22684479413348</v>
      </c>
      <c r="N178" s="10">
        <f t="shared" ca="1" si="27"/>
        <v>0.26291676614429921</v>
      </c>
      <c r="O178" s="10">
        <f t="shared" ca="1" si="33"/>
        <v>199.91882998398759</v>
      </c>
      <c r="P178" s="10">
        <f t="shared" ca="1" si="34"/>
        <v>200.08680632255351</v>
      </c>
      <c r="Q178" s="10">
        <f t="shared" ca="1" si="35"/>
        <v>1000000000</v>
      </c>
      <c r="R178" s="10">
        <f t="shared" ca="1" si="36"/>
        <v>1000000000</v>
      </c>
      <c r="S178" s="9">
        <f t="shared" ca="1" si="28"/>
        <v>1</v>
      </c>
      <c r="T178" s="10">
        <f t="shared" ca="1" si="29"/>
        <v>203.22684479413348</v>
      </c>
      <c r="U178" s="10">
        <f t="shared" ca="1" si="30"/>
        <v>203.48976156027777</v>
      </c>
      <c r="V178" s="10">
        <f t="shared" ca="1" si="31"/>
        <v>0</v>
      </c>
    </row>
    <row r="179" spans="12:22" x14ac:dyDescent="0.45">
      <c r="L179" s="9">
        <v>175</v>
      </c>
      <c r="M179" s="10">
        <f t="shared" ca="1" si="32"/>
        <v>203.24129742460534</v>
      </c>
      <c r="N179" s="10">
        <f t="shared" ca="1" si="27"/>
        <v>1.3147595905642666</v>
      </c>
      <c r="O179" s="10">
        <f t="shared" ca="1" si="33"/>
        <v>203.48976156027777</v>
      </c>
      <c r="P179" s="10">
        <f t="shared" ca="1" si="34"/>
        <v>200.08680632255351</v>
      </c>
      <c r="Q179" s="10">
        <f t="shared" ca="1" si="35"/>
        <v>1000000000</v>
      </c>
      <c r="R179" s="10">
        <f t="shared" ca="1" si="36"/>
        <v>1000000000</v>
      </c>
      <c r="S179" s="9">
        <f t="shared" ca="1" si="28"/>
        <v>2</v>
      </c>
      <c r="T179" s="10">
        <f t="shared" ca="1" si="29"/>
        <v>203.24129742460534</v>
      </c>
      <c r="U179" s="10">
        <f t="shared" ca="1" si="30"/>
        <v>204.55605701516961</v>
      </c>
      <c r="V179" s="10">
        <f t="shared" ca="1" si="31"/>
        <v>0</v>
      </c>
    </row>
    <row r="180" spans="12:22" x14ac:dyDescent="0.45">
      <c r="L180" s="9">
        <v>176</v>
      </c>
      <c r="M180" s="10">
        <f t="shared" ca="1" si="32"/>
        <v>203.5585319548394</v>
      </c>
      <c r="N180" s="10">
        <f t="shared" ca="1" si="27"/>
        <v>0.79018010253259729</v>
      </c>
      <c r="O180" s="10">
        <f t="shared" ca="1" si="33"/>
        <v>203.48976156027777</v>
      </c>
      <c r="P180" s="10">
        <f t="shared" ca="1" si="34"/>
        <v>204.55605701516961</v>
      </c>
      <c r="Q180" s="10">
        <f t="shared" ca="1" si="35"/>
        <v>1000000000</v>
      </c>
      <c r="R180" s="10">
        <f t="shared" ca="1" si="36"/>
        <v>1000000000</v>
      </c>
      <c r="S180" s="9">
        <f t="shared" ca="1" si="28"/>
        <v>1</v>
      </c>
      <c r="T180" s="10">
        <f t="shared" ca="1" si="29"/>
        <v>203.5585319548394</v>
      </c>
      <c r="U180" s="10">
        <f t="shared" ca="1" si="30"/>
        <v>204.34871205737198</v>
      </c>
      <c r="V180" s="10">
        <f t="shared" ca="1" si="31"/>
        <v>0</v>
      </c>
    </row>
    <row r="181" spans="12:22" x14ac:dyDescent="0.45">
      <c r="L181" s="9">
        <v>177</v>
      </c>
      <c r="M181" s="10">
        <f t="shared" ca="1" si="32"/>
        <v>203.96231741302603</v>
      </c>
      <c r="N181" s="10">
        <f t="shared" ca="1" si="27"/>
        <v>0.37595897198405914</v>
      </c>
      <c r="O181" s="10">
        <f t="shared" ca="1" si="33"/>
        <v>204.34871205737198</v>
      </c>
      <c r="P181" s="10">
        <f t="shared" ca="1" si="34"/>
        <v>204.55605701516961</v>
      </c>
      <c r="Q181" s="10">
        <f t="shared" ca="1" si="35"/>
        <v>1000000000</v>
      </c>
      <c r="R181" s="10">
        <f t="shared" ca="1" si="36"/>
        <v>1000000000</v>
      </c>
      <c r="S181" s="9">
        <f t="shared" ca="1" si="28"/>
        <v>1</v>
      </c>
      <c r="T181" s="10">
        <f t="shared" ca="1" si="29"/>
        <v>204.34871205737198</v>
      </c>
      <c r="U181" s="10">
        <f t="shared" ca="1" si="30"/>
        <v>204.72467102935605</v>
      </c>
      <c r="V181" s="10">
        <f t="shared" ca="1" si="31"/>
        <v>0.38639464434595538</v>
      </c>
    </row>
    <row r="182" spans="12:22" x14ac:dyDescent="0.45">
      <c r="L182" s="9">
        <v>178</v>
      </c>
      <c r="M182" s="10">
        <f t="shared" ca="1" si="32"/>
        <v>204.04378233437603</v>
      </c>
      <c r="N182" s="10">
        <f t="shared" ca="1" si="27"/>
        <v>0.20828175681530289</v>
      </c>
      <c r="O182" s="10">
        <f t="shared" ca="1" si="33"/>
        <v>204.72467102935605</v>
      </c>
      <c r="P182" s="10">
        <f t="shared" ca="1" si="34"/>
        <v>204.55605701516961</v>
      </c>
      <c r="Q182" s="10">
        <f t="shared" ca="1" si="35"/>
        <v>1000000000</v>
      </c>
      <c r="R182" s="10">
        <f t="shared" ca="1" si="36"/>
        <v>1000000000</v>
      </c>
      <c r="S182" s="9">
        <f t="shared" ca="1" si="28"/>
        <v>2</v>
      </c>
      <c r="T182" s="10">
        <f t="shared" ca="1" si="29"/>
        <v>204.55605701516961</v>
      </c>
      <c r="U182" s="10">
        <f t="shared" ca="1" si="30"/>
        <v>204.76433877198491</v>
      </c>
      <c r="V182" s="10">
        <f t="shared" ca="1" si="31"/>
        <v>0.51227468079358118</v>
      </c>
    </row>
    <row r="183" spans="12:22" x14ac:dyDescent="0.45">
      <c r="L183" s="9">
        <v>179</v>
      </c>
      <c r="M183" s="10">
        <f t="shared" ca="1" si="32"/>
        <v>206.35475016447256</v>
      </c>
      <c r="N183" s="10">
        <f t="shared" ca="1" si="27"/>
        <v>0.92217611522104992</v>
      </c>
      <c r="O183" s="10">
        <f t="shared" ca="1" si="33"/>
        <v>204.72467102935605</v>
      </c>
      <c r="P183" s="10">
        <f t="shared" ca="1" si="34"/>
        <v>204.76433877198491</v>
      </c>
      <c r="Q183" s="10">
        <f t="shared" ca="1" si="35"/>
        <v>1000000000</v>
      </c>
      <c r="R183" s="10">
        <f t="shared" ca="1" si="36"/>
        <v>1000000000</v>
      </c>
      <c r="S183" s="9">
        <f t="shared" ca="1" si="28"/>
        <v>1</v>
      </c>
      <c r="T183" s="10">
        <f t="shared" ca="1" si="29"/>
        <v>206.35475016447256</v>
      </c>
      <c r="U183" s="10">
        <f t="shared" ca="1" si="30"/>
        <v>207.27692627969361</v>
      </c>
      <c r="V183" s="10">
        <f t="shared" ca="1" si="31"/>
        <v>0</v>
      </c>
    </row>
    <row r="184" spans="12:22" x14ac:dyDescent="0.45">
      <c r="L184" s="9">
        <v>180</v>
      </c>
      <c r="M184" s="10">
        <f t="shared" ca="1" si="32"/>
        <v>207.93092933549545</v>
      </c>
      <c r="N184" s="10">
        <f t="shared" ca="1" si="27"/>
        <v>0.10269086745394146</v>
      </c>
      <c r="O184" s="10">
        <f t="shared" ca="1" si="33"/>
        <v>207.27692627969361</v>
      </c>
      <c r="P184" s="10">
        <f t="shared" ca="1" si="34"/>
        <v>204.76433877198491</v>
      </c>
      <c r="Q184" s="10">
        <f t="shared" ca="1" si="35"/>
        <v>1000000000</v>
      </c>
      <c r="R184" s="10">
        <f t="shared" ca="1" si="36"/>
        <v>1000000000</v>
      </c>
      <c r="S184" s="9">
        <f t="shared" ca="1" si="28"/>
        <v>2</v>
      </c>
      <c r="T184" s="10">
        <f t="shared" ca="1" si="29"/>
        <v>207.93092933549545</v>
      </c>
      <c r="U184" s="10">
        <f t="shared" ca="1" si="30"/>
        <v>208.03362020294938</v>
      </c>
      <c r="V184" s="10">
        <f t="shared" ca="1" si="31"/>
        <v>0</v>
      </c>
    </row>
    <row r="185" spans="12:22" x14ac:dyDescent="0.45">
      <c r="L185" s="9">
        <v>181</v>
      </c>
      <c r="M185" s="10">
        <f t="shared" ca="1" si="32"/>
        <v>208.33793915206752</v>
      </c>
      <c r="N185" s="10">
        <f t="shared" ca="1" si="27"/>
        <v>0.3434390436194304</v>
      </c>
      <c r="O185" s="10">
        <f t="shared" ca="1" si="33"/>
        <v>207.27692627969361</v>
      </c>
      <c r="P185" s="10">
        <f t="shared" ca="1" si="34"/>
        <v>208.03362020294938</v>
      </c>
      <c r="Q185" s="10">
        <f t="shared" ca="1" si="35"/>
        <v>1000000000</v>
      </c>
      <c r="R185" s="10">
        <f t="shared" ca="1" si="36"/>
        <v>1000000000</v>
      </c>
      <c r="S185" s="9">
        <f t="shared" ca="1" si="28"/>
        <v>1</v>
      </c>
      <c r="T185" s="10">
        <f t="shared" ca="1" si="29"/>
        <v>208.33793915206752</v>
      </c>
      <c r="U185" s="10">
        <f t="shared" ca="1" si="30"/>
        <v>208.68137819568696</v>
      </c>
      <c r="V185" s="10">
        <f t="shared" ca="1" si="31"/>
        <v>0</v>
      </c>
    </row>
    <row r="186" spans="12:22" x14ac:dyDescent="0.45">
      <c r="L186" s="9">
        <v>182</v>
      </c>
      <c r="M186" s="10">
        <f t="shared" ca="1" si="32"/>
        <v>208.61493148783319</v>
      </c>
      <c r="N186" s="10">
        <f t="shared" ca="1" si="27"/>
        <v>1.1952170804317745</v>
      </c>
      <c r="O186" s="10">
        <f t="shared" ca="1" si="33"/>
        <v>208.68137819568696</v>
      </c>
      <c r="P186" s="10">
        <f t="shared" ca="1" si="34"/>
        <v>208.03362020294938</v>
      </c>
      <c r="Q186" s="10">
        <f t="shared" ca="1" si="35"/>
        <v>1000000000</v>
      </c>
      <c r="R186" s="10">
        <f t="shared" ca="1" si="36"/>
        <v>1000000000</v>
      </c>
      <c r="S186" s="9">
        <f t="shared" ca="1" si="28"/>
        <v>2</v>
      </c>
      <c r="T186" s="10">
        <f t="shared" ca="1" si="29"/>
        <v>208.61493148783319</v>
      </c>
      <c r="U186" s="10">
        <f t="shared" ca="1" si="30"/>
        <v>209.81014856826496</v>
      </c>
      <c r="V186" s="10">
        <f t="shared" ca="1" si="31"/>
        <v>0</v>
      </c>
    </row>
    <row r="187" spans="12:22" x14ac:dyDescent="0.45">
      <c r="L187" s="9">
        <v>183</v>
      </c>
      <c r="M187" s="10">
        <f t="shared" ca="1" si="32"/>
        <v>210.80411772227487</v>
      </c>
      <c r="N187" s="10">
        <f t="shared" ca="1" si="27"/>
        <v>1.2177595177083445</v>
      </c>
      <c r="O187" s="10">
        <f t="shared" ca="1" si="33"/>
        <v>208.68137819568696</v>
      </c>
      <c r="P187" s="10">
        <f t="shared" ca="1" si="34"/>
        <v>209.81014856826496</v>
      </c>
      <c r="Q187" s="10">
        <f t="shared" ca="1" si="35"/>
        <v>1000000000</v>
      </c>
      <c r="R187" s="10">
        <f t="shared" ca="1" si="36"/>
        <v>1000000000</v>
      </c>
      <c r="S187" s="9">
        <f t="shared" ca="1" si="28"/>
        <v>1</v>
      </c>
      <c r="T187" s="10">
        <f t="shared" ca="1" si="29"/>
        <v>210.80411772227487</v>
      </c>
      <c r="U187" s="10">
        <f t="shared" ca="1" si="30"/>
        <v>212.02187723998321</v>
      </c>
      <c r="V187" s="10">
        <f t="shared" ca="1" si="31"/>
        <v>0</v>
      </c>
    </row>
    <row r="188" spans="12:22" x14ac:dyDescent="0.45">
      <c r="L188" s="9">
        <v>184</v>
      </c>
      <c r="M188" s="10">
        <f t="shared" ca="1" si="32"/>
        <v>210.89966027812332</v>
      </c>
      <c r="N188" s="10">
        <f t="shared" ca="1" si="27"/>
        <v>9.5733483965543889E-2</v>
      </c>
      <c r="O188" s="10">
        <f t="shared" ca="1" si="33"/>
        <v>212.02187723998321</v>
      </c>
      <c r="P188" s="10">
        <f t="shared" ca="1" si="34"/>
        <v>209.81014856826496</v>
      </c>
      <c r="Q188" s="10">
        <f t="shared" ca="1" si="35"/>
        <v>1000000000</v>
      </c>
      <c r="R188" s="10">
        <f t="shared" ca="1" si="36"/>
        <v>1000000000</v>
      </c>
      <c r="S188" s="9">
        <f t="shared" ca="1" si="28"/>
        <v>2</v>
      </c>
      <c r="T188" s="10">
        <f t="shared" ca="1" si="29"/>
        <v>210.89966027812332</v>
      </c>
      <c r="U188" s="10">
        <f t="shared" ca="1" si="30"/>
        <v>210.99539376208887</v>
      </c>
      <c r="V188" s="10">
        <f t="shared" ca="1" si="31"/>
        <v>0</v>
      </c>
    </row>
    <row r="189" spans="12:22" x14ac:dyDescent="0.45">
      <c r="L189" s="9">
        <v>185</v>
      </c>
      <c r="M189" s="10">
        <f t="shared" ca="1" si="32"/>
        <v>211.19052740034218</v>
      </c>
      <c r="N189" s="10">
        <f t="shared" ca="1" si="27"/>
        <v>1.1208804243989104E-2</v>
      </c>
      <c r="O189" s="10">
        <f t="shared" ca="1" si="33"/>
        <v>212.02187723998321</v>
      </c>
      <c r="P189" s="10">
        <f t="shared" ca="1" si="34"/>
        <v>210.99539376208887</v>
      </c>
      <c r="Q189" s="10">
        <f t="shared" ca="1" si="35"/>
        <v>1000000000</v>
      </c>
      <c r="R189" s="10">
        <f t="shared" ca="1" si="36"/>
        <v>1000000000</v>
      </c>
      <c r="S189" s="9">
        <f t="shared" ca="1" si="28"/>
        <v>2</v>
      </c>
      <c r="T189" s="10">
        <f t="shared" ca="1" si="29"/>
        <v>211.19052740034218</v>
      </c>
      <c r="U189" s="10">
        <f t="shared" ca="1" si="30"/>
        <v>211.20173620458615</v>
      </c>
      <c r="V189" s="10">
        <f t="shared" ca="1" si="31"/>
        <v>0</v>
      </c>
    </row>
    <row r="190" spans="12:22" x14ac:dyDescent="0.45">
      <c r="L190" s="9">
        <v>186</v>
      </c>
      <c r="M190" s="10">
        <f t="shared" ca="1" si="32"/>
        <v>213.55623027204567</v>
      </c>
      <c r="N190" s="10">
        <f t="shared" ca="1" si="27"/>
        <v>7.622586659841217E-2</v>
      </c>
      <c r="O190" s="10">
        <f t="shared" ca="1" si="33"/>
        <v>212.02187723998321</v>
      </c>
      <c r="P190" s="10">
        <f t="shared" ca="1" si="34"/>
        <v>211.20173620458615</v>
      </c>
      <c r="Q190" s="10">
        <f t="shared" ca="1" si="35"/>
        <v>1000000000</v>
      </c>
      <c r="R190" s="10">
        <f t="shared" ca="1" si="36"/>
        <v>1000000000</v>
      </c>
      <c r="S190" s="9">
        <f t="shared" ca="1" si="28"/>
        <v>2</v>
      </c>
      <c r="T190" s="10">
        <f t="shared" ca="1" si="29"/>
        <v>213.55623027204567</v>
      </c>
      <c r="U190" s="10">
        <f t="shared" ca="1" si="30"/>
        <v>213.63245613864407</v>
      </c>
      <c r="V190" s="10">
        <f t="shared" ca="1" si="31"/>
        <v>0</v>
      </c>
    </row>
    <row r="191" spans="12:22" x14ac:dyDescent="0.45">
      <c r="L191" s="9">
        <v>187</v>
      </c>
      <c r="M191" s="10">
        <f t="shared" ca="1" si="32"/>
        <v>213.69970450624515</v>
      </c>
      <c r="N191" s="10">
        <f t="shared" ca="1" si="27"/>
        <v>0.16719308970813065</v>
      </c>
      <c r="O191" s="10">
        <f t="shared" ca="1" si="33"/>
        <v>212.02187723998321</v>
      </c>
      <c r="P191" s="10">
        <f t="shared" ca="1" si="34"/>
        <v>213.63245613864407</v>
      </c>
      <c r="Q191" s="10">
        <f t="shared" ca="1" si="35"/>
        <v>1000000000</v>
      </c>
      <c r="R191" s="10">
        <f t="shared" ca="1" si="36"/>
        <v>1000000000</v>
      </c>
      <c r="S191" s="9">
        <f t="shared" ca="1" si="28"/>
        <v>1</v>
      </c>
      <c r="T191" s="10">
        <f t="shared" ca="1" si="29"/>
        <v>213.69970450624515</v>
      </c>
      <c r="U191" s="10">
        <f t="shared" ca="1" si="30"/>
        <v>213.86689759595328</v>
      </c>
      <c r="V191" s="10">
        <f t="shared" ca="1" si="31"/>
        <v>0</v>
      </c>
    </row>
    <row r="192" spans="12:22" x14ac:dyDescent="0.45">
      <c r="L192" s="9">
        <v>188</v>
      </c>
      <c r="M192" s="10">
        <f t="shared" ca="1" si="32"/>
        <v>217.82069057753219</v>
      </c>
      <c r="N192" s="10">
        <f t="shared" ca="1" si="27"/>
        <v>1.4954218611964223</v>
      </c>
      <c r="O192" s="10">
        <f t="shared" ca="1" si="33"/>
        <v>213.86689759595328</v>
      </c>
      <c r="P192" s="10">
        <f t="shared" ca="1" si="34"/>
        <v>213.63245613864407</v>
      </c>
      <c r="Q192" s="10">
        <f t="shared" ca="1" si="35"/>
        <v>1000000000</v>
      </c>
      <c r="R192" s="10">
        <f t="shared" ca="1" si="36"/>
        <v>1000000000</v>
      </c>
      <c r="S192" s="9">
        <f t="shared" ca="1" si="28"/>
        <v>2</v>
      </c>
      <c r="T192" s="10">
        <f t="shared" ca="1" si="29"/>
        <v>217.82069057753219</v>
      </c>
      <c r="U192" s="10">
        <f t="shared" ca="1" si="30"/>
        <v>219.31611243872862</v>
      </c>
      <c r="V192" s="10">
        <f t="shared" ca="1" si="31"/>
        <v>0</v>
      </c>
    </row>
    <row r="193" spans="12:22" x14ac:dyDescent="0.45">
      <c r="L193" s="9">
        <v>189</v>
      </c>
      <c r="M193" s="10">
        <f t="shared" ca="1" si="32"/>
        <v>217.89898698232153</v>
      </c>
      <c r="N193" s="10">
        <f t="shared" ca="1" si="27"/>
        <v>0.67470135945800103</v>
      </c>
      <c r="O193" s="10">
        <f t="shared" ca="1" si="33"/>
        <v>213.86689759595328</v>
      </c>
      <c r="P193" s="10">
        <f t="shared" ca="1" si="34"/>
        <v>219.31611243872862</v>
      </c>
      <c r="Q193" s="10">
        <f t="shared" ca="1" si="35"/>
        <v>1000000000</v>
      </c>
      <c r="R193" s="10">
        <f t="shared" ca="1" si="36"/>
        <v>1000000000</v>
      </c>
      <c r="S193" s="9">
        <f t="shared" ca="1" si="28"/>
        <v>1</v>
      </c>
      <c r="T193" s="10">
        <f t="shared" ca="1" si="29"/>
        <v>217.89898698232153</v>
      </c>
      <c r="U193" s="10">
        <f t="shared" ca="1" si="30"/>
        <v>218.57368834177953</v>
      </c>
      <c r="V193" s="10">
        <f t="shared" ca="1" si="31"/>
        <v>0</v>
      </c>
    </row>
    <row r="194" spans="12:22" x14ac:dyDescent="0.45">
      <c r="L194" s="9">
        <v>190</v>
      </c>
      <c r="M194" s="10">
        <f t="shared" ca="1" si="32"/>
        <v>218.88797985930893</v>
      </c>
      <c r="N194" s="10">
        <f t="shared" ca="1" si="27"/>
        <v>0.46384793564573301</v>
      </c>
      <c r="O194" s="10">
        <f t="shared" ca="1" si="33"/>
        <v>218.57368834177953</v>
      </c>
      <c r="P194" s="10">
        <f t="shared" ca="1" si="34"/>
        <v>219.31611243872862</v>
      </c>
      <c r="Q194" s="10">
        <f t="shared" ca="1" si="35"/>
        <v>1000000000</v>
      </c>
      <c r="R194" s="10">
        <f t="shared" ca="1" si="36"/>
        <v>1000000000</v>
      </c>
      <c r="S194" s="9">
        <f t="shared" ca="1" si="28"/>
        <v>1</v>
      </c>
      <c r="T194" s="10">
        <f t="shared" ca="1" si="29"/>
        <v>218.88797985930893</v>
      </c>
      <c r="U194" s="10">
        <f t="shared" ca="1" si="30"/>
        <v>219.35182779495466</v>
      </c>
      <c r="V194" s="10">
        <f t="shared" ca="1" si="31"/>
        <v>0</v>
      </c>
    </row>
    <row r="195" spans="12:22" x14ac:dyDescent="0.45">
      <c r="L195" s="9">
        <v>191</v>
      </c>
      <c r="M195" s="10">
        <f t="shared" ca="1" si="32"/>
        <v>219.01269799246606</v>
      </c>
      <c r="N195" s="10">
        <f t="shared" ca="1" si="27"/>
        <v>1.5089027523390857</v>
      </c>
      <c r="O195" s="10">
        <f t="shared" ca="1" si="33"/>
        <v>219.35182779495466</v>
      </c>
      <c r="P195" s="10">
        <f t="shared" ca="1" si="34"/>
        <v>219.31611243872862</v>
      </c>
      <c r="Q195" s="10">
        <f t="shared" ca="1" si="35"/>
        <v>1000000000</v>
      </c>
      <c r="R195" s="10">
        <f t="shared" ca="1" si="36"/>
        <v>1000000000</v>
      </c>
      <c r="S195" s="9">
        <f t="shared" ca="1" si="28"/>
        <v>2</v>
      </c>
      <c r="T195" s="10">
        <f t="shared" ca="1" si="29"/>
        <v>219.31611243872862</v>
      </c>
      <c r="U195" s="10">
        <f t="shared" ca="1" si="30"/>
        <v>220.82501519106771</v>
      </c>
      <c r="V195" s="10">
        <f t="shared" ca="1" si="31"/>
        <v>0.30341444626256475</v>
      </c>
    </row>
    <row r="196" spans="12:22" x14ac:dyDescent="0.45">
      <c r="L196" s="9">
        <v>192</v>
      </c>
      <c r="M196" s="10">
        <f t="shared" ca="1" si="32"/>
        <v>220.07640477391118</v>
      </c>
      <c r="N196" s="10">
        <f t="shared" ca="1" si="27"/>
        <v>0.77031910143152149</v>
      </c>
      <c r="O196" s="10">
        <f t="shared" ca="1" si="33"/>
        <v>219.35182779495466</v>
      </c>
      <c r="P196" s="10">
        <f t="shared" ca="1" si="34"/>
        <v>220.82501519106771</v>
      </c>
      <c r="Q196" s="10">
        <f t="shared" ca="1" si="35"/>
        <v>1000000000</v>
      </c>
      <c r="R196" s="10">
        <f t="shared" ca="1" si="36"/>
        <v>1000000000</v>
      </c>
      <c r="S196" s="9">
        <f t="shared" ca="1" si="28"/>
        <v>1</v>
      </c>
      <c r="T196" s="10">
        <f t="shared" ca="1" si="29"/>
        <v>220.07640477391118</v>
      </c>
      <c r="U196" s="10">
        <f t="shared" ca="1" si="30"/>
        <v>220.84672387534269</v>
      </c>
      <c r="V196" s="10">
        <f t="shared" ca="1" si="31"/>
        <v>0</v>
      </c>
    </row>
    <row r="197" spans="12:22" x14ac:dyDescent="0.45">
      <c r="L197" s="9">
        <v>193</v>
      </c>
      <c r="M197" s="10">
        <f t="shared" ca="1" si="32"/>
        <v>220.19724866187605</v>
      </c>
      <c r="N197" s="10">
        <f t="shared" ref="N197:N260" ca="1" si="37">-60/$C$6*LN(1-RAND())</f>
        <v>0.1336409253298701</v>
      </c>
      <c r="O197" s="10">
        <f t="shared" ca="1" si="33"/>
        <v>220.84672387534269</v>
      </c>
      <c r="P197" s="10">
        <f t="shared" ca="1" si="34"/>
        <v>220.82501519106771</v>
      </c>
      <c r="Q197" s="10">
        <f t="shared" ca="1" si="35"/>
        <v>1000000000</v>
      </c>
      <c r="R197" s="10">
        <f t="shared" ca="1" si="36"/>
        <v>1000000000</v>
      </c>
      <c r="S197" s="9">
        <f t="shared" ref="S197:S260" ca="1" si="38">MATCH(MIN(O197:R197),O197:R197,0)</f>
        <v>2</v>
      </c>
      <c r="T197" s="10">
        <f t="shared" ref="T197:T260" ca="1" si="39">MAX(M197,MIN(O197:R197))</f>
        <v>220.82501519106771</v>
      </c>
      <c r="U197" s="10">
        <f t="shared" ref="U197:U260" ca="1" si="40">T197+N197</f>
        <v>220.95865611639758</v>
      </c>
      <c r="V197" s="10">
        <f t="shared" ref="V197:V260" ca="1" si="41">T197-M197</f>
        <v>0.62776652919166054</v>
      </c>
    </row>
    <row r="198" spans="12:22" x14ac:dyDescent="0.45">
      <c r="L198" s="9">
        <v>194</v>
      </c>
      <c r="M198" s="10">
        <f t="shared" ref="M198:M261" ca="1" si="42">M197-60/$C$5*LN(1-RAND())</f>
        <v>220.50658697805963</v>
      </c>
      <c r="N198" s="10">
        <f t="shared" ca="1" si="37"/>
        <v>0.73699858443289756</v>
      </c>
      <c r="O198" s="10">
        <f t="shared" ref="O198:O261" ca="1" si="43">IF(S197=1,U197,O197)</f>
        <v>220.84672387534269</v>
      </c>
      <c r="P198" s="10">
        <f t="shared" ref="P198:P261" ca="1" si="44">IF(S197=2,U197,P197)</f>
        <v>220.95865611639758</v>
      </c>
      <c r="Q198" s="10">
        <f t="shared" ref="Q198:Q261" ca="1" si="45">IF(S197=3,U197,Q197)</f>
        <v>1000000000</v>
      </c>
      <c r="R198" s="10">
        <f t="shared" ref="R198:R261" ca="1" si="46">IF(S197=4,U197,R197)</f>
        <v>1000000000</v>
      </c>
      <c r="S198" s="9">
        <f t="shared" ca="1" si="38"/>
        <v>1</v>
      </c>
      <c r="T198" s="10">
        <f t="shared" ca="1" si="39"/>
        <v>220.84672387534269</v>
      </c>
      <c r="U198" s="10">
        <f t="shared" ca="1" si="40"/>
        <v>221.5837224597756</v>
      </c>
      <c r="V198" s="10">
        <f t="shared" ca="1" si="41"/>
        <v>0.34013689728305962</v>
      </c>
    </row>
    <row r="199" spans="12:22" x14ac:dyDescent="0.45">
      <c r="L199" s="9">
        <v>195</v>
      </c>
      <c r="M199" s="10">
        <f t="shared" ca="1" si="42"/>
        <v>221.04374831993576</v>
      </c>
      <c r="N199" s="10">
        <f t="shared" ca="1" si="37"/>
        <v>0.67680956510183587</v>
      </c>
      <c r="O199" s="10">
        <f t="shared" ca="1" si="43"/>
        <v>221.5837224597756</v>
      </c>
      <c r="P199" s="10">
        <f t="shared" ca="1" si="44"/>
        <v>220.95865611639758</v>
      </c>
      <c r="Q199" s="10">
        <f t="shared" ca="1" si="45"/>
        <v>1000000000</v>
      </c>
      <c r="R199" s="10">
        <f t="shared" ca="1" si="46"/>
        <v>1000000000</v>
      </c>
      <c r="S199" s="9">
        <f t="shared" ca="1" si="38"/>
        <v>2</v>
      </c>
      <c r="T199" s="10">
        <f t="shared" ca="1" si="39"/>
        <v>221.04374831993576</v>
      </c>
      <c r="U199" s="10">
        <f t="shared" ca="1" si="40"/>
        <v>221.72055788503761</v>
      </c>
      <c r="V199" s="10">
        <f t="shared" ca="1" si="41"/>
        <v>0</v>
      </c>
    </row>
    <row r="200" spans="12:22" x14ac:dyDescent="0.45">
      <c r="L200" s="9">
        <v>196</v>
      </c>
      <c r="M200" s="10">
        <f t="shared" ca="1" si="42"/>
        <v>222.25257378015195</v>
      </c>
      <c r="N200" s="10">
        <f t="shared" ca="1" si="37"/>
        <v>2.5301215180918697</v>
      </c>
      <c r="O200" s="10">
        <f t="shared" ca="1" si="43"/>
        <v>221.5837224597756</v>
      </c>
      <c r="P200" s="10">
        <f t="shared" ca="1" si="44"/>
        <v>221.72055788503761</v>
      </c>
      <c r="Q200" s="10">
        <f t="shared" ca="1" si="45"/>
        <v>1000000000</v>
      </c>
      <c r="R200" s="10">
        <f t="shared" ca="1" si="46"/>
        <v>1000000000</v>
      </c>
      <c r="S200" s="9">
        <f t="shared" ca="1" si="38"/>
        <v>1</v>
      </c>
      <c r="T200" s="10">
        <f t="shared" ca="1" si="39"/>
        <v>222.25257378015195</v>
      </c>
      <c r="U200" s="10">
        <f t="shared" ca="1" si="40"/>
        <v>224.78269529824382</v>
      </c>
      <c r="V200" s="10">
        <f t="shared" ca="1" si="41"/>
        <v>0</v>
      </c>
    </row>
    <row r="201" spans="12:22" x14ac:dyDescent="0.45">
      <c r="L201" s="9">
        <v>197</v>
      </c>
      <c r="M201" s="10">
        <f t="shared" ca="1" si="42"/>
        <v>222.32756596831041</v>
      </c>
      <c r="N201" s="10">
        <f t="shared" ca="1" si="37"/>
        <v>0.38882445012360289</v>
      </c>
      <c r="O201" s="10">
        <f t="shared" ca="1" si="43"/>
        <v>224.78269529824382</v>
      </c>
      <c r="P201" s="10">
        <f t="shared" ca="1" si="44"/>
        <v>221.72055788503761</v>
      </c>
      <c r="Q201" s="10">
        <f t="shared" ca="1" si="45"/>
        <v>1000000000</v>
      </c>
      <c r="R201" s="10">
        <f t="shared" ca="1" si="46"/>
        <v>1000000000</v>
      </c>
      <c r="S201" s="9">
        <f t="shared" ca="1" si="38"/>
        <v>2</v>
      </c>
      <c r="T201" s="10">
        <f t="shared" ca="1" si="39"/>
        <v>222.32756596831041</v>
      </c>
      <c r="U201" s="10">
        <f t="shared" ca="1" si="40"/>
        <v>222.716390418434</v>
      </c>
      <c r="V201" s="10">
        <f t="shared" ca="1" si="41"/>
        <v>0</v>
      </c>
    </row>
    <row r="202" spans="12:22" x14ac:dyDescent="0.45">
      <c r="L202" s="9">
        <v>198</v>
      </c>
      <c r="M202" s="10">
        <f t="shared" ca="1" si="42"/>
        <v>223.08090341504962</v>
      </c>
      <c r="N202" s="10">
        <f t="shared" ca="1" si="37"/>
        <v>1.4339635519327796</v>
      </c>
      <c r="O202" s="10">
        <f t="shared" ca="1" si="43"/>
        <v>224.78269529824382</v>
      </c>
      <c r="P202" s="10">
        <f t="shared" ca="1" si="44"/>
        <v>222.716390418434</v>
      </c>
      <c r="Q202" s="10">
        <f t="shared" ca="1" si="45"/>
        <v>1000000000</v>
      </c>
      <c r="R202" s="10">
        <f t="shared" ca="1" si="46"/>
        <v>1000000000</v>
      </c>
      <c r="S202" s="9">
        <f t="shared" ca="1" si="38"/>
        <v>2</v>
      </c>
      <c r="T202" s="10">
        <f t="shared" ca="1" si="39"/>
        <v>223.08090341504962</v>
      </c>
      <c r="U202" s="10">
        <f t="shared" ca="1" si="40"/>
        <v>224.5148669669824</v>
      </c>
      <c r="V202" s="10">
        <f t="shared" ca="1" si="41"/>
        <v>0</v>
      </c>
    </row>
    <row r="203" spans="12:22" x14ac:dyDescent="0.45">
      <c r="L203" s="9">
        <v>199</v>
      </c>
      <c r="M203" s="10">
        <f t="shared" ca="1" si="42"/>
        <v>224.53779862350993</v>
      </c>
      <c r="N203" s="10">
        <f t="shared" ca="1" si="37"/>
        <v>1.2637824563785949</v>
      </c>
      <c r="O203" s="10">
        <f t="shared" ca="1" si="43"/>
        <v>224.78269529824382</v>
      </c>
      <c r="P203" s="10">
        <f t="shared" ca="1" si="44"/>
        <v>224.5148669669824</v>
      </c>
      <c r="Q203" s="10">
        <f t="shared" ca="1" si="45"/>
        <v>1000000000</v>
      </c>
      <c r="R203" s="10">
        <f t="shared" ca="1" si="46"/>
        <v>1000000000</v>
      </c>
      <c r="S203" s="9">
        <f t="shared" ca="1" si="38"/>
        <v>2</v>
      </c>
      <c r="T203" s="10">
        <f t="shared" ca="1" si="39"/>
        <v>224.53779862350993</v>
      </c>
      <c r="U203" s="10">
        <f t="shared" ca="1" si="40"/>
        <v>225.80158107988854</v>
      </c>
      <c r="V203" s="10">
        <f t="shared" ca="1" si="41"/>
        <v>0</v>
      </c>
    </row>
    <row r="204" spans="12:22" x14ac:dyDescent="0.45">
      <c r="L204" s="9">
        <v>200</v>
      </c>
      <c r="M204" s="10">
        <f t="shared" ca="1" si="42"/>
        <v>225.47535497418281</v>
      </c>
      <c r="N204" s="10">
        <f t="shared" ca="1" si="37"/>
        <v>0.90210063771127014</v>
      </c>
      <c r="O204" s="10">
        <f t="shared" ca="1" si="43"/>
        <v>224.78269529824382</v>
      </c>
      <c r="P204" s="10">
        <f t="shared" ca="1" si="44"/>
        <v>225.80158107988854</v>
      </c>
      <c r="Q204" s="10">
        <f t="shared" ca="1" si="45"/>
        <v>1000000000</v>
      </c>
      <c r="R204" s="10">
        <f t="shared" ca="1" si="46"/>
        <v>1000000000</v>
      </c>
      <c r="S204" s="9">
        <f t="shared" ca="1" si="38"/>
        <v>1</v>
      </c>
      <c r="T204" s="10">
        <f t="shared" ca="1" si="39"/>
        <v>225.47535497418281</v>
      </c>
      <c r="U204" s="10">
        <f t="shared" ca="1" si="40"/>
        <v>226.37745561189408</v>
      </c>
      <c r="V204" s="10">
        <f t="shared" ca="1" si="41"/>
        <v>0</v>
      </c>
    </row>
    <row r="205" spans="12:22" x14ac:dyDescent="0.45">
      <c r="L205" s="9">
        <v>201</v>
      </c>
      <c r="M205" s="10">
        <f t="shared" ca="1" si="42"/>
        <v>226.01788790639984</v>
      </c>
      <c r="N205" s="10">
        <f t="shared" ca="1" si="37"/>
        <v>0.74426993342251846</v>
      </c>
      <c r="O205" s="10">
        <f t="shared" ca="1" si="43"/>
        <v>226.37745561189408</v>
      </c>
      <c r="P205" s="10">
        <f t="shared" ca="1" si="44"/>
        <v>225.80158107988854</v>
      </c>
      <c r="Q205" s="10">
        <f t="shared" ca="1" si="45"/>
        <v>1000000000</v>
      </c>
      <c r="R205" s="10">
        <f t="shared" ca="1" si="46"/>
        <v>1000000000</v>
      </c>
      <c r="S205" s="9">
        <f t="shared" ca="1" si="38"/>
        <v>2</v>
      </c>
      <c r="T205" s="10">
        <f t="shared" ca="1" si="39"/>
        <v>226.01788790639984</v>
      </c>
      <c r="U205" s="10">
        <f t="shared" ca="1" si="40"/>
        <v>226.76215783982235</v>
      </c>
      <c r="V205" s="10">
        <f t="shared" ca="1" si="41"/>
        <v>0</v>
      </c>
    </row>
    <row r="206" spans="12:22" x14ac:dyDescent="0.45">
      <c r="L206" s="9">
        <v>202</v>
      </c>
      <c r="M206" s="10">
        <f t="shared" ca="1" si="42"/>
        <v>226.06346238786284</v>
      </c>
      <c r="N206" s="10">
        <f t="shared" ca="1" si="37"/>
        <v>1.6021312858955981</v>
      </c>
      <c r="O206" s="10">
        <f t="shared" ca="1" si="43"/>
        <v>226.37745561189408</v>
      </c>
      <c r="P206" s="10">
        <f t="shared" ca="1" si="44"/>
        <v>226.76215783982235</v>
      </c>
      <c r="Q206" s="10">
        <f t="shared" ca="1" si="45"/>
        <v>1000000000</v>
      </c>
      <c r="R206" s="10">
        <f t="shared" ca="1" si="46"/>
        <v>1000000000</v>
      </c>
      <c r="S206" s="9">
        <f t="shared" ca="1" si="38"/>
        <v>1</v>
      </c>
      <c r="T206" s="10">
        <f t="shared" ca="1" si="39"/>
        <v>226.37745561189408</v>
      </c>
      <c r="U206" s="10">
        <f t="shared" ca="1" si="40"/>
        <v>227.97958689778969</v>
      </c>
      <c r="V206" s="10">
        <f t="shared" ca="1" si="41"/>
        <v>0.3139932240312362</v>
      </c>
    </row>
    <row r="207" spans="12:22" x14ac:dyDescent="0.45">
      <c r="L207" s="9">
        <v>203</v>
      </c>
      <c r="M207" s="10">
        <f t="shared" ca="1" si="42"/>
        <v>227.5854668697479</v>
      </c>
      <c r="N207" s="10">
        <f t="shared" ca="1" si="37"/>
        <v>2.682334971275536</v>
      </c>
      <c r="O207" s="10">
        <f t="shared" ca="1" si="43"/>
        <v>227.97958689778969</v>
      </c>
      <c r="P207" s="10">
        <f t="shared" ca="1" si="44"/>
        <v>226.76215783982235</v>
      </c>
      <c r="Q207" s="10">
        <f t="shared" ca="1" si="45"/>
        <v>1000000000</v>
      </c>
      <c r="R207" s="10">
        <f t="shared" ca="1" si="46"/>
        <v>1000000000</v>
      </c>
      <c r="S207" s="9">
        <f t="shared" ca="1" si="38"/>
        <v>2</v>
      </c>
      <c r="T207" s="10">
        <f t="shared" ca="1" si="39"/>
        <v>227.5854668697479</v>
      </c>
      <c r="U207" s="10">
        <f t="shared" ca="1" si="40"/>
        <v>230.26780184102344</v>
      </c>
      <c r="V207" s="10">
        <f t="shared" ca="1" si="41"/>
        <v>0</v>
      </c>
    </row>
    <row r="208" spans="12:22" x14ac:dyDescent="0.45">
      <c r="L208" s="9">
        <v>204</v>
      </c>
      <c r="M208" s="10">
        <f t="shared" ca="1" si="42"/>
        <v>228.2628407441052</v>
      </c>
      <c r="N208" s="10">
        <f t="shared" ca="1" si="37"/>
        <v>2.5323919755909432</v>
      </c>
      <c r="O208" s="10">
        <f t="shared" ca="1" si="43"/>
        <v>227.97958689778969</v>
      </c>
      <c r="P208" s="10">
        <f t="shared" ca="1" si="44"/>
        <v>230.26780184102344</v>
      </c>
      <c r="Q208" s="10">
        <f t="shared" ca="1" si="45"/>
        <v>1000000000</v>
      </c>
      <c r="R208" s="10">
        <f t="shared" ca="1" si="46"/>
        <v>1000000000</v>
      </c>
      <c r="S208" s="9">
        <f t="shared" ca="1" si="38"/>
        <v>1</v>
      </c>
      <c r="T208" s="10">
        <f t="shared" ca="1" si="39"/>
        <v>228.2628407441052</v>
      </c>
      <c r="U208" s="10">
        <f t="shared" ca="1" si="40"/>
        <v>230.79523271969614</v>
      </c>
      <c r="V208" s="10">
        <f t="shared" ca="1" si="41"/>
        <v>0</v>
      </c>
    </row>
    <row r="209" spans="12:22" x14ac:dyDescent="0.45">
      <c r="L209" s="9">
        <v>205</v>
      </c>
      <c r="M209" s="10">
        <f t="shared" ca="1" si="42"/>
        <v>231.25927179977347</v>
      </c>
      <c r="N209" s="10">
        <f t="shared" ca="1" si="37"/>
        <v>1.999138741813685</v>
      </c>
      <c r="O209" s="10">
        <f t="shared" ca="1" si="43"/>
        <v>230.79523271969614</v>
      </c>
      <c r="P209" s="10">
        <f t="shared" ca="1" si="44"/>
        <v>230.26780184102344</v>
      </c>
      <c r="Q209" s="10">
        <f t="shared" ca="1" si="45"/>
        <v>1000000000</v>
      </c>
      <c r="R209" s="10">
        <f t="shared" ca="1" si="46"/>
        <v>1000000000</v>
      </c>
      <c r="S209" s="9">
        <f t="shared" ca="1" si="38"/>
        <v>2</v>
      </c>
      <c r="T209" s="10">
        <f t="shared" ca="1" si="39"/>
        <v>231.25927179977347</v>
      </c>
      <c r="U209" s="10">
        <f t="shared" ca="1" si="40"/>
        <v>233.25841054158715</v>
      </c>
      <c r="V209" s="10">
        <f t="shared" ca="1" si="41"/>
        <v>0</v>
      </c>
    </row>
    <row r="210" spans="12:22" x14ac:dyDescent="0.45">
      <c r="L210" s="9">
        <v>206</v>
      </c>
      <c r="M210" s="10">
        <f t="shared" ca="1" si="42"/>
        <v>231.42624858972354</v>
      </c>
      <c r="N210" s="10">
        <f t="shared" ca="1" si="37"/>
        <v>0.35362955156695514</v>
      </c>
      <c r="O210" s="10">
        <f t="shared" ca="1" si="43"/>
        <v>230.79523271969614</v>
      </c>
      <c r="P210" s="10">
        <f t="shared" ca="1" si="44"/>
        <v>233.25841054158715</v>
      </c>
      <c r="Q210" s="10">
        <f t="shared" ca="1" si="45"/>
        <v>1000000000</v>
      </c>
      <c r="R210" s="10">
        <f t="shared" ca="1" si="46"/>
        <v>1000000000</v>
      </c>
      <c r="S210" s="9">
        <f t="shared" ca="1" si="38"/>
        <v>1</v>
      </c>
      <c r="T210" s="10">
        <f t="shared" ca="1" si="39"/>
        <v>231.42624858972354</v>
      </c>
      <c r="U210" s="10">
        <f t="shared" ca="1" si="40"/>
        <v>231.77987814129051</v>
      </c>
      <c r="V210" s="10">
        <f t="shared" ca="1" si="41"/>
        <v>0</v>
      </c>
    </row>
    <row r="211" spans="12:22" x14ac:dyDescent="0.45">
      <c r="L211" s="9">
        <v>207</v>
      </c>
      <c r="M211" s="10">
        <f t="shared" ca="1" si="42"/>
        <v>234.04014868876675</v>
      </c>
      <c r="N211" s="10">
        <f t="shared" ca="1" si="37"/>
        <v>0.5500070416848637</v>
      </c>
      <c r="O211" s="10">
        <f t="shared" ca="1" si="43"/>
        <v>231.77987814129051</v>
      </c>
      <c r="P211" s="10">
        <f t="shared" ca="1" si="44"/>
        <v>233.25841054158715</v>
      </c>
      <c r="Q211" s="10">
        <f t="shared" ca="1" si="45"/>
        <v>1000000000</v>
      </c>
      <c r="R211" s="10">
        <f t="shared" ca="1" si="46"/>
        <v>1000000000</v>
      </c>
      <c r="S211" s="9">
        <f t="shared" ca="1" si="38"/>
        <v>1</v>
      </c>
      <c r="T211" s="10">
        <f t="shared" ca="1" si="39"/>
        <v>234.04014868876675</v>
      </c>
      <c r="U211" s="10">
        <f t="shared" ca="1" si="40"/>
        <v>234.59015573045161</v>
      </c>
      <c r="V211" s="10">
        <f t="shared" ca="1" si="41"/>
        <v>0</v>
      </c>
    </row>
    <row r="212" spans="12:22" x14ac:dyDescent="0.45">
      <c r="L212" s="9">
        <v>208</v>
      </c>
      <c r="M212" s="10">
        <f t="shared" ca="1" si="42"/>
        <v>235.05704594614343</v>
      </c>
      <c r="N212" s="10">
        <f t="shared" ca="1" si="37"/>
        <v>5.3893567802975264</v>
      </c>
      <c r="O212" s="10">
        <f t="shared" ca="1" si="43"/>
        <v>234.59015573045161</v>
      </c>
      <c r="P212" s="10">
        <f t="shared" ca="1" si="44"/>
        <v>233.25841054158715</v>
      </c>
      <c r="Q212" s="10">
        <f t="shared" ca="1" si="45"/>
        <v>1000000000</v>
      </c>
      <c r="R212" s="10">
        <f t="shared" ca="1" si="46"/>
        <v>1000000000</v>
      </c>
      <c r="S212" s="9">
        <f t="shared" ca="1" si="38"/>
        <v>2</v>
      </c>
      <c r="T212" s="10">
        <f t="shared" ca="1" si="39"/>
        <v>235.05704594614343</v>
      </c>
      <c r="U212" s="10">
        <f t="shared" ca="1" si="40"/>
        <v>240.44640272644097</v>
      </c>
      <c r="V212" s="10">
        <f t="shared" ca="1" si="41"/>
        <v>0</v>
      </c>
    </row>
    <row r="213" spans="12:22" x14ac:dyDescent="0.45">
      <c r="L213" s="9">
        <v>209</v>
      </c>
      <c r="M213" s="10">
        <f t="shared" ca="1" si="42"/>
        <v>236.41755602073022</v>
      </c>
      <c r="N213" s="10">
        <f t="shared" ca="1" si="37"/>
        <v>1.5290031375349105</v>
      </c>
      <c r="O213" s="10">
        <f t="shared" ca="1" si="43"/>
        <v>234.59015573045161</v>
      </c>
      <c r="P213" s="10">
        <f t="shared" ca="1" si="44"/>
        <v>240.44640272644097</v>
      </c>
      <c r="Q213" s="10">
        <f t="shared" ca="1" si="45"/>
        <v>1000000000</v>
      </c>
      <c r="R213" s="10">
        <f t="shared" ca="1" si="46"/>
        <v>1000000000</v>
      </c>
      <c r="S213" s="9">
        <f t="shared" ca="1" si="38"/>
        <v>1</v>
      </c>
      <c r="T213" s="10">
        <f t="shared" ca="1" si="39"/>
        <v>236.41755602073022</v>
      </c>
      <c r="U213" s="10">
        <f t="shared" ca="1" si="40"/>
        <v>237.94655915826513</v>
      </c>
      <c r="V213" s="10">
        <f t="shared" ca="1" si="41"/>
        <v>0</v>
      </c>
    </row>
    <row r="214" spans="12:22" x14ac:dyDescent="0.45">
      <c r="L214" s="9">
        <v>210</v>
      </c>
      <c r="M214" s="10">
        <f t="shared" ca="1" si="42"/>
        <v>237.23717173408807</v>
      </c>
      <c r="N214" s="10">
        <f t="shared" ca="1" si="37"/>
        <v>1.3374566884420216</v>
      </c>
      <c r="O214" s="10">
        <f t="shared" ca="1" si="43"/>
        <v>237.94655915826513</v>
      </c>
      <c r="P214" s="10">
        <f t="shared" ca="1" si="44"/>
        <v>240.44640272644097</v>
      </c>
      <c r="Q214" s="10">
        <f t="shared" ca="1" si="45"/>
        <v>1000000000</v>
      </c>
      <c r="R214" s="10">
        <f t="shared" ca="1" si="46"/>
        <v>1000000000</v>
      </c>
      <c r="S214" s="9">
        <f t="shared" ca="1" si="38"/>
        <v>1</v>
      </c>
      <c r="T214" s="10">
        <f t="shared" ca="1" si="39"/>
        <v>237.94655915826513</v>
      </c>
      <c r="U214" s="10">
        <f t="shared" ca="1" si="40"/>
        <v>239.28401584670715</v>
      </c>
      <c r="V214" s="10">
        <f t="shared" ca="1" si="41"/>
        <v>0.70938742417706635</v>
      </c>
    </row>
    <row r="215" spans="12:22" x14ac:dyDescent="0.45">
      <c r="L215" s="9">
        <v>211</v>
      </c>
      <c r="M215" s="10">
        <f t="shared" ca="1" si="42"/>
        <v>238.89046431901798</v>
      </c>
      <c r="N215" s="10">
        <f t="shared" ca="1" si="37"/>
        <v>0.26868309725498313</v>
      </c>
      <c r="O215" s="10">
        <f t="shared" ca="1" si="43"/>
        <v>239.28401584670715</v>
      </c>
      <c r="P215" s="10">
        <f t="shared" ca="1" si="44"/>
        <v>240.44640272644097</v>
      </c>
      <c r="Q215" s="10">
        <f t="shared" ca="1" si="45"/>
        <v>1000000000</v>
      </c>
      <c r="R215" s="10">
        <f t="shared" ca="1" si="46"/>
        <v>1000000000</v>
      </c>
      <c r="S215" s="9">
        <f t="shared" ca="1" si="38"/>
        <v>1</v>
      </c>
      <c r="T215" s="10">
        <f t="shared" ca="1" si="39"/>
        <v>239.28401584670715</v>
      </c>
      <c r="U215" s="10">
        <f t="shared" ca="1" si="40"/>
        <v>239.55269894396213</v>
      </c>
      <c r="V215" s="10">
        <f t="shared" ca="1" si="41"/>
        <v>0.39355152768916923</v>
      </c>
    </row>
    <row r="216" spans="12:22" x14ac:dyDescent="0.45">
      <c r="L216" s="9">
        <v>212</v>
      </c>
      <c r="M216" s="10">
        <f t="shared" ca="1" si="42"/>
        <v>240.39312421027688</v>
      </c>
      <c r="N216" s="10">
        <f t="shared" ca="1" si="37"/>
        <v>0.12539541092588416</v>
      </c>
      <c r="O216" s="10">
        <f t="shared" ca="1" si="43"/>
        <v>239.55269894396213</v>
      </c>
      <c r="P216" s="10">
        <f t="shared" ca="1" si="44"/>
        <v>240.44640272644097</v>
      </c>
      <c r="Q216" s="10">
        <f t="shared" ca="1" si="45"/>
        <v>1000000000</v>
      </c>
      <c r="R216" s="10">
        <f t="shared" ca="1" si="46"/>
        <v>1000000000</v>
      </c>
      <c r="S216" s="9">
        <f t="shared" ca="1" si="38"/>
        <v>1</v>
      </c>
      <c r="T216" s="10">
        <f t="shared" ca="1" si="39"/>
        <v>240.39312421027688</v>
      </c>
      <c r="U216" s="10">
        <f t="shared" ca="1" si="40"/>
        <v>240.51851962120276</v>
      </c>
      <c r="V216" s="10">
        <f t="shared" ca="1" si="41"/>
        <v>0</v>
      </c>
    </row>
    <row r="217" spans="12:22" x14ac:dyDescent="0.45">
      <c r="L217" s="9">
        <v>213</v>
      </c>
      <c r="M217" s="10">
        <f t="shared" ca="1" si="42"/>
        <v>242.84251009657399</v>
      </c>
      <c r="N217" s="10">
        <f t="shared" ca="1" si="37"/>
        <v>1.3228754523927997</v>
      </c>
      <c r="O217" s="10">
        <f t="shared" ca="1" si="43"/>
        <v>240.51851962120276</v>
      </c>
      <c r="P217" s="10">
        <f t="shared" ca="1" si="44"/>
        <v>240.44640272644097</v>
      </c>
      <c r="Q217" s="10">
        <f t="shared" ca="1" si="45"/>
        <v>1000000000</v>
      </c>
      <c r="R217" s="10">
        <f t="shared" ca="1" si="46"/>
        <v>1000000000</v>
      </c>
      <c r="S217" s="9">
        <f t="shared" ca="1" si="38"/>
        <v>2</v>
      </c>
      <c r="T217" s="10">
        <f t="shared" ca="1" si="39"/>
        <v>242.84251009657399</v>
      </c>
      <c r="U217" s="10">
        <f t="shared" ca="1" si="40"/>
        <v>244.16538554896678</v>
      </c>
      <c r="V217" s="10">
        <f t="shared" ca="1" si="41"/>
        <v>0</v>
      </c>
    </row>
    <row r="218" spans="12:22" x14ac:dyDescent="0.45">
      <c r="L218" s="9">
        <v>214</v>
      </c>
      <c r="M218" s="10">
        <f t="shared" ca="1" si="42"/>
        <v>247.16222364299222</v>
      </c>
      <c r="N218" s="10">
        <f t="shared" ca="1" si="37"/>
        <v>2.0221932514768342</v>
      </c>
      <c r="O218" s="10">
        <f t="shared" ca="1" si="43"/>
        <v>240.51851962120276</v>
      </c>
      <c r="P218" s="10">
        <f t="shared" ca="1" si="44"/>
        <v>244.16538554896678</v>
      </c>
      <c r="Q218" s="10">
        <f t="shared" ca="1" si="45"/>
        <v>1000000000</v>
      </c>
      <c r="R218" s="10">
        <f t="shared" ca="1" si="46"/>
        <v>1000000000</v>
      </c>
      <c r="S218" s="9">
        <f t="shared" ca="1" si="38"/>
        <v>1</v>
      </c>
      <c r="T218" s="10">
        <f t="shared" ca="1" si="39"/>
        <v>247.16222364299222</v>
      </c>
      <c r="U218" s="10">
        <f t="shared" ca="1" si="40"/>
        <v>249.18441689446905</v>
      </c>
      <c r="V218" s="10">
        <f t="shared" ca="1" si="41"/>
        <v>0</v>
      </c>
    </row>
    <row r="219" spans="12:22" x14ac:dyDescent="0.45">
      <c r="L219" s="9">
        <v>215</v>
      </c>
      <c r="M219" s="10">
        <f t="shared" ca="1" si="42"/>
        <v>248.94844596837623</v>
      </c>
      <c r="N219" s="10">
        <f t="shared" ca="1" si="37"/>
        <v>1.1188559347379197</v>
      </c>
      <c r="O219" s="10">
        <f t="shared" ca="1" si="43"/>
        <v>249.18441689446905</v>
      </c>
      <c r="P219" s="10">
        <f t="shared" ca="1" si="44"/>
        <v>244.16538554896678</v>
      </c>
      <c r="Q219" s="10">
        <f t="shared" ca="1" si="45"/>
        <v>1000000000</v>
      </c>
      <c r="R219" s="10">
        <f t="shared" ca="1" si="46"/>
        <v>1000000000</v>
      </c>
      <c r="S219" s="9">
        <f t="shared" ca="1" si="38"/>
        <v>2</v>
      </c>
      <c r="T219" s="10">
        <f t="shared" ca="1" si="39"/>
        <v>248.94844596837623</v>
      </c>
      <c r="U219" s="10">
        <f t="shared" ca="1" si="40"/>
        <v>250.06730190311416</v>
      </c>
      <c r="V219" s="10">
        <f t="shared" ca="1" si="41"/>
        <v>0</v>
      </c>
    </row>
    <row r="220" spans="12:22" x14ac:dyDescent="0.45">
      <c r="L220" s="9">
        <v>216</v>
      </c>
      <c r="M220" s="10">
        <f t="shared" ca="1" si="42"/>
        <v>249.98881499891695</v>
      </c>
      <c r="N220" s="10">
        <f t="shared" ca="1" si="37"/>
        <v>2.2945220206311445</v>
      </c>
      <c r="O220" s="10">
        <f t="shared" ca="1" si="43"/>
        <v>249.18441689446905</v>
      </c>
      <c r="P220" s="10">
        <f t="shared" ca="1" si="44"/>
        <v>250.06730190311416</v>
      </c>
      <c r="Q220" s="10">
        <f t="shared" ca="1" si="45"/>
        <v>1000000000</v>
      </c>
      <c r="R220" s="10">
        <f t="shared" ca="1" si="46"/>
        <v>1000000000</v>
      </c>
      <c r="S220" s="9">
        <f t="shared" ca="1" si="38"/>
        <v>1</v>
      </c>
      <c r="T220" s="10">
        <f t="shared" ca="1" si="39"/>
        <v>249.98881499891695</v>
      </c>
      <c r="U220" s="10">
        <f t="shared" ca="1" si="40"/>
        <v>252.2833370195481</v>
      </c>
      <c r="V220" s="10">
        <f t="shared" ca="1" si="41"/>
        <v>0</v>
      </c>
    </row>
    <row r="221" spans="12:22" x14ac:dyDescent="0.45">
      <c r="L221" s="9">
        <v>217</v>
      </c>
      <c r="M221" s="10">
        <f t="shared" ca="1" si="42"/>
        <v>250.8962935991251</v>
      </c>
      <c r="N221" s="10">
        <f t="shared" ca="1" si="37"/>
        <v>2.1116293546314178</v>
      </c>
      <c r="O221" s="10">
        <f t="shared" ca="1" si="43"/>
        <v>252.2833370195481</v>
      </c>
      <c r="P221" s="10">
        <f t="shared" ca="1" si="44"/>
        <v>250.06730190311416</v>
      </c>
      <c r="Q221" s="10">
        <f t="shared" ca="1" si="45"/>
        <v>1000000000</v>
      </c>
      <c r="R221" s="10">
        <f t="shared" ca="1" si="46"/>
        <v>1000000000</v>
      </c>
      <c r="S221" s="9">
        <f t="shared" ca="1" si="38"/>
        <v>2</v>
      </c>
      <c r="T221" s="10">
        <f t="shared" ca="1" si="39"/>
        <v>250.8962935991251</v>
      </c>
      <c r="U221" s="10">
        <f t="shared" ca="1" si="40"/>
        <v>253.00792295375652</v>
      </c>
      <c r="V221" s="10">
        <f t="shared" ca="1" si="41"/>
        <v>0</v>
      </c>
    </row>
    <row r="222" spans="12:22" x14ac:dyDescent="0.45">
      <c r="L222" s="9">
        <v>218</v>
      </c>
      <c r="M222" s="10">
        <f t="shared" ca="1" si="42"/>
        <v>253.83114410619064</v>
      </c>
      <c r="N222" s="10">
        <f t="shared" ca="1" si="37"/>
        <v>0.31949140943708604</v>
      </c>
      <c r="O222" s="10">
        <f t="shared" ca="1" si="43"/>
        <v>252.2833370195481</v>
      </c>
      <c r="P222" s="10">
        <f t="shared" ca="1" si="44"/>
        <v>253.00792295375652</v>
      </c>
      <c r="Q222" s="10">
        <f t="shared" ca="1" si="45"/>
        <v>1000000000</v>
      </c>
      <c r="R222" s="10">
        <f t="shared" ca="1" si="46"/>
        <v>1000000000</v>
      </c>
      <c r="S222" s="9">
        <f t="shared" ca="1" si="38"/>
        <v>1</v>
      </c>
      <c r="T222" s="10">
        <f t="shared" ca="1" si="39"/>
        <v>253.83114410619064</v>
      </c>
      <c r="U222" s="10">
        <f t="shared" ca="1" si="40"/>
        <v>254.15063551562773</v>
      </c>
      <c r="V222" s="10">
        <f t="shared" ca="1" si="41"/>
        <v>0</v>
      </c>
    </row>
    <row r="223" spans="12:22" x14ac:dyDescent="0.45">
      <c r="L223" s="9">
        <v>219</v>
      </c>
      <c r="M223" s="10">
        <f t="shared" ca="1" si="42"/>
        <v>258.09313462199253</v>
      </c>
      <c r="N223" s="10">
        <f t="shared" ca="1" si="37"/>
        <v>0.55666804001161818</v>
      </c>
      <c r="O223" s="10">
        <f t="shared" ca="1" si="43"/>
        <v>254.15063551562773</v>
      </c>
      <c r="P223" s="10">
        <f t="shared" ca="1" si="44"/>
        <v>253.00792295375652</v>
      </c>
      <c r="Q223" s="10">
        <f t="shared" ca="1" si="45"/>
        <v>1000000000</v>
      </c>
      <c r="R223" s="10">
        <f t="shared" ca="1" si="46"/>
        <v>1000000000</v>
      </c>
      <c r="S223" s="9">
        <f t="shared" ca="1" si="38"/>
        <v>2</v>
      </c>
      <c r="T223" s="10">
        <f t="shared" ca="1" si="39"/>
        <v>258.09313462199253</v>
      </c>
      <c r="U223" s="10">
        <f t="shared" ca="1" si="40"/>
        <v>258.64980266200416</v>
      </c>
      <c r="V223" s="10">
        <f t="shared" ca="1" si="41"/>
        <v>0</v>
      </c>
    </row>
    <row r="224" spans="12:22" x14ac:dyDescent="0.45">
      <c r="L224" s="9">
        <v>220</v>
      </c>
      <c r="M224" s="10">
        <f t="shared" ca="1" si="42"/>
        <v>258.67496215226112</v>
      </c>
      <c r="N224" s="10">
        <f t="shared" ca="1" si="37"/>
        <v>3.5354104160225042</v>
      </c>
      <c r="O224" s="10">
        <f t="shared" ca="1" si="43"/>
        <v>254.15063551562773</v>
      </c>
      <c r="P224" s="10">
        <f t="shared" ca="1" si="44"/>
        <v>258.64980266200416</v>
      </c>
      <c r="Q224" s="10">
        <f t="shared" ca="1" si="45"/>
        <v>1000000000</v>
      </c>
      <c r="R224" s="10">
        <f t="shared" ca="1" si="46"/>
        <v>1000000000</v>
      </c>
      <c r="S224" s="9">
        <f t="shared" ca="1" si="38"/>
        <v>1</v>
      </c>
      <c r="T224" s="10">
        <f t="shared" ca="1" si="39"/>
        <v>258.67496215226112</v>
      </c>
      <c r="U224" s="10">
        <f t="shared" ca="1" si="40"/>
        <v>262.21037256828362</v>
      </c>
      <c r="V224" s="10">
        <f t="shared" ca="1" si="41"/>
        <v>0</v>
      </c>
    </row>
    <row r="225" spans="12:22" x14ac:dyDescent="0.45">
      <c r="L225" s="9">
        <v>221</v>
      </c>
      <c r="M225" s="10">
        <f t="shared" ca="1" si="42"/>
        <v>259.77102633984572</v>
      </c>
      <c r="N225" s="10">
        <f t="shared" ca="1" si="37"/>
        <v>0.18045172949512583</v>
      </c>
      <c r="O225" s="10">
        <f t="shared" ca="1" si="43"/>
        <v>262.21037256828362</v>
      </c>
      <c r="P225" s="10">
        <f t="shared" ca="1" si="44"/>
        <v>258.64980266200416</v>
      </c>
      <c r="Q225" s="10">
        <f t="shared" ca="1" si="45"/>
        <v>1000000000</v>
      </c>
      <c r="R225" s="10">
        <f t="shared" ca="1" si="46"/>
        <v>1000000000</v>
      </c>
      <c r="S225" s="9">
        <f t="shared" ca="1" si="38"/>
        <v>2</v>
      </c>
      <c r="T225" s="10">
        <f t="shared" ca="1" si="39"/>
        <v>259.77102633984572</v>
      </c>
      <c r="U225" s="10">
        <f t="shared" ca="1" si="40"/>
        <v>259.95147806934085</v>
      </c>
      <c r="V225" s="10">
        <f t="shared" ca="1" si="41"/>
        <v>0</v>
      </c>
    </row>
    <row r="226" spans="12:22" x14ac:dyDescent="0.45">
      <c r="L226" s="9">
        <v>222</v>
      </c>
      <c r="M226" s="10">
        <f t="shared" ca="1" si="42"/>
        <v>260.35406217938464</v>
      </c>
      <c r="N226" s="10">
        <f t="shared" ca="1" si="37"/>
        <v>0.98845791778805592</v>
      </c>
      <c r="O226" s="10">
        <f t="shared" ca="1" si="43"/>
        <v>262.21037256828362</v>
      </c>
      <c r="P226" s="10">
        <f t="shared" ca="1" si="44"/>
        <v>259.95147806934085</v>
      </c>
      <c r="Q226" s="10">
        <f t="shared" ca="1" si="45"/>
        <v>1000000000</v>
      </c>
      <c r="R226" s="10">
        <f t="shared" ca="1" si="46"/>
        <v>1000000000</v>
      </c>
      <c r="S226" s="9">
        <f t="shared" ca="1" si="38"/>
        <v>2</v>
      </c>
      <c r="T226" s="10">
        <f t="shared" ca="1" si="39"/>
        <v>260.35406217938464</v>
      </c>
      <c r="U226" s="10">
        <f t="shared" ca="1" si="40"/>
        <v>261.34252009717272</v>
      </c>
      <c r="V226" s="10">
        <f t="shared" ca="1" si="41"/>
        <v>0</v>
      </c>
    </row>
    <row r="227" spans="12:22" x14ac:dyDescent="0.45">
      <c r="L227" s="9">
        <v>223</v>
      </c>
      <c r="M227" s="10">
        <f t="shared" ca="1" si="42"/>
        <v>261.66753901894276</v>
      </c>
      <c r="N227" s="10">
        <f t="shared" ca="1" si="37"/>
        <v>2.9299353180623416E-2</v>
      </c>
      <c r="O227" s="10">
        <f t="shared" ca="1" si="43"/>
        <v>262.21037256828362</v>
      </c>
      <c r="P227" s="10">
        <f t="shared" ca="1" si="44"/>
        <v>261.34252009717272</v>
      </c>
      <c r="Q227" s="10">
        <f t="shared" ca="1" si="45"/>
        <v>1000000000</v>
      </c>
      <c r="R227" s="10">
        <f t="shared" ca="1" si="46"/>
        <v>1000000000</v>
      </c>
      <c r="S227" s="9">
        <f t="shared" ca="1" si="38"/>
        <v>2</v>
      </c>
      <c r="T227" s="10">
        <f t="shared" ca="1" si="39"/>
        <v>261.66753901894276</v>
      </c>
      <c r="U227" s="10">
        <f t="shared" ca="1" si="40"/>
        <v>261.69683837212341</v>
      </c>
      <c r="V227" s="10">
        <f t="shared" ca="1" si="41"/>
        <v>0</v>
      </c>
    </row>
    <row r="228" spans="12:22" x14ac:dyDescent="0.45">
      <c r="L228" s="9">
        <v>224</v>
      </c>
      <c r="M228" s="10">
        <f t="shared" ca="1" si="42"/>
        <v>263.57329995729248</v>
      </c>
      <c r="N228" s="10">
        <f t="shared" ca="1" si="37"/>
        <v>1.1869163721595997</v>
      </c>
      <c r="O228" s="10">
        <f t="shared" ca="1" si="43"/>
        <v>262.21037256828362</v>
      </c>
      <c r="P228" s="10">
        <f t="shared" ca="1" si="44"/>
        <v>261.69683837212341</v>
      </c>
      <c r="Q228" s="10">
        <f t="shared" ca="1" si="45"/>
        <v>1000000000</v>
      </c>
      <c r="R228" s="10">
        <f t="shared" ca="1" si="46"/>
        <v>1000000000</v>
      </c>
      <c r="S228" s="9">
        <f t="shared" ca="1" si="38"/>
        <v>2</v>
      </c>
      <c r="T228" s="10">
        <f t="shared" ca="1" si="39"/>
        <v>263.57329995729248</v>
      </c>
      <c r="U228" s="10">
        <f t="shared" ca="1" si="40"/>
        <v>264.76021632945208</v>
      </c>
      <c r="V228" s="10">
        <f t="shared" ca="1" si="41"/>
        <v>0</v>
      </c>
    </row>
    <row r="229" spans="12:22" x14ac:dyDescent="0.45">
      <c r="L229" s="9">
        <v>225</v>
      </c>
      <c r="M229" s="10">
        <f t="shared" ca="1" si="42"/>
        <v>263.90035414460158</v>
      </c>
      <c r="N229" s="10">
        <f t="shared" ca="1" si="37"/>
        <v>0.22875112867357378</v>
      </c>
      <c r="O229" s="10">
        <f t="shared" ca="1" si="43"/>
        <v>262.21037256828362</v>
      </c>
      <c r="P229" s="10">
        <f t="shared" ca="1" si="44"/>
        <v>264.76021632945208</v>
      </c>
      <c r="Q229" s="10">
        <f t="shared" ca="1" si="45"/>
        <v>1000000000</v>
      </c>
      <c r="R229" s="10">
        <f t="shared" ca="1" si="46"/>
        <v>1000000000</v>
      </c>
      <c r="S229" s="9">
        <f t="shared" ca="1" si="38"/>
        <v>1</v>
      </c>
      <c r="T229" s="10">
        <f t="shared" ca="1" si="39"/>
        <v>263.90035414460158</v>
      </c>
      <c r="U229" s="10">
        <f t="shared" ca="1" si="40"/>
        <v>264.12910527327517</v>
      </c>
      <c r="V229" s="10">
        <f t="shared" ca="1" si="41"/>
        <v>0</v>
      </c>
    </row>
    <row r="230" spans="12:22" x14ac:dyDescent="0.45">
      <c r="L230" s="9">
        <v>226</v>
      </c>
      <c r="M230" s="10">
        <f t="shared" ca="1" si="42"/>
        <v>263.91172342377962</v>
      </c>
      <c r="N230" s="10">
        <f t="shared" ca="1" si="37"/>
        <v>0.19907165505159094</v>
      </c>
      <c r="O230" s="10">
        <f t="shared" ca="1" si="43"/>
        <v>264.12910527327517</v>
      </c>
      <c r="P230" s="10">
        <f t="shared" ca="1" si="44"/>
        <v>264.76021632945208</v>
      </c>
      <c r="Q230" s="10">
        <f t="shared" ca="1" si="45"/>
        <v>1000000000</v>
      </c>
      <c r="R230" s="10">
        <f t="shared" ca="1" si="46"/>
        <v>1000000000</v>
      </c>
      <c r="S230" s="9">
        <f t="shared" ca="1" si="38"/>
        <v>1</v>
      </c>
      <c r="T230" s="10">
        <f t="shared" ca="1" si="39"/>
        <v>264.12910527327517</v>
      </c>
      <c r="U230" s="10">
        <f t="shared" ca="1" si="40"/>
        <v>264.32817692832674</v>
      </c>
      <c r="V230" s="10">
        <f t="shared" ca="1" si="41"/>
        <v>0.21738184949555261</v>
      </c>
    </row>
    <row r="231" spans="12:22" x14ac:dyDescent="0.45">
      <c r="L231" s="9">
        <v>227</v>
      </c>
      <c r="M231" s="10">
        <f t="shared" ca="1" si="42"/>
        <v>264.12513269915218</v>
      </c>
      <c r="N231" s="10">
        <f t="shared" ca="1" si="37"/>
        <v>1.2673907922376422</v>
      </c>
      <c r="O231" s="10">
        <f t="shared" ca="1" si="43"/>
        <v>264.32817692832674</v>
      </c>
      <c r="P231" s="10">
        <f t="shared" ca="1" si="44"/>
        <v>264.76021632945208</v>
      </c>
      <c r="Q231" s="10">
        <f t="shared" ca="1" si="45"/>
        <v>1000000000</v>
      </c>
      <c r="R231" s="10">
        <f t="shared" ca="1" si="46"/>
        <v>1000000000</v>
      </c>
      <c r="S231" s="9">
        <f t="shared" ca="1" si="38"/>
        <v>1</v>
      </c>
      <c r="T231" s="10">
        <f t="shared" ca="1" si="39"/>
        <v>264.32817692832674</v>
      </c>
      <c r="U231" s="10">
        <f t="shared" ca="1" si="40"/>
        <v>265.59556772056436</v>
      </c>
      <c r="V231" s="10">
        <f t="shared" ca="1" si="41"/>
        <v>0.20304422917456577</v>
      </c>
    </row>
    <row r="232" spans="12:22" x14ac:dyDescent="0.45">
      <c r="L232" s="9">
        <v>228</v>
      </c>
      <c r="M232" s="10">
        <f t="shared" ca="1" si="42"/>
        <v>264.95801830812269</v>
      </c>
      <c r="N232" s="10">
        <f t="shared" ca="1" si="37"/>
        <v>3.102598626520261</v>
      </c>
      <c r="O232" s="10">
        <f t="shared" ca="1" si="43"/>
        <v>265.59556772056436</v>
      </c>
      <c r="P232" s="10">
        <f t="shared" ca="1" si="44"/>
        <v>264.76021632945208</v>
      </c>
      <c r="Q232" s="10">
        <f t="shared" ca="1" si="45"/>
        <v>1000000000</v>
      </c>
      <c r="R232" s="10">
        <f t="shared" ca="1" si="46"/>
        <v>1000000000</v>
      </c>
      <c r="S232" s="9">
        <f t="shared" ca="1" si="38"/>
        <v>2</v>
      </c>
      <c r="T232" s="10">
        <f t="shared" ca="1" si="39"/>
        <v>264.95801830812269</v>
      </c>
      <c r="U232" s="10">
        <f t="shared" ca="1" si="40"/>
        <v>268.06061693464295</v>
      </c>
      <c r="V232" s="10">
        <f t="shared" ca="1" si="41"/>
        <v>0</v>
      </c>
    </row>
    <row r="233" spans="12:22" x14ac:dyDescent="0.45">
      <c r="L233" s="9">
        <v>229</v>
      </c>
      <c r="M233" s="10">
        <f t="shared" ca="1" si="42"/>
        <v>265.49505033117021</v>
      </c>
      <c r="N233" s="10">
        <f t="shared" ca="1" si="37"/>
        <v>1.6580712030768061</v>
      </c>
      <c r="O233" s="10">
        <f t="shared" ca="1" si="43"/>
        <v>265.59556772056436</v>
      </c>
      <c r="P233" s="10">
        <f t="shared" ca="1" si="44"/>
        <v>268.06061693464295</v>
      </c>
      <c r="Q233" s="10">
        <f t="shared" ca="1" si="45"/>
        <v>1000000000</v>
      </c>
      <c r="R233" s="10">
        <f t="shared" ca="1" si="46"/>
        <v>1000000000</v>
      </c>
      <c r="S233" s="9">
        <f t="shared" ca="1" si="38"/>
        <v>1</v>
      </c>
      <c r="T233" s="10">
        <f t="shared" ca="1" si="39"/>
        <v>265.59556772056436</v>
      </c>
      <c r="U233" s="10">
        <f t="shared" ca="1" si="40"/>
        <v>267.25363892364118</v>
      </c>
      <c r="V233" s="10">
        <f t="shared" ca="1" si="41"/>
        <v>0.100517389394156</v>
      </c>
    </row>
    <row r="234" spans="12:22" x14ac:dyDescent="0.45">
      <c r="L234" s="9">
        <v>230</v>
      </c>
      <c r="M234" s="10">
        <f t="shared" ca="1" si="42"/>
        <v>266.59008909542337</v>
      </c>
      <c r="N234" s="10">
        <f t="shared" ca="1" si="37"/>
        <v>0.84398474629621723</v>
      </c>
      <c r="O234" s="10">
        <f t="shared" ca="1" si="43"/>
        <v>267.25363892364118</v>
      </c>
      <c r="P234" s="10">
        <f t="shared" ca="1" si="44"/>
        <v>268.06061693464295</v>
      </c>
      <c r="Q234" s="10">
        <f t="shared" ca="1" si="45"/>
        <v>1000000000</v>
      </c>
      <c r="R234" s="10">
        <f t="shared" ca="1" si="46"/>
        <v>1000000000</v>
      </c>
      <c r="S234" s="9">
        <f t="shared" ca="1" si="38"/>
        <v>1</v>
      </c>
      <c r="T234" s="10">
        <f t="shared" ca="1" si="39"/>
        <v>267.25363892364118</v>
      </c>
      <c r="U234" s="10">
        <f t="shared" ca="1" si="40"/>
        <v>268.09762366993738</v>
      </c>
      <c r="V234" s="10">
        <f t="shared" ca="1" si="41"/>
        <v>0.6635498282178105</v>
      </c>
    </row>
    <row r="235" spans="12:22" x14ac:dyDescent="0.45">
      <c r="L235" s="9">
        <v>231</v>
      </c>
      <c r="M235" s="10">
        <f t="shared" ca="1" si="42"/>
        <v>268.09294167316665</v>
      </c>
      <c r="N235" s="10">
        <f t="shared" ca="1" si="37"/>
        <v>1.9887298099011295</v>
      </c>
      <c r="O235" s="10">
        <f t="shared" ca="1" si="43"/>
        <v>268.09762366993738</v>
      </c>
      <c r="P235" s="10">
        <f t="shared" ca="1" si="44"/>
        <v>268.06061693464295</v>
      </c>
      <c r="Q235" s="10">
        <f t="shared" ca="1" si="45"/>
        <v>1000000000</v>
      </c>
      <c r="R235" s="10">
        <f t="shared" ca="1" si="46"/>
        <v>1000000000</v>
      </c>
      <c r="S235" s="9">
        <f t="shared" ca="1" si="38"/>
        <v>2</v>
      </c>
      <c r="T235" s="10">
        <f t="shared" ca="1" si="39"/>
        <v>268.09294167316665</v>
      </c>
      <c r="U235" s="10">
        <f t="shared" ca="1" si="40"/>
        <v>270.08167148306779</v>
      </c>
      <c r="V235" s="10">
        <f t="shared" ca="1" si="41"/>
        <v>0</v>
      </c>
    </row>
    <row r="236" spans="12:22" x14ac:dyDescent="0.45">
      <c r="L236" s="9">
        <v>232</v>
      </c>
      <c r="M236" s="10">
        <f t="shared" ca="1" si="42"/>
        <v>269.73135952943204</v>
      </c>
      <c r="N236" s="10">
        <f t="shared" ca="1" si="37"/>
        <v>2.853036767778343</v>
      </c>
      <c r="O236" s="10">
        <f t="shared" ca="1" si="43"/>
        <v>268.09762366993738</v>
      </c>
      <c r="P236" s="10">
        <f t="shared" ca="1" si="44"/>
        <v>270.08167148306779</v>
      </c>
      <c r="Q236" s="10">
        <f t="shared" ca="1" si="45"/>
        <v>1000000000</v>
      </c>
      <c r="R236" s="10">
        <f t="shared" ca="1" si="46"/>
        <v>1000000000</v>
      </c>
      <c r="S236" s="9">
        <f t="shared" ca="1" si="38"/>
        <v>1</v>
      </c>
      <c r="T236" s="10">
        <f t="shared" ca="1" si="39"/>
        <v>269.73135952943204</v>
      </c>
      <c r="U236" s="10">
        <f t="shared" ca="1" si="40"/>
        <v>272.58439629721039</v>
      </c>
      <c r="V236" s="10">
        <f t="shared" ca="1" si="41"/>
        <v>0</v>
      </c>
    </row>
    <row r="237" spans="12:22" x14ac:dyDescent="0.45">
      <c r="L237" s="9">
        <v>233</v>
      </c>
      <c r="M237" s="10">
        <f t="shared" ca="1" si="42"/>
        <v>275.54298497184499</v>
      </c>
      <c r="N237" s="10">
        <f t="shared" ca="1" si="37"/>
        <v>0.77144608536204562</v>
      </c>
      <c r="O237" s="10">
        <f t="shared" ca="1" si="43"/>
        <v>272.58439629721039</v>
      </c>
      <c r="P237" s="10">
        <f t="shared" ca="1" si="44"/>
        <v>270.08167148306779</v>
      </c>
      <c r="Q237" s="10">
        <f t="shared" ca="1" si="45"/>
        <v>1000000000</v>
      </c>
      <c r="R237" s="10">
        <f t="shared" ca="1" si="46"/>
        <v>1000000000</v>
      </c>
      <c r="S237" s="9">
        <f t="shared" ca="1" si="38"/>
        <v>2</v>
      </c>
      <c r="T237" s="10">
        <f t="shared" ca="1" si="39"/>
        <v>275.54298497184499</v>
      </c>
      <c r="U237" s="10">
        <f t="shared" ca="1" si="40"/>
        <v>276.31443105720706</v>
      </c>
      <c r="V237" s="10">
        <f t="shared" ca="1" si="41"/>
        <v>0</v>
      </c>
    </row>
    <row r="238" spans="12:22" x14ac:dyDescent="0.45">
      <c r="L238" s="9">
        <v>234</v>
      </c>
      <c r="M238" s="10">
        <f t="shared" ca="1" si="42"/>
        <v>277.87191795396029</v>
      </c>
      <c r="N238" s="10">
        <f t="shared" ca="1" si="37"/>
        <v>0.91251472113635657</v>
      </c>
      <c r="O238" s="10">
        <f t="shared" ca="1" si="43"/>
        <v>272.58439629721039</v>
      </c>
      <c r="P238" s="10">
        <f t="shared" ca="1" si="44"/>
        <v>276.31443105720706</v>
      </c>
      <c r="Q238" s="10">
        <f t="shared" ca="1" si="45"/>
        <v>1000000000</v>
      </c>
      <c r="R238" s="10">
        <f t="shared" ca="1" si="46"/>
        <v>1000000000</v>
      </c>
      <c r="S238" s="9">
        <f t="shared" ca="1" si="38"/>
        <v>1</v>
      </c>
      <c r="T238" s="10">
        <f t="shared" ca="1" si="39"/>
        <v>277.87191795396029</v>
      </c>
      <c r="U238" s="10">
        <f t="shared" ca="1" si="40"/>
        <v>278.78443267509664</v>
      </c>
      <c r="V238" s="10">
        <f t="shared" ca="1" si="41"/>
        <v>0</v>
      </c>
    </row>
    <row r="239" spans="12:22" x14ac:dyDescent="0.45">
      <c r="L239" s="9">
        <v>235</v>
      </c>
      <c r="M239" s="10">
        <f t="shared" ca="1" si="42"/>
        <v>278.88877658223129</v>
      </c>
      <c r="N239" s="10">
        <f t="shared" ca="1" si="37"/>
        <v>1.2879032591446564</v>
      </c>
      <c r="O239" s="10">
        <f t="shared" ca="1" si="43"/>
        <v>278.78443267509664</v>
      </c>
      <c r="P239" s="10">
        <f t="shared" ca="1" si="44"/>
        <v>276.31443105720706</v>
      </c>
      <c r="Q239" s="10">
        <f t="shared" ca="1" si="45"/>
        <v>1000000000</v>
      </c>
      <c r="R239" s="10">
        <f t="shared" ca="1" si="46"/>
        <v>1000000000</v>
      </c>
      <c r="S239" s="9">
        <f t="shared" ca="1" si="38"/>
        <v>2</v>
      </c>
      <c r="T239" s="10">
        <f t="shared" ca="1" si="39"/>
        <v>278.88877658223129</v>
      </c>
      <c r="U239" s="10">
        <f t="shared" ca="1" si="40"/>
        <v>280.17667984137597</v>
      </c>
      <c r="V239" s="10">
        <f t="shared" ca="1" si="41"/>
        <v>0</v>
      </c>
    </row>
    <row r="240" spans="12:22" x14ac:dyDescent="0.45">
      <c r="L240" s="9">
        <v>236</v>
      </c>
      <c r="M240" s="10">
        <f t="shared" ca="1" si="42"/>
        <v>283.15702582017059</v>
      </c>
      <c r="N240" s="10">
        <f t="shared" ca="1" si="37"/>
        <v>0.14519938147152592</v>
      </c>
      <c r="O240" s="10">
        <f t="shared" ca="1" si="43"/>
        <v>278.78443267509664</v>
      </c>
      <c r="P240" s="10">
        <f t="shared" ca="1" si="44"/>
        <v>280.17667984137597</v>
      </c>
      <c r="Q240" s="10">
        <f t="shared" ca="1" si="45"/>
        <v>1000000000</v>
      </c>
      <c r="R240" s="10">
        <f t="shared" ca="1" si="46"/>
        <v>1000000000</v>
      </c>
      <c r="S240" s="9">
        <f t="shared" ca="1" si="38"/>
        <v>1</v>
      </c>
      <c r="T240" s="10">
        <f t="shared" ca="1" si="39"/>
        <v>283.15702582017059</v>
      </c>
      <c r="U240" s="10">
        <f t="shared" ca="1" si="40"/>
        <v>283.3022252016421</v>
      </c>
      <c r="V240" s="10">
        <f t="shared" ca="1" si="41"/>
        <v>0</v>
      </c>
    </row>
    <row r="241" spans="12:22" x14ac:dyDescent="0.45">
      <c r="L241" s="9">
        <v>237</v>
      </c>
      <c r="M241" s="10">
        <f t="shared" ca="1" si="42"/>
        <v>284.0940919685824</v>
      </c>
      <c r="N241" s="10">
        <f t="shared" ca="1" si="37"/>
        <v>2.4421312892361504</v>
      </c>
      <c r="O241" s="10">
        <f t="shared" ca="1" si="43"/>
        <v>283.3022252016421</v>
      </c>
      <c r="P241" s="10">
        <f t="shared" ca="1" si="44"/>
        <v>280.17667984137597</v>
      </c>
      <c r="Q241" s="10">
        <f t="shared" ca="1" si="45"/>
        <v>1000000000</v>
      </c>
      <c r="R241" s="10">
        <f t="shared" ca="1" si="46"/>
        <v>1000000000</v>
      </c>
      <c r="S241" s="9">
        <f t="shared" ca="1" si="38"/>
        <v>2</v>
      </c>
      <c r="T241" s="10">
        <f t="shared" ca="1" si="39"/>
        <v>284.0940919685824</v>
      </c>
      <c r="U241" s="10">
        <f t="shared" ca="1" si="40"/>
        <v>286.53622325781856</v>
      </c>
      <c r="V241" s="10">
        <f t="shared" ca="1" si="41"/>
        <v>0</v>
      </c>
    </row>
    <row r="242" spans="12:22" x14ac:dyDescent="0.45">
      <c r="L242" s="9">
        <v>238</v>
      </c>
      <c r="M242" s="10">
        <f t="shared" ca="1" si="42"/>
        <v>284.18235523943275</v>
      </c>
      <c r="N242" s="10">
        <f t="shared" ca="1" si="37"/>
        <v>0.57886533611131452</v>
      </c>
      <c r="O242" s="10">
        <f t="shared" ca="1" si="43"/>
        <v>283.3022252016421</v>
      </c>
      <c r="P242" s="10">
        <f t="shared" ca="1" si="44"/>
        <v>286.53622325781856</v>
      </c>
      <c r="Q242" s="10">
        <f t="shared" ca="1" si="45"/>
        <v>1000000000</v>
      </c>
      <c r="R242" s="10">
        <f t="shared" ca="1" si="46"/>
        <v>1000000000</v>
      </c>
      <c r="S242" s="9">
        <f t="shared" ca="1" si="38"/>
        <v>1</v>
      </c>
      <c r="T242" s="10">
        <f t="shared" ca="1" si="39"/>
        <v>284.18235523943275</v>
      </c>
      <c r="U242" s="10">
        <f t="shared" ca="1" si="40"/>
        <v>284.76122057554409</v>
      </c>
      <c r="V242" s="10">
        <f t="shared" ca="1" si="41"/>
        <v>0</v>
      </c>
    </row>
    <row r="243" spans="12:22" x14ac:dyDescent="0.45">
      <c r="L243" s="9">
        <v>239</v>
      </c>
      <c r="M243" s="10">
        <f t="shared" ca="1" si="42"/>
        <v>287.95189557165173</v>
      </c>
      <c r="N243" s="10">
        <f t="shared" ca="1" si="37"/>
        <v>0.79625321633285018</v>
      </c>
      <c r="O243" s="10">
        <f t="shared" ca="1" si="43"/>
        <v>284.76122057554409</v>
      </c>
      <c r="P243" s="10">
        <f t="shared" ca="1" si="44"/>
        <v>286.53622325781856</v>
      </c>
      <c r="Q243" s="10">
        <f t="shared" ca="1" si="45"/>
        <v>1000000000</v>
      </c>
      <c r="R243" s="10">
        <f t="shared" ca="1" si="46"/>
        <v>1000000000</v>
      </c>
      <c r="S243" s="9">
        <f t="shared" ca="1" si="38"/>
        <v>1</v>
      </c>
      <c r="T243" s="10">
        <f t="shared" ca="1" si="39"/>
        <v>287.95189557165173</v>
      </c>
      <c r="U243" s="10">
        <f t="shared" ca="1" si="40"/>
        <v>288.74814878798458</v>
      </c>
      <c r="V243" s="10">
        <f t="shared" ca="1" si="41"/>
        <v>0</v>
      </c>
    </row>
    <row r="244" spans="12:22" x14ac:dyDescent="0.45">
      <c r="L244" s="9">
        <v>240</v>
      </c>
      <c r="M244" s="10">
        <f t="shared" ca="1" si="42"/>
        <v>288.36369093233475</v>
      </c>
      <c r="N244" s="10">
        <f t="shared" ca="1" si="37"/>
        <v>0.49782866612017473</v>
      </c>
      <c r="O244" s="10">
        <f t="shared" ca="1" si="43"/>
        <v>288.74814878798458</v>
      </c>
      <c r="P244" s="10">
        <f t="shared" ca="1" si="44"/>
        <v>286.53622325781856</v>
      </c>
      <c r="Q244" s="10">
        <f t="shared" ca="1" si="45"/>
        <v>1000000000</v>
      </c>
      <c r="R244" s="10">
        <f t="shared" ca="1" si="46"/>
        <v>1000000000</v>
      </c>
      <c r="S244" s="9">
        <f t="shared" ca="1" si="38"/>
        <v>2</v>
      </c>
      <c r="T244" s="10">
        <f t="shared" ca="1" si="39"/>
        <v>288.36369093233475</v>
      </c>
      <c r="U244" s="10">
        <f t="shared" ca="1" si="40"/>
        <v>288.86151959845495</v>
      </c>
      <c r="V244" s="10">
        <f t="shared" ca="1" si="41"/>
        <v>0</v>
      </c>
    </row>
    <row r="245" spans="12:22" x14ac:dyDescent="0.45">
      <c r="L245" s="9">
        <v>241</v>
      </c>
      <c r="M245" s="10">
        <f t="shared" ca="1" si="42"/>
        <v>289.69292231492381</v>
      </c>
      <c r="N245" s="10">
        <f t="shared" ca="1" si="37"/>
        <v>0.64308206768268861</v>
      </c>
      <c r="O245" s="10">
        <f t="shared" ca="1" si="43"/>
        <v>288.74814878798458</v>
      </c>
      <c r="P245" s="10">
        <f t="shared" ca="1" si="44"/>
        <v>288.86151959845495</v>
      </c>
      <c r="Q245" s="10">
        <f t="shared" ca="1" si="45"/>
        <v>1000000000</v>
      </c>
      <c r="R245" s="10">
        <f t="shared" ca="1" si="46"/>
        <v>1000000000</v>
      </c>
      <c r="S245" s="9">
        <f t="shared" ca="1" si="38"/>
        <v>1</v>
      </c>
      <c r="T245" s="10">
        <f t="shared" ca="1" si="39"/>
        <v>289.69292231492381</v>
      </c>
      <c r="U245" s="10">
        <f t="shared" ca="1" si="40"/>
        <v>290.33600438260652</v>
      </c>
      <c r="V245" s="10">
        <f t="shared" ca="1" si="41"/>
        <v>0</v>
      </c>
    </row>
    <row r="246" spans="12:22" x14ac:dyDescent="0.45">
      <c r="L246" s="9">
        <v>242</v>
      </c>
      <c r="M246" s="10">
        <f t="shared" ca="1" si="42"/>
        <v>293.52173773173718</v>
      </c>
      <c r="N246" s="10">
        <f t="shared" ca="1" si="37"/>
        <v>0.96190428073757717</v>
      </c>
      <c r="O246" s="10">
        <f t="shared" ca="1" si="43"/>
        <v>290.33600438260652</v>
      </c>
      <c r="P246" s="10">
        <f t="shared" ca="1" si="44"/>
        <v>288.86151959845495</v>
      </c>
      <c r="Q246" s="10">
        <f t="shared" ca="1" si="45"/>
        <v>1000000000</v>
      </c>
      <c r="R246" s="10">
        <f t="shared" ca="1" si="46"/>
        <v>1000000000</v>
      </c>
      <c r="S246" s="9">
        <f t="shared" ca="1" si="38"/>
        <v>2</v>
      </c>
      <c r="T246" s="10">
        <f t="shared" ca="1" si="39"/>
        <v>293.52173773173718</v>
      </c>
      <c r="U246" s="10">
        <f t="shared" ca="1" si="40"/>
        <v>294.48364201247477</v>
      </c>
      <c r="V246" s="10">
        <f t="shared" ca="1" si="41"/>
        <v>0</v>
      </c>
    </row>
    <row r="247" spans="12:22" x14ac:dyDescent="0.45">
      <c r="L247" s="9">
        <v>243</v>
      </c>
      <c r="M247" s="10">
        <f t="shared" ca="1" si="42"/>
        <v>294.8683985250093</v>
      </c>
      <c r="N247" s="10">
        <f t="shared" ca="1" si="37"/>
        <v>0.61131565331969839</v>
      </c>
      <c r="O247" s="10">
        <f t="shared" ca="1" si="43"/>
        <v>290.33600438260652</v>
      </c>
      <c r="P247" s="10">
        <f t="shared" ca="1" si="44"/>
        <v>294.48364201247477</v>
      </c>
      <c r="Q247" s="10">
        <f t="shared" ca="1" si="45"/>
        <v>1000000000</v>
      </c>
      <c r="R247" s="10">
        <f t="shared" ca="1" si="46"/>
        <v>1000000000</v>
      </c>
      <c r="S247" s="9">
        <f t="shared" ca="1" si="38"/>
        <v>1</v>
      </c>
      <c r="T247" s="10">
        <f t="shared" ca="1" si="39"/>
        <v>294.8683985250093</v>
      </c>
      <c r="U247" s="10">
        <f t="shared" ca="1" si="40"/>
        <v>295.479714178329</v>
      </c>
      <c r="V247" s="10">
        <f t="shared" ca="1" si="41"/>
        <v>0</v>
      </c>
    </row>
    <row r="248" spans="12:22" x14ac:dyDescent="0.45">
      <c r="L248" s="9">
        <v>244</v>
      </c>
      <c r="M248" s="10">
        <f t="shared" ca="1" si="42"/>
        <v>296.87535035243576</v>
      </c>
      <c r="N248" s="10">
        <f t="shared" ca="1" si="37"/>
        <v>0.78767850126213312</v>
      </c>
      <c r="O248" s="10">
        <f t="shared" ca="1" si="43"/>
        <v>295.479714178329</v>
      </c>
      <c r="P248" s="10">
        <f t="shared" ca="1" si="44"/>
        <v>294.48364201247477</v>
      </c>
      <c r="Q248" s="10">
        <f t="shared" ca="1" si="45"/>
        <v>1000000000</v>
      </c>
      <c r="R248" s="10">
        <f t="shared" ca="1" si="46"/>
        <v>1000000000</v>
      </c>
      <c r="S248" s="9">
        <f t="shared" ca="1" si="38"/>
        <v>2</v>
      </c>
      <c r="T248" s="10">
        <f t="shared" ca="1" si="39"/>
        <v>296.87535035243576</v>
      </c>
      <c r="U248" s="10">
        <f t="shared" ca="1" si="40"/>
        <v>297.66302885369788</v>
      </c>
      <c r="V248" s="10">
        <f t="shared" ca="1" si="41"/>
        <v>0</v>
      </c>
    </row>
    <row r="249" spans="12:22" x14ac:dyDescent="0.45">
      <c r="L249" s="9">
        <v>245</v>
      </c>
      <c r="M249" s="10">
        <f t="shared" ca="1" si="42"/>
        <v>298.25760953651189</v>
      </c>
      <c r="N249" s="10">
        <f t="shared" ca="1" si="37"/>
        <v>2.2854617248233557</v>
      </c>
      <c r="O249" s="10">
        <f t="shared" ca="1" si="43"/>
        <v>295.479714178329</v>
      </c>
      <c r="P249" s="10">
        <f t="shared" ca="1" si="44"/>
        <v>297.66302885369788</v>
      </c>
      <c r="Q249" s="10">
        <f t="shared" ca="1" si="45"/>
        <v>1000000000</v>
      </c>
      <c r="R249" s="10">
        <f t="shared" ca="1" si="46"/>
        <v>1000000000</v>
      </c>
      <c r="S249" s="9">
        <f t="shared" ca="1" si="38"/>
        <v>1</v>
      </c>
      <c r="T249" s="10">
        <f t="shared" ca="1" si="39"/>
        <v>298.25760953651189</v>
      </c>
      <c r="U249" s="10">
        <f t="shared" ca="1" si="40"/>
        <v>300.54307126133523</v>
      </c>
      <c r="V249" s="10">
        <f t="shared" ca="1" si="41"/>
        <v>0</v>
      </c>
    </row>
    <row r="250" spans="12:22" x14ac:dyDescent="0.45">
      <c r="L250" s="9">
        <v>246</v>
      </c>
      <c r="M250" s="10">
        <f t="shared" ca="1" si="42"/>
        <v>298.64991496142972</v>
      </c>
      <c r="N250" s="10">
        <f t="shared" ca="1" si="37"/>
        <v>0.35823777429876635</v>
      </c>
      <c r="O250" s="10">
        <f t="shared" ca="1" si="43"/>
        <v>300.54307126133523</v>
      </c>
      <c r="P250" s="10">
        <f t="shared" ca="1" si="44"/>
        <v>297.66302885369788</v>
      </c>
      <c r="Q250" s="10">
        <f t="shared" ca="1" si="45"/>
        <v>1000000000</v>
      </c>
      <c r="R250" s="10">
        <f t="shared" ca="1" si="46"/>
        <v>1000000000</v>
      </c>
      <c r="S250" s="9">
        <f t="shared" ca="1" si="38"/>
        <v>2</v>
      </c>
      <c r="T250" s="10">
        <f t="shared" ca="1" si="39"/>
        <v>298.64991496142972</v>
      </c>
      <c r="U250" s="10">
        <f t="shared" ca="1" si="40"/>
        <v>299.00815273572846</v>
      </c>
      <c r="V250" s="10">
        <f t="shared" ca="1" si="41"/>
        <v>0</v>
      </c>
    </row>
    <row r="251" spans="12:22" x14ac:dyDescent="0.45">
      <c r="L251" s="9">
        <v>247</v>
      </c>
      <c r="M251" s="10">
        <f t="shared" ca="1" si="42"/>
        <v>298.93859355712522</v>
      </c>
      <c r="N251" s="10">
        <f t="shared" ca="1" si="37"/>
        <v>7.5312879458890342E-2</v>
      </c>
      <c r="O251" s="10">
        <f t="shared" ca="1" si="43"/>
        <v>300.54307126133523</v>
      </c>
      <c r="P251" s="10">
        <f t="shared" ca="1" si="44"/>
        <v>299.00815273572846</v>
      </c>
      <c r="Q251" s="10">
        <f t="shared" ca="1" si="45"/>
        <v>1000000000</v>
      </c>
      <c r="R251" s="10">
        <f t="shared" ca="1" si="46"/>
        <v>1000000000</v>
      </c>
      <c r="S251" s="9">
        <f t="shared" ca="1" si="38"/>
        <v>2</v>
      </c>
      <c r="T251" s="10">
        <f t="shared" ca="1" si="39"/>
        <v>299.00815273572846</v>
      </c>
      <c r="U251" s="10">
        <f t="shared" ca="1" si="40"/>
        <v>299.08346561518732</v>
      </c>
      <c r="V251" s="10">
        <f t="shared" ca="1" si="41"/>
        <v>6.9559178603242344E-2</v>
      </c>
    </row>
    <row r="252" spans="12:22" x14ac:dyDescent="0.45">
      <c r="L252" s="9">
        <v>248</v>
      </c>
      <c r="M252" s="10">
        <f t="shared" ca="1" si="42"/>
        <v>300.65288519349264</v>
      </c>
      <c r="N252" s="10">
        <f t="shared" ca="1" si="37"/>
        <v>3.2565737124653382E-2</v>
      </c>
      <c r="O252" s="10">
        <f t="shared" ca="1" si="43"/>
        <v>300.54307126133523</v>
      </c>
      <c r="P252" s="10">
        <f t="shared" ca="1" si="44"/>
        <v>299.08346561518732</v>
      </c>
      <c r="Q252" s="10">
        <f t="shared" ca="1" si="45"/>
        <v>1000000000</v>
      </c>
      <c r="R252" s="10">
        <f t="shared" ca="1" si="46"/>
        <v>1000000000</v>
      </c>
      <c r="S252" s="9">
        <f t="shared" ca="1" si="38"/>
        <v>2</v>
      </c>
      <c r="T252" s="10">
        <f t="shared" ca="1" si="39"/>
        <v>300.65288519349264</v>
      </c>
      <c r="U252" s="10">
        <f t="shared" ca="1" si="40"/>
        <v>300.68545093061726</v>
      </c>
      <c r="V252" s="10">
        <f t="shared" ca="1" si="41"/>
        <v>0</v>
      </c>
    </row>
    <row r="253" spans="12:22" x14ac:dyDescent="0.45">
      <c r="L253" s="9">
        <v>249</v>
      </c>
      <c r="M253" s="10">
        <f t="shared" ca="1" si="42"/>
        <v>300.73701684840586</v>
      </c>
      <c r="N253" s="10">
        <f t="shared" ca="1" si="37"/>
        <v>3.4582085530420894</v>
      </c>
      <c r="O253" s="10">
        <f t="shared" ca="1" si="43"/>
        <v>300.54307126133523</v>
      </c>
      <c r="P253" s="10">
        <f t="shared" ca="1" si="44"/>
        <v>300.68545093061726</v>
      </c>
      <c r="Q253" s="10">
        <f t="shared" ca="1" si="45"/>
        <v>1000000000</v>
      </c>
      <c r="R253" s="10">
        <f t="shared" ca="1" si="46"/>
        <v>1000000000</v>
      </c>
      <c r="S253" s="9">
        <f t="shared" ca="1" si="38"/>
        <v>1</v>
      </c>
      <c r="T253" s="10">
        <f t="shared" ca="1" si="39"/>
        <v>300.73701684840586</v>
      </c>
      <c r="U253" s="10">
        <f t="shared" ca="1" si="40"/>
        <v>304.19522540144794</v>
      </c>
      <c r="V253" s="10">
        <f t="shared" ca="1" si="41"/>
        <v>0</v>
      </c>
    </row>
    <row r="254" spans="12:22" x14ac:dyDescent="0.45">
      <c r="L254" s="9">
        <v>250</v>
      </c>
      <c r="M254" s="10">
        <f t="shared" ca="1" si="42"/>
        <v>302.10884628504556</v>
      </c>
      <c r="N254" s="10">
        <f t="shared" ca="1" si="37"/>
        <v>6.4878629490804737E-2</v>
      </c>
      <c r="O254" s="10">
        <f t="shared" ca="1" si="43"/>
        <v>304.19522540144794</v>
      </c>
      <c r="P254" s="10">
        <f t="shared" ca="1" si="44"/>
        <v>300.68545093061726</v>
      </c>
      <c r="Q254" s="10">
        <f t="shared" ca="1" si="45"/>
        <v>1000000000</v>
      </c>
      <c r="R254" s="10">
        <f t="shared" ca="1" si="46"/>
        <v>1000000000</v>
      </c>
      <c r="S254" s="9">
        <f t="shared" ca="1" si="38"/>
        <v>2</v>
      </c>
      <c r="T254" s="10">
        <f t="shared" ca="1" si="39"/>
        <v>302.10884628504556</v>
      </c>
      <c r="U254" s="10">
        <f t="shared" ca="1" si="40"/>
        <v>302.17372491453636</v>
      </c>
      <c r="V254" s="10">
        <f t="shared" ca="1" si="41"/>
        <v>0</v>
      </c>
    </row>
    <row r="255" spans="12:22" x14ac:dyDescent="0.45">
      <c r="L255" s="9">
        <v>251</v>
      </c>
      <c r="M255" s="10">
        <f t="shared" ca="1" si="42"/>
        <v>302.64770364231651</v>
      </c>
      <c r="N255" s="10">
        <f t="shared" ca="1" si="37"/>
        <v>1.1735361025918216</v>
      </c>
      <c r="O255" s="10">
        <f t="shared" ca="1" si="43"/>
        <v>304.19522540144794</v>
      </c>
      <c r="P255" s="10">
        <f t="shared" ca="1" si="44"/>
        <v>302.17372491453636</v>
      </c>
      <c r="Q255" s="10">
        <f t="shared" ca="1" si="45"/>
        <v>1000000000</v>
      </c>
      <c r="R255" s="10">
        <f t="shared" ca="1" si="46"/>
        <v>1000000000</v>
      </c>
      <c r="S255" s="9">
        <f t="shared" ca="1" si="38"/>
        <v>2</v>
      </c>
      <c r="T255" s="10">
        <f t="shared" ca="1" si="39"/>
        <v>302.64770364231651</v>
      </c>
      <c r="U255" s="10">
        <f t="shared" ca="1" si="40"/>
        <v>303.82123974490833</v>
      </c>
      <c r="V255" s="10">
        <f t="shared" ca="1" si="41"/>
        <v>0</v>
      </c>
    </row>
    <row r="256" spans="12:22" x14ac:dyDescent="0.45">
      <c r="L256" s="9">
        <v>252</v>
      </c>
      <c r="M256" s="10">
        <f t="shared" ca="1" si="42"/>
        <v>303.87180881572806</v>
      </c>
      <c r="N256" s="10">
        <f t="shared" ca="1" si="37"/>
        <v>3.2643975451232081</v>
      </c>
      <c r="O256" s="10">
        <f t="shared" ca="1" si="43"/>
        <v>304.19522540144794</v>
      </c>
      <c r="P256" s="10">
        <f t="shared" ca="1" si="44"/>
        <v>303.82123974490833</v>
      </c>
      <c r="Q256" s="10">
        <f t="shared" ca="1" si="45"/>
        <v>1000000000</v>
      </c>
      <c r="R256" s="10">
        <f t="shared" ca="1" si="46"/>
        <v>1000000000</v>
      </c>
      <c r="S256" s="9">
        <f t="shared" ca="1" si="38"/>
        <v>2</v>
      </c>
      <c r="T256" s="10">
        <f t="shared" ca="1" si="39"/>
        <v>303.87180881572806</v>
      </c>
      <c r="U256" s="10">
        <f t="shared" ca="1" si="40"/>
        <v>307.13620636085125</v>
      </c>
      <c r="V256" s="10">
        <f t="shared" ca="1" si="41"/>
        <v>0</v>
      </c>
    </row>
    <row r="257" spans="12:22" x14ac:dyDescent="0.45">
      <c r="L257" s="9">
        <v>253</v>
      </c>
      <c r="M257" s="10">
        <f t="shared" ca="1" si="42"/>
        <v>304.10882565729815</v>
      </c>
      <c r="N257" s="10">
        <f t="shared" ca="1" si="37"/>
        <v>2.670075978180117E-2</v>
      </c>
      <c r="O257" s="10">
        <f t="shared" ca="1" si="43"/>
        <v>304.19522540144794</v>
      </c>
      <c r="P257" s="10">
        <f t="shared" ca="1" si="44"/>
        <v>307.13620636085125</v>
      </c>
      <c r="Q257" s="10">
        <f t="shared" ca="1" si="45"/>
        <v>1000000000</v>
      </c>
      <c r="R257" s="10">
        <f t="shared" ca="1" si="46"/>
        <v>1000000000</v>
      </c>
      <c r="S257" s="9">
        <f t="shared" ca="1" si="38"/>
        <v>1</v>
      </c>
      <c r="T257" s="10">
        <f t="shared" ca="1" si="39"/>
        <v>304.19522540144794</v>
      </c>
      <c r="U257" s="10">
        <f t="shared" ca="1" si="40"/>
        <v>304.22192616122976</v>
      </c>
      <c r="V257" s="10">
        <f t="shared" ca="1" si="41"/>
        <v>8.6399744149787239E-2</v>
      </c>
    </row>
    <row r="258" spans="12:22" x14ac:dyDescent="0.45">
      <c r="L258" s="9">
        <v>254</v>
      </c>
      <c r="M258" s="10">
        <f t="shared" ca="1" si="42"/>
        <v>305.66498893850456</v>
      </c>
      <c r="N258" s="10">
        <f t="shared" ca="1" si="37"/>
        <v>0.47617172904947314</v>
      </c>
      <c r="O258" s="10">
        <f t="shared" ca="1" si="43"/>
        <v>304.22192616122976</v>
      </c>
      <c r="P258" s="10">
        <f t="shared" ca="1" si="44"/>
        <v>307.13620636085125</v>
      </c>
      <c r="Q258" s="10">
        <f t="shared" ca="1" si="45"/>
        <v>1000000000</v>
      </c>
      <c r="R258" s="10">
        <f t="shared" ca="1" si="46"/>
        <v>1000000000</v>
      </c>
      <c r="S258" s="9">
        <f t="shared" ca="1" si="38"/>
        <v>1</v>
      </c>
      <c r="T258" s="10">
        <f t="shared" ca="1" si="39"/>
        <v>305.66498893850456</v>
      </c>
      <c r="U258" s="10">
        <f t="shared" ca="1" si="40"/>
        <v>306.14116066755406</v>
      </c>
      <c r="V258" s="10">
        <f t="shared" ca="1" si="41"/>
        <v>0</v>
      </c>
    </row>
    <row r="259" spans="12:22" x14ac:dyDescent="0.45">
      <c r="L259" s="9">
        <v>255</v>
      </c>
      <c r="M259" s="10">
        <f t="shared" ca="1" si="42"/>
        <v>306.7939341647122</v>
      </c>
      <c r="N259" s="10">
        <f t="shared" ca="1" si="37"/>
        <v>1.1731917026303162</v>
      </c>
      <c r="O259" s="10">
        <f t="shared" ca="1" si="43"/>
        <v>306.14116066755406</v>
      </c>
      <c r="P259" s="10">
        <f t="shared" ca="1" si="44"/>
        <v>307.13620636085125</v>
      </c>
      <c r="Q259" s="10">
        <f t="shared" ca="1" si="45"/>
        <v>1000000000</v>
      </c>
      <c r="R259" s="10">
        <f t="shared" ca="1" si="46"/>
        <v>1000000000</v>
      </c>
      <c r="S259" s="9">
        <f t="shared" ca="1" si="38"/>
        <v>1</v>
      </c>
      <c r="T259" s="10">
        <f t="shared" ca="1" si="39"/>
        <v>306.7939341647122</v>
      </c>
      <c r="U259" s="10">
        <f t="shared" ca="1" si="40"/>
        <v>307.96712586734253</v>
      </c>
      <c r="V259" s="10">
        <f t="shared" ca="1" si="41"/>
        <v>0</v>
      </c>
    </row>
    <row r="260" spans="12:22" x14ac:dyDescent="0.45">
      <c r="L260" s="9">
        <v>256</v>
      </c>
      <c r="M260" s="10">
        <f t="shared" ca="1" si="42"/>
        <v>313.12104868452678</v>
      </c>
      <c r="N260" s="10">
        <f t="shared" ca="1" si="37"/>
        <v>0.11363945794605729</v>
      </c>
      <c r="O260" s="10">
        <f t="shared" ca="1" si="43"/>
        <v>307.96712586734253</v>
      </c>
      <c r="P260" s="10">
        <f t="shared" ca="1" si="44"/>
        <v>307.13620636085125</v>
      </c>
      <c r="Q260" s="10">
        <f t="shared" ca="1" si="45"/>
        <v>1000000000</v>
      </c>
      <c r="R260" s="10">
        <f t="shared" ca="1" si="46"/>
        <v>1000000000</v>
      </c>
      <c r="S260" s="9">
        <f t="shared" ca="1" si="38"/>
        <v>2</v>
      </c>
      <c r="T260" s="10">
        <f t="shared" ca="1" si="39"/>
        <v>313.12104868452678</v>
      </c>
      <c r="U260" s="10">
        <f t="shared" ca="1" si="40"/>
        <v>313.23468814247286</v>
      </c>
      <c r="V260" s="10">
        <f t="shared" ca="1" si="41"/>
        <v>0</v>
      </c>
    </row>
    <row r="261" spans="12:22" x14ac:dyDescent="0.45">
      <c r="L261" s="9">
        <v>257</v>
      </c>
      <c r="M261" s="10">
        <f t="shared" ca="1" si="42"/>
        <v>315.92099743923222</v>
      </c>
      <c r="N261" s="10">
        <f t="shared" ref="N261:N304" ca="1" si="47">-60/$C$6*LN(1-RAND())</f>
        <v>2.1119357961836984</v>
      </c>
      <c r="O261" s="10">
        <f t="shared" ca="1" si="43"/>
        <v>307.96712586734253</v>
      </c>
      <c r="P261" s="10">
        <f t="shared" ca="1" si="44"/>
        <v>313.23468814247286</v>
      </c>
      <c r="Q261" s="10">
        <f t="shared" ca="1" si="45"/>
        <v>1000000000</v>
      </c>
      <c r="R261" s="10">
        <f t="shared" ca="1" si="46"/>
        <v>1000000000</v>
      </c>
      <c r="S261" s="9">
        <f t="shared" ref="S261:S324" ca="1" si="48">MATCH(MIN(O261:R261),O261:R261,0)</f>
        <v>1</v>
      </c>
      <c r="T261" s="10">
        <f t="shared" ref="T261:T304" ca="1" si="49">MAX(M261,MIN(O261:R261))</f>
        <v>315.92099743923222</v>
      </c>
      <c r="U261" s="10">
        <f t="shared" ref="U261:U324" ca="1" si="50">T261+N261</f>
        <v>318.0329332354159</v>
      </c>
      <c r="V261" s="10">
        <f t="shared" ref="V261:V304" ca="1" si="51">T261-M261</f>
        <v>0</v>
      </c>
    </row>
    <row r="262" spans="12:22" x14ac:dyDescent="0.45">
      <c r="L262" s="9">
        <v>258</v>
      </c>
      <c r="M262" s="10">
        <f t="shared" ref="M262:M304" ca="1" si="52">M261-60/$C$5*LN(1-RAND())</f>
        <v>316.81258613196917</v>
      </c>
      <c r="N262" s="10">
        <f t="shared" ca="1" si="47"/>
        <v>0.62220598004482075</v>
      </c>
      <c r="O262" s="10">
        <f t="shared" ref="O262:O304" ca="1" si="53">IF(S261=1,U261,O261)</f>
        <v>318.0329332354159</v>
      </c>
      <c r="P262" s="10">
        <f t="shared" ref="P262:P304" ca="1" si="54">IF(S261=2,U261,P261)</f>
        <v>313.23468814247286</v>
      </c>
      <c r="Q262" s="10">
        <f t="shared" ref="Q262:Q304" ca="1" si="55">IF(S261=3,U261,Q261)</f>
        <v>1000000000</v>
      </c>
      <c r="R262" s="10">
        <f t="shared" ref="R262:R304" ca="1" si="56">IF(S261=4,U261,R261)</f>
        <v>1000000000</v>
      </c>
      <c r="S262" s="9">
        <f t="shared" ca="1" si="48"/>
        <v>2</v>
      </c>
      <c r="T262" s="10">
        <f t="shared" ca="1" si="49"/>
        <v>316.81258613196917</v>
      </c>
      <c r="U262" s="10">
        <f t="shared" ca="1" si="50"/>
        <v>317.43479211201401</v>
      </c>
      <c r="V262" s="10">
        <f t="shared" ca="1" si="51"/>
        <v>0</v>
      </c>
    </row>
    <row r="263" spans="12:22" x14ac:dyDescent="0.45">
      <c r="L263" s="9">
        <v>259</v>
      </c>
      <c r="M263" s="10">
        <f t="shared" ca="1" si="52"/>
        <v>317.73289213903308</v>
      </c>
      <c r="N263" s="10">
        <f t="shared" ca="1" si="47"/>
        <v>1.7296400514578474</v>
      </c>
      <c r="O263" s="10">
        <f t="shared" ca="1" si="53"/>
        <v>318.0329332354159</v>
      </c>
      <c r="P263" s="10">
        <f t="shared" ca="1" si="54"/>
        <v>317.43479211201401</v>
      </c>
      <c r="Q263" s="10">
        <f t="shared" ca="1" si="55"/>
        <v>1000000000</v>
      </c>
      <c r="R263" s="10">
        <f t="shared" ca="1" si="56"/>
        <v>1000000000</v>
      </c>
      <c r="S263" s="9">
        <f t="shared" ca="1" si="48"/>
        <v>2</v>
      </c>
      <c r="T263" s="10">
        <f t="shared" ca="1" si="49"/>
        <v>317.73289213903308</v>
      </c>
      <c r="U263" s="10">
        <f t="shared" ca="1" si="50"/>
        <v>319.46253219049095</v>
      </c>
      <c r="V263" s="10">
        <f t="shared" ca="1" si="51"/>
        <v>0</v>
      </c>
    </row>
    <row r="264" spans="12:22" x14ac:dyDescent="0.45">
      <c r="L264" s="9">
        <v>260</v>
      </c>
      <c r="M264" s="10">
        <f t="shared" ca="1" si="52"/>
        <v>319.91483740279637</v>
      </c>
      <c r="N264" s="10">
        <f t="shared" ca="1" si="47"/>
        <v>6.5924895048035753E-2</v>
      </c>
      <c r="O264" s="10">
        <f t="shared" ca="1" si="53"/>
        <v>318.0329332354159</v>
      </c>
      <c r="P264" s="10">
        <f t="shared" ca="1" si="54"/>
        <v>319.46253219049095</v>
      </c>
      <c r="Q264" s="10">
        <f t="shared" ca="1" si="55"/>
        <v>1000000000</v>
      </c>
      <c r="R264" s="10">
        <f t="shared" ca="1" si="56"/>
        <v>1000000000</v>
      </c>
      <c r="S264" s="9">
        <f t="shared" ca="1" si="48"/>
        <v>1</v>
      </c>
      <c r="T264" s="10">
        <f t="shared" ca="1" si="49"/>
        <v>319.91483740279637</v>
      </c>
      <c r="U264" s="10">
        <f t="shared" ca="1" si="50"/>
        <v>319.98076229784442</v>
      </c>
      <c r="V264" s="10">
        <f t="shared" ca="1" si="51"/>
        <v>0</v>
      </c>
    </row>
    <row r="265" spans="12:22" x14ac:dyDescent="0.45">
      <c r="L265" s="9">
        <v>261</v>
      </c>
      <c r="M265" s="10">
        <f t="shared" ca="1" si="52"/>
        <v>320.16019150668387</v>
      </c>
      <c r="N265" s="10">
        <f t="shared" ca="1" si="47"/>
        <v>0.21885169997387874</v>
      </c>
      <c r="O265" s="10">
        <f t="shared" ca="1" si="53"/>
        <v>319.98076229784442</v>
      </c>
      <c r="P265" s="10">
        <f t="shared" ca="1" si="54"/>
        <v>319.46253219049095</v>
      </c>
      <c r="Q265" s="10">
        <f t="shared" ca="1" si="55"/>
        <v>1000000000</v>
      </c>
      <c r="R265" s="10">
        <f t="shared" ca="1" si="56"/>
        <v>1000000000</v>
      </c>
      <c r="S265" s="9">
        <f t="shared" ca="1" si="48"/>
        <v>2</v>
      </c>
      <c r="T265" s="10">
        <f t="shared" ca="1" si="49"/>
        <v>320.16019150668387</v>
      </c>
      <c r="U265" s="10">
        <f t="shared" ca="1" si="50"/>
        <v>320.37904320665774</v>
      </c>
      <c r="V265" s="10">
        <f t="shared" ca="1" si="51"/>
        <v>0</v>
      </c>
    </row>
    <row r="266" spans="12:22" x14ac:dyDescent="0.45">
      <c r="L266" s="9">
        <v>262</v>
      </c>
      <c r="M266" s="10">
        <f t="shared" ca="1" si="52"/>
        <v>323.02142016265714</v>
      </c>
      <c r="N266" s="10">
        <f t="shared" ca="1" si="47"/>
        <v>2.13955678291271</v>
      </c>
      <c r="O266" s="10">
        <f t="shared" ca="1" si="53"/>
        <v>319.98076229784442</v>
      </c>
      <c r="P266" s="10">
        <f t="shared" ca="1" si="54"/>
        <v>320.37904320665774</v>
      </c>
      <c r="Q266" s="10">
        <f t="shared" ca="1" si="55"/>
        <v>1000000000</v>
      </c>
      <c r="R266" s="10">
        <f t="shared" ca="1" si="56"/>
        <v>1000000000</v>
      </c>
      <c r="S266" s="9">
        <f t="shared" ca="1" si="48"/>
        <v>1</v>
      </c>
      <c r="T266" s="10">
        <f t="shared" ca="1" si="49"/>
        <v>323.02142016265714</v>
      </c>
      <c r="U266" s="10">
        <f t="shared" ca="1" si="50"/>
        <v>325.16097694556987</v>
      </c>
      <c r="V266" s="10">
        <f t="shared" ca="1" si="51"/>
        <v>0</v>
      </c>
    </row>
    <row r="267" spans="12:22" x14ac:dyDescent="0.45">
      <c r="L267" s="9">
        <v>263</v>
      </c>
      <c r="M267" s="10">
        <f t="shared" ca="1" si="52"/>
        <v>323.18792555894845</v>
      </c>
      <c r="N267" s="10">
        <f t="shared" ca="1" si="47"/>
        <v>3.7357771200110541</v>
      </c>
      <c r="O267" s="10">
        <f t="shared" ca="1" si="53"/>
        <v>325.16097694556987</v>
      </c>
      <c r="P267" s="10">
        <f t="shared" ca="1" si="54"/>
        <v>320.37904320665774</v>
      </c>
      <c r="Q267" s="10">
        <f t="shared" ca="1" si="55"/>
        <v>1000000000</v>
      </c>
      <c r="R267" s="10">
        <f t="shared" ca="1" si="56"/>
        <v>1000000000</v>
      </c>
      <c r="S267" s="9">
        <f t="shared" ca="1" si="48"/>
        <v>2</v>
      </c>
      <c r="T267" s="10">
        <f t="shared" ca="1" si="49"/>
        <v>323.18792555894845</v>
      </c>
      <c r="U267" s="10">
        <f t="shared" ca="1" si="50"/>
        <v>326.9237026789595</v>
      </c>
      <c r="V267" s="10">
        <f t="shared" ca="1" si="51"/>
        <v>0</v>
      </c>
    </row>
    <row r="268" spans="12:22" x14ac:dyDescent="0.45">
      <c r="L268" s="9">
        <v>264</v>
      </c>
      <c r="M268" s="10">
        <f t="shared" ca="1" si="52"/>
        <v>324.43288845057691</v>
      </c>
      <c r="N268" s="10">
        <f t="shared" ca="1" si="47"/>
        <v>0.6126808796745371</v>
      </c>
      <c r="O268" s="10">
        <f t="shared" ca="1" si="53"/>
        <v>325.16097694556987</v>
      </c>
      <c r="P268" s="10">
        <f t="shared" ca="1" si="54"/>
        <v>326.9237026789595</v>
      </c>
      <c r="Q268" s="10">
        <f t="shared" ca="1" si="55"/>
        <v>1000000000</v>
      </c>
      <c r="R268" s="10">
        <f t="shared" ca="1" si="56"/>
        <v>1000000000</v>
      </c>
      <c r="S268" s="9">
        <f t="shared" ca="1" si="48"/>
        <v>1</v>
      </c>
      <c r="T268" s="10">
        <f t="shared" ca="1" si="49"/>
        <v>325.16097694556987</v>
      </c>
      <c r="U268" s="10">
        <f t="shared" ca="1" si="50"/>
        <v>325.77365782524441</v>
      </c>
      <c r="V268" s="10">
        <f t="shared" ca="1" si="51"/>
        <v>0.72808849499296002</v>
      </c>
    </row>
    <row r="269" spans="12:22" x14ac:dyDescent="0.45">
      <c r="L269" s="9">
        <v>265</v>
      </c>
      <c r="M269" s="10">
        <f t="shared" ca="1" si="52"/>
        <v>324.77614914449828</v>
      </c>
      <c r="N269" s="10">
        <f t="shared" ca="1" si="47"/>
        <v>0.41918974837845896</v>
      </c>
      <c r="O269" s="10">
        <f t="shared" ca="1" si="53"/>
        <v>325.77365782524441</v>
      </c>
      <c r="P269" s="10">
        <f t="shared" ca="1" si="54"/>
        <v>326.9237026789595</v>
      </c>
      <c r="Q269" s="10">
        <f t="shared" ca="1" si="55"/>
        <v>1000000000</v>
      </c>
      <c r="R269" s="10">
        <f t="shared" ca="1" si="56"/>
        <v>1000000000</v>
      </c>
      <c r="S269" s="9">
        <f t="shared" ca="1" si="48"/>
        <v>1</v>
      </c>
      <c r="T269" s="10">
        <f t="shared" ca="1" si="49"/>
        <v>325.77365782524441</v>
      </c>
      <c r="U269" s="10">
        <f t="shared" ca="1" si="50"/>
        <v>326.19284757362288</v>
      </c>
      <c r="V269" s="10">
        <f t="shared" ca="1" si="51"/>
        <v>0.99750868074613663</v>
      </c>
    </row>
    <row r="270" spans="12:22" x14ac:dyDescent="0.45">
      <c r="L270" s="9">
        <v>266</v>
      </c>
      <c r="M270" s="10">
        <f t="shared" ca="1" si="52"/>
        <v>325.07898451274059</v>
      </c>
      <c r="N270" s="10">
        <f t="shared" ca="1" si="47"/>
        <v>0.12931997894292896</v>
      </c>
      <c r="O270" s="10">
        <f t="shared" ca="1" si="53"/>
        <v>326.19284757362288</v>
      </c>
      <c r="P270" s="10">
        <f t="shared" ca="1" si="54"/>
        <v>326.9237026789595</v>
      </c>
      <c r="Q270" s="10">
        <f t="shared" ca="1" si="55"/>
        <v>1000000000</v>
      </c>
      <c r="R270" s="10">
        <f t="shared" ca="1" si="56"/>
        <v>1000000000</v>
      </c>
      <c r="S270" s="9">
        <f t="shared" ca="1" si="48"/>
        <v>1</v>
      </c>
      <c r="T270" s="10">
        <f t="shared" ca="1" si="49"/>
        <v>326.19284757362288</v>
      </c>
      <c r="U270" s="10">
        <f t="shared" ca="1" si="50"/>
        <v>326.32216755256582</v>
      </c>
      <c r="V270" s="10">
        <f t="shared" ca="1" si="51"/>
        <v>1.113863060882295</v>
      </c>
    </row>
    <row r="271" spans="12:22" x14ac:dyDescent="0.45">
      <c r="L271" s="9">
        <v>267</v>
      </c>
      <c r="M271" s="10">
        <f t="shared" ca="1" si="52"/>
        <v>326.15964620311371</v>
      </c>
      <c r="N271" s="10">
        <f t="shared" ca="1" si="47"/>
        <v>0.44375693022681828</v>
      </c>
      <c r="O271" s="10">
        <f t="shared" ca="1" si="53"/>
        <v>326.32216755256582</v>
      </c>
      <c r="P271" s="10">
        <f t="shared" ca="1" si="54"/>
        <v>326.9237026789595</v>
      </c>
      <c r="Q271" s="10">
        <f t="shared" ca="1" si="55"/>
        <v>1000000000</v>
      </c>
      <c r="R271" s="10">
        <f t="shared" ca="1" si="56"/>
        <v>1000000000</v>
      </c>
      <c r="S271" s="9">
        <f t="shared" ca="1" si="48"/>
        <v>1</v>
      </c>
      <c r="T271" s="10">
        <f t="shared" ca="1" si="49"/>
        <v>326.32216755256582</v>
      </c>
      <c r="U271" s="10">
        <f t="shared" ca="1" si="50"/>
        <v>326.76592448279263</v>
      </c>
      <c r="V271" s="10">
        <f t="shared" ca="1" si="51"/>
        <v>0.16252134945210628</v>
      </c>
    </row>
    <row r="272" spans="12:22" x14ac:dyDescent="0.45">
      <c r="L272" s="9">
        <v>268</v>
      </c>
      <c r="M272" s="10">
        <f t="shared" ca="1" si="52"/>
        <v>326.27454388290363</v>
      </c>
      <c r="N272" s="10">
        <f t="shared" ca="1" si="47"/>
        <v>1.1909909317054641</v>
      </c>
      <c r="O272" s="10">
        <f t="shared" ca="1" si="53"/>
        <v>326.76592448279263</v>
      </c>
      <c r="P272" s="10">
        <f t="shared" ca="1" si="54"/>
        <v>326.9237026789595</v>
      </c>
      <c r="Q272" s="10">
        <f t="shared" ca="1" si="55"/>
        <v>1000000000</v>
      </c>
      <c r="R272" s="10">
        <f t="shared" ca="1" si="56"/>
        <v>1000000000</v>
      </c>
      <c r="S272" s="9">
        <f t="shared" ca="1" si="48"/>
        <v>1</v>
      </c>
      <c r="T272" s="10">
        <f t="shared" ca="1" si="49"/>
        <v>326.76592448279263</v>
      </c>
      <c r="U272" s="10">
        <f t="shared" ca="1" si="50"/>
        <v>327.9569154144981</v>
      </c>
      <c r="V272" s="10">
        <f t="shared" ca="1" si="51"/>
        <v>0.4913805998889984</v>
      </c>
    </row>
    <row r="273" spans="12:22" x14ac:dyDescent="0.45">
      <c r="L273" s="9">
        <v>269</v>
      </c>
      <c r="M273" s="10">
        <f t="shared" ca="1" si="52"/>
        <v>326.55919788511136</v>
      </c>
      <c r="N273" s="10">
        <f t="shared" ca="1" si="47"/>
        <v>0.72847549397018996</v>
      </c>
      <c r="O273" s="10">
        <f t="shared" ca="1" si="53"/>
        <v>327.9569154144981</v>
      </c>
      <c r="P273" s="10">
        <f t="shared" ca="1" si="54"/>
        <v>326.9237026789595</v>
      </c>
      <c r="Q273" s="10">
        <f t="shared" ca="1" si="55"/>
        <v>1000000000</v>
      </c>
      <c r="R273" s="10">
        <f t="shared" ca="1" si="56"/>
        <v>1000000000</v>
      </c>
      <c r="S273" s="9">
        <f t="shared" ca="1" si="48"/>
        <v>2</v>
      </c>
      <c r="T273" s="10">
        <f t="shared" ca="1" si="49"/>
        <v>326.9237026789595</v>
      </c>
      <c r="U273" s="10">
        <f t="shared" ca="1" si="50"/>
        <v>327.65217817292967</v>
      </c>
      <c r="V273" s="10">
        <f t="shared" ca="1" si="51"/>
        <v>0.36450479384814116</v>
      </c>
    </row>
    <row r="274" spans="12:22" x14ac:dyDescent="0.45">
      <c r="L274" s="9">
        <v>270</v>
      </c>
      <c r="M274" s="10">
        <f t="shared" ca="1" si="52"/>
        <v>327.44152195799575</v>
      </c>
      <c r="N274" s="10">
        <f t="shared" ca="1" si="47"/>
        <v>2.6736592945975262</v>
      </c>
      <c r="O274" s="10">
        <f t="shared" ca="1" si="53"/>
        <v>327.9569154144981</v>
      </c>
      <c r="P274" s="10">
        <f t="shared" ca="1" si="54"/>
        <v>327.65217817292967</v>
      </c>
      <c r="Q274" s="10">
        <f t="shared" ca="1" si="55"/>
        <v>1000000000</v>
      </c>
      <c r="R274" s="10">
        <f t="shared" ca="1" si="56"/>
        <v>1000000000</v>
      </c>
      <c r="S274" s="9">
        <f t="shared" ca="1" si="48"/>
        <v>2</v>
      </c>
      <c r="T274" s="10">
        <f t="shared" ca="1" si="49"/>
        <v>327.65217817292967</v>
      </c>
      <c r="U274" s="10">
        <f t="shared" ca="1" si="50"/>
        <v>330.32583746752721</v>
      </c>
      <c r="V274" s="10">
        <f t="shared" ca="1" si="51"/>
        <v>0.21065621493391973</v>
      </c>
    </row>
    <row r="275" spans="12:22" x14ac:dyDescent="0.45">
      <c r="L275" s="9">
        <v>271</v>
      </c>
      <c r="M275" s="10">
        <f t="shared" ca="1" si="52"/>
        <v>329.07653466199929</v>
      </c>
      <c r="N275" s="10">
        <f t="shared" ca="1" si="47"/>
        <v>0.24854301902655337</v>
      </c>
      <c r="O275" s="10">
        <f t="shared" ca="1" si="53"/>
        <v>327.9569154144981</v>
      </c>
      <c r="P275" s="10">
        <f t="shared" ca="1" si="54"/>
        <v>330.32583746752721</v>
      </c>
      <c r="Q275" s="10">
        <f t="shared" ca="1" si="55"/>
        <v>1000000000</v>
      </c>
      <c r="R275" s="10">
        <f t="shared" ca="1" si="56"/>
        <v>1000000000</v>
      </c>
      <c r="S275" s="9">
        <f t="shared" ca="1" si="48"/>
        <v>1</v>
      </c>
      <c r="T275" s="10">
        <f t="shared" ca="1" si="49"/>
        <v>329.07653466199929</v>
      </c>
      <c r="U275" s="10">
        <f t="shared" ca="1" si="50"/>
        <v>329.32507768102585</v>
      </c>
      <c r="V275" s="10">
        <f t="shared" ca="1" si="51"/>
        <v>0</v>
      </c>
    </row>
    <row r="276" spans="12:22" x14ac:dyDescent="0.45">
      <c r="L276" s="9">
        <v>272</v>
      </c>
      <c r="M276" s="10">
        <f t="shared" ca="1" si="52"/>
        <v>329.1546257412179</v>
      </c>
      <c r="N276" s="10">
        <f t="shared" ca="1" si="47"/>
        <v>0.35990113329264117</v>
      </c>
      <c r="O276" s="10">
        <f t="shared" ca="1" si="53"/>
        <v>329.32507768102585</v>
      </c>
      <c r="P276" s="10">
        <f t="shared" ca="1" si="54"/>
        <v>330.32583746752721</v>
      </c>
      <c r="Q276" s="10">
        <f t="shared" ca="1" si="55"/>
        <v>1000000000</v>
      </c>
      <c r="R276" s="10">
        <f t="shared" ca="1" si="56"/>
        <v>1000000000</v>
      </c>
      <c r="S276" s="9">
        <f t="shared" ca="1" si="48"/>
        <v>1</v>
      </c>
      <c r="T276" s="10">
        <f t="shared" ca="1" si="49"/>
        <v>329.32507768102585</v>
      </c>
      <c r="U276" s="10">
        <f t="shared" ca="1" si="50"/>
        <v>329.68497881431847</v>
      </c>
      <c r="V276" s="10">
        <f t="shared" ca="1" si="51"/>
        <v>0.17045193980794693</v>
      </c>
    </row>
    <row r="277" spans="12:22" x14ac:dyDescent="0.45">
      <c r="L277" s="9">
        <v>273</v>
      </c>
      <c r="M277" s="10">
        <f t="shared" ca="1" si="52"/>
        <v>337.99266552460443</v>
      </c>
      <c r="N277" s="10">
        <f t="shared" ca="1" si="47"/>
        <v>0.1805862144417634</v>
      </c>
      <c r="O277" s="10">
        <f t="shared" ca="1" si="53"/>
        <v>329.68497881431847</v>
      </c>
      <c r="P277" s="10">
        <f t="shared" ca="1" si="54"/>
        <v>330.32583746752721</v>
      </c>
      <c r="Q277" s="10">
        <f t="shared" ca="1" si="55"/>
        <v>1000000000</v>
      </c>
      <c r="R277" s="10">
        <f t="shared" ca="1" si="56"/>
        <v>1000000000</v>
      </c>
      <c r="S277" s="9">
        <f t="shared" ca="1" si="48"/>
        <v>1</v>
      </c>
      <c r="T277" s="10">
        <f t="shared" ca="1" si="49"/>
        <v>337.99266552460443</v>
      </c>
      <c r="U277" s="10">
        <f t="shared" ca="1" si="50"/>
        <v>338.17325173904618</v>
      </c>
      <c r="V277" s="10">
        <f t="shared" ca="1" si="51"/>
        <v>0</v>
      </c>
    </row>
    <row r="278" spans="12:22" x14ac:dyDescent="0.45">
      <c r="L278" s="9">
        <v>274</v>
      </c>
      <c r="M278" s="10">
        <f t="shared" ca="1" si="52"/>
        <v>338.19710443134079</v>
      </c>
      <c r="N278" s="10">
        <f t="shared" ca="1" si="47"/>
        <v>0.67085819265052615</v>
      </c>
      <c r="O278" s="10">
        <f t="shared" ca="1" si="53"/>
        <v>338.17325173904618</v>
      </c>
      <c r="P278" s="10">
        <f t="shared" ca="1" si="54"/>
        <v>330.32583746752721</v>
      </c>
      <c r="Q278" s="10">
        <f t="shared" ca="1" si="55"/>
        <v>1000000000</v>
      </c>
      <c r="R278" s="10">
        <f t="shared" ca="1" si="56"/>
        <v>1000000000</v>
      </c>
      <c r="S278" s="9">
        <f t="shared" ca="1" si="48"/>
        <v>2</v>
      </c>
      <c r="T278" s="10">
        <f t="shared" ca="1" si="49"/>
        <v>338.19710443134079</v>
      </c>
      <c r="U278" s="10">
        <f t="shared" ca="1" si="50"/>
        <v>338.86796262399133</v>
      </c>
      <c r="V278" s="10">
        <f t="shared" ca="1" si="51"/>
        <v>0</v>
      </c>
    </row>
    <row r="279" spans="12:22" x14ac:dyDescent="0.45">
      <c r="L279" s="9">
        <v>275</v>
      </c>
      <c r="M279" s="10">
        <f t="shared" ca="1" si="52"/>
        <v>338.8759230102691</v>
      </c>
      <c r="N279" s="10">
        <f t="shared" ca="1" si="47"/>
        <v>1.3923850155738087</v>
      </c>
      <c r="O279" s="10">
        <f t="shared" ca="1" si="53"/>
        <v>338.17325173904618</v>
      </c>
      <c r="P279" s="10">
        <f t="shared" ca="1" si="54"/>
        <v>338.86796262399133</v>
      </c>
      <c r="Q279" s="10">
        <f t="shared" ca="1" si="55"/>
        <v>1000000000</v>
      </c>
      <c r="R279" s="10">
        <f t="shared" ca="1" si="56"/>
        <v>1000000000</v>
      </c>
      <c r="S279" s="9">
        <f t="shared" ca="1" si="48"/>
        <v>1</v>
      </c>
      <c r="T279" s="10">
        <f t="shared" ca="1" si="49"/>
        <v>338.8759230102691</v>
      </c>
      <c r="U279" s="10">
        <f t="shared" ca="1" si="50"/>
        <v>340.26830802584294</v>
      </c>
      <c r="V279" s="10">
        <f t="shared" ca="1" si="51"/>
        <v>0</v>
      </c>
    </row>
    <row r="280" spans="12:22" x14ac:dyDescent="0.45">
      <c r="L280" s="9">
        <v>276</v>
      </c>
      <c r="M280" s="10">
        <f t="shared" ca="1" si="52"/>
        <v>339.61608700462205</v>
      </c>
      <c r="N280" s="10">
        <f t="shared" ca="1" si="47"/>
        <v>1.8388735806776091</v>
      </c>
      <c r="O280" s="10">
        <f t="shared" ca="1" si="53"/>
        <v>340.26830802584294</v>
      </c>
      <c r="P280" s="10">
        <f t="shared" ca="1" si="54"/>
        <v>338.86796262399133</v>
      </c>
      <c r="Q280" s="10">
        <f t="shared" ca="1" si="55"/>
        <v>1000000000</v>
      </c>
      <c r="R280" s="10">
        <f t="shared" ca="1" si="56"/>
        <v>1000000000</v>
      </c>
      <c r="S280" s="9">
        <f t="shared" ca="1" si="48"/>
        <v>2</v>
      </c>
      <c r="T280" s="10">
        <f t="shared" ca="1" si="49"/>
        <v>339.61608700462205</v>
      </c>
      <c r="U280" s="10">
        <f t="shared" ca="1" si="50"/>
        <v>341.45496058529966</v>
      </c>
      <c r="V280" s="10">
        <f t="shared" ca="1" si="51"/>
        <v>0</v>
      </c>
    </row>
    <row r="281" spans="12:22" x14ac:dyDescent="0.45">
      <c r="L281" s="9">
        <v>277</v>
      </c>
      <c r="M281" s="10">
        <f t="shared" ca="1" si="52"/>
        <v>343.0759167486645</v>
      </c>
      <c r="N281" s="10">
        <f t="shared" ca="1" si="47"/>
        <v>1.528163364529928</v>
      </c>
      <c r="O281" s="10">
        <f t="shared" ca="1" si="53"/>
        <v>340.26830802584294</v>
      </c>
      <c r="P281" s="10">
        <f t="shared" ca="1" si="54"/>
        <v>341.45496058529966</v>
      </c>
      <c r="Q281" s="10">
        <f t="shared" ca="1" si="55"/>
        <v>1000000000</v>
      </c>
      <c r="R281" s="10">
        <f t="shared" ca="1" si="56"/>
        <v>1000000000</v>
      </c>
      <c r="S281" s="9">
        <f t="shared" ca="1" si="48"/>
        <v>1</v>
      </c>
      <c r="T281" s="10">
        <f t="shared" ca="1" si="49"/>
        <v>343.0759167486645</v>
      </c>
      <c r="U281" s="10">
        <f t="shared" ca="1" si="50"/>
        <v>344.60408011319441</v>
      </c>
      <c r="V281" s="10">
        <f t="shared" ca="1" si="51"/>
        <v>0</v>
      </c>
    </row>
    <row r="282" spans="12:22" x14ac:dyDescent="0.45">
      <c r="L282" s="9">
        <v>278</v>
      </c>
      <c r="M282" s="10">
        <f t="shared" ca="1" si="52"/>
        <v>345.93607689340536</v>
      </c>
      <c r="N282" s="10">
        <f t="shared" ca="1" si="47"/>
        <v>1.5780401707807652</v>
      </c>
      <c r="O282" s="10">
        <f t="shared" ca="1" si="53"/>
        <v>344.60408011319441</v>
      </c>
      <c r="P282" s="10">
        <f t="shared" ca="1" si="54"/>
        <v>341.45496058529966</v>
      </c>
      <c r="Q282" s="10">
        <f t="shared" ca="1" si="55"/>
        <v>1000000000</v>
      </c>
      <c r="R282" s="10">
        <f t="shared" ca="1" si="56"/>
        <v>1000000000</v>
      </c>
      <c r="S282" s="9">
        <f t="shared" ca="1" si="48"/>
        <v>2</v>
      </c>
      <c r="T282" s="10">
        <f t="shared" ca="1" si="49"/>
        <v>345.93607689340536</v>
      </c>
      <c r="U282" s="10">
        <f t="shared" ca="1" si="50"/>
        <v>347.51411706418611</v>
      </c>
      <c r="V282" s="10">
        <f t="shared" ca="1" si="51"/>
        <v>0</v>
      </c>
    </row>
    <row r="283" spans="12:22" x14ac:dyDescent="0.45">
      <c r="L283" s="9">
        <v>279</v>
      </c>
      <c r="M283" s="10">
        <f t="shared" ca="1" si="52"/>
        <v>346.1927406633568</v>
      </c>
      <c r="N283" s="10">
        <f t="shared" ca="1" si="47"/>
        <v>0.18605601695812007</v>
      </c>
      <c r="O283" s="10">
        <f t="shared" ca="1" si="53"/>
        <v>344.60408011319441</v>
      </c>
      <c r="P283" s="10">
        <f t="shared" ca="1" si="54"/>
        <v>347.51411706418611</v>
      </c>
      <c r="Q283" s="10">
        <f t="shared" ca="1" si="55"/>
        <v>1000000000</v>
      </c>
      <c r="R283" s="10">
        <f t="shared" ca="1" si="56"/>
        <v>1000000000</v>
      </c>
      <c r="S283" s="9">
        <f t="shared" ca="1" si="48"/>
        <v>1</v>
      </c>
      <c r="T283" s="10">
        <f t="shared" ca="1" si="49"/>
        <v>346.1927406633568</v>
      </c>
      <c r="U283" s="10">
        <f t="shared" ca="1" si="50"/>
        <v>346.37879668031491</v>
      </c>
      <c r="V283" s="10">
        <f t="shared" ca="1" si="51"/>
        <v>0</v>
      </c>
    </row>
    <row r="284" spans="12:22" x14ac:dyDescent="0.45">
      <c r="L284" s="9">
        <v>280</v>
      </c>
      <c r="M284" s="10">
        <f t="shared" ca="1" si="52"/>
        <v>346.23855758105628</v>
      </c>
      <c r="N284" s="10">
        <f t="shared" ca="1" si="47"/>
        <v>1.3265282395810103</v>
      </c>
      <c r="O284" s="10">
        <f t="shared" ca="1" si="53"/>
        <v>346.37879668031491</v>
      </c>
      <c r="P284" s="10">
        <f t="shared" ca="1" si="54"/>
        <v>347.51411706418611</v>
      </c>
      <c r="Q284" s="10">
        <f t="shared" ca="1" si="55"/>
        <v>1000000000</v>
      </c>
      <c r="R284" s="10">
        <f t="shared" ca="1" si="56"/>
        <v>1000000000</v>
      </c>
      <c r="S284" s="9">
        <f t="shared" ca="1" si="48"/>
        <v>1</v>
      </c>
      <c r="T284" s="10">
        <f t="shared" ca="1" si="49"/>
        <v>346.37879668031491</v>
      </c>
      <c r="U284" s="10">
        <f t="shared" ca="1" si="50"/>
        <v>347.70532491989593</v>
      </c>
      <c r="V284" s="10">
        <f t="shared" ca="1" si="51"/>
        <v>0.14023909925862199</v>
      </c>
    </row>
    <row r="285" spans="12:22" x14ac:dyDescent="0.45">
      <c r="L285" s="9">
        <v>281</v>
      </c>
      <c r="M285" s="10">
        <f t="shared" ca="1" si="52"/>
        <v>347.8540343387013</v>
      </c>
      <c r="N285" s="10">
        <f t="shared" ca="1" si="47"/>
        <v>1.2094049407885195</v>
      </c>
      <c r="O285" s="10">
        <f t="shared" ca="1" si="53"/>
        <v>347.70532491989593</v>
      </c>
      <c r="P285" s="10">
        <f t="shared" ca="1" si="54"/>
        <v>347.51411706418611</v>
      </c>
      <c r="Q285" s="10">
        <f t="shared" ca="1" si="55"/>
        <v>1000000000</v>
      </c>
      <c r="R285" s="10">
        <f t="shared" ca="1" si="56"/>
        <v>1000000000</v>
      </c>
      <c r="S285" s="9">
        <f t="shared" ca="1" si="48"/>
        <v>2</v>
      </c>
      <c r="T285" s="10">
        <f t="shared" ca="1" si="49"/>
        <v>347.8540343387013</v>
      </c>
      <c r="U285" s="10">
        <f t="shared" ca="1" si="50"/>
        <v>349.06343927948984</v>
      </c>
      <c r="V285" s="10">
        <f t="shared" ca="1" si="51"/>
        <v>0</v>
      </c>
    </row>
    <row r="286" spans="12:22" x14ac:dyDescent="0.45">
      <c r="L286" s="9">
        <v>282</v>
      </c>
      <c r="M286" s="10">
        <f t="shared" ca="1" si="52"/>
        <v>349.52687521188523</v>
      </c>
      <c r="N286" s="10">
        <f t="shared" ca="1" si="47"/>
        <v>1.0995920199831855</v>
      </c>
      <c r="O286" s="10">
        <f t="shared" ca="1" si="53"/>
        <v>347.70532491989593</v>
      </c>
      <c r="P286" s="10">
        <f t="shared" ca="1" si="54"/>
        <v>349.06343927948984</v>
      </c>
      <c r="Q286" s="10">
        <f t="shared" ca="1" si="55"/>
        <v>1000000000</v>
      </c>
      <c r="R286" s="10">
        <f t="shared" ca="1" si="56"/>
        <v>1000000000</v>
      </c>
      <c r="S286" s="9">
        <f t="shared" ca="1" si="48"/>
        <v>1</v>
      </c>
      <c r="T286" s="10">
        <f t="shared" ca="1" si="49"/>
        <v>349.52687521188523</v>
      </c>
      <c r="U286" s="10">
        <f t="shared" ca="1" si="50"/>
        <v>350.62646723186839</v>
      </c>
      <c r="V286" s="10">
        <f t="shared" ca="1" si="51"/>
        <v>0</v>
      </c>
    </row>
    <row r="287" spans="12:22" x14ac:dyDescent="0.45">
      <c r="L287" s="9">
        <v>283</v>
      </c>
      <c r="M287" s="10">
        <f t="shared" ca="1" si="52"/>
        <v>349.92132900988724</v>
      </c>
      <c r="N287" s="10">
        <f t="shared" ca="1" si="47"/>
        <v>0.36381420232424438</v>
      </c>
      <c r="O287" s="10">
        <f t="shared" ca="1" si="53"/>
        <v>350.62646723186839</v>
      </c>
      <c r="P287" s="10">
        <f t="shared" ca="1" si="54"/>
        <v>349.06343927948984</v>
      </c>
      <c r="Q287" s="10">
        <f t="shared" ca="1" si="55"/>
        <v>1000000000</v>
      </c>
      <c r="R287" s="10">
        <f t="shared" ca="1" si="56"/>
        <v>1000000000</v>
      </c>
      <c r="S287" s="9">
        <f t="shared" ca="1" si="48"/>
        <v>2</v>
      </c>
      <c r="T287" s="10">
        <f t="shared" ca="1" si="49"/>
        <v>349.92132900988724</v>
      </c>
      <c r="U287" s="10">
        <f t="shared" ca="1" si="50"/>
        <v>350.28514321221149</v>
      </c>
      <c r="V287" s="10">
        <f t="shared" ca="1" si="51"/>
        <v>0</v>
      </c>
    </row>
    <row r="288" spans="12:22" x14ac:dyDescent="0.45">
      <c r="L288" s="9">
        <v>284</v>
      </c>
      <c r="M288" s="10">
        <f t="shared" ca="1" si="52"/>
        <v>351.08370441713987</v>
      </c>
      <c r="N288" s="10">
        <f t="shared" ca="1" si="47"/>
        <v>1.0443362225733284</v>
      </c>
      <c r="O288" s="10">
        <f t="shared" ca="1" si="53"/>
        <v>350.62646723186839</v>
      </c>
      <c r="P288" s="10">
        <f t="shared" ca="1" si="54"/>
        <v>350.28514321221149</v>
      </c>
      <c r="Q288" s="10">
        <f t="shared" ca="1" si="55"/>
        <v>1000000000</v>
      </c>
      <c r="R288" s="10">
        <f t="shared" ca="1" si="56"/>
        <v>1000000000</v>
      </c>
      <c r="S288" s="9">
        <f t="shared" ca="1" si="48"/>
        <v>2</v>
      </c>
      <c r="T288" s="10">
        <f t="shared" ca="1" si="49"/>
        <v>351.08370441713987</v>
      </c>
      <c r="U288" s="10">
        <f t="shared" ca="1" si="50"/>
        <v>352.12804063971322</v>
      </c>
      <c r="V288" s="10">
        <f t="shared" ca="1" si="51"/>
        <v>0</v>
      </c>
    </row>
    <row r="289" spans="12:22" x14ac:dyDescent="0.45">
      <c r="L289" s="9">
        <v>285</v>
      </c>
      <c r="M289" s="10">
        <f t="shared" ca="1" si="52"/>
        <v>351.95935105043327</v>
      </c>
      <c r="N289" s="10">
        <f t="shared" ca="1" si="47"/>
        <v>1.1451076080576075</v>
      </c>
      <c r="O289" s="10">
        <f t="shared" ca="1" si="53"/>
        <v>350.62646723186839</v>
      </c>
      <c r="P289" s="10">
        <f t="shared" ca="1" si="54"/>
        <v>352.12804063971322</v>
      </c>
      <c r="Q289" s="10">
        <f t="shared" ca="1" si="55"/>
        <v>1000000000</v>
      </c>
      <c r="R289" s="10">
        <f t="shared" ca="1" si="56"/>
        <v>1000000000</v>
      </c>
      <c r="S289" s="9">
        <f t="shared" ca="1" si="48"/>
        <v>1</v>
      </c>
      <c r="T289" s="10">
        <f t="shared" ca="1" si="49"/>
        <v>351.95935105043327</v>
      </c>
      <c r="U289" s="10">
        <f t="shared" ca="1" si="50"/>
        <v>353.1044586584909</v>
      </c>
      <c r="V289" s="10">
        <f t="shared" ca="1" si="51"/>
        <v>0</v>
      </c>
    </row>
    <row r="290" spans="12:22" x14ac:dyDescent="0.45">
      <c r="L290" s="9">
        <v>286</v>
      </c>
      <c r="M290" s="10">
        <f t="shared" ca="1" si="52"/>
        <v>351.96300703289597</v>
      </c>
      <c r="N290" s="10">
        <f t="shared" ca="1" si="47"/>
        <v>1.439380750324234</v>
      </c>
      <c r="O290" s="10">
        <f t="shared" ca="1" si="53"/>
        <v>353.1044586584909</v>
      </c>
      <c r="P290" s="10">
        <f t="shared" ca="1" si="54"/>
        <v>352.12804063971322</v>
      </c>
      <c r="Q290" s="10">
        <f t="shared" ca="1" si="55"/>
        <v>1000000000</v>
      </c>
      <c r="R290" s="10">
        <f t="shared" ca="1" si="56"/>
        <v>1000000000</v>
      </c>
      <c r="S290" s="9">
        <f t="shared" ca="1" si="48"/>
        <v>2</v>
      </c>
      <c r="T290" s="10">
        <f t="shared" ca="1" si="49"/>
        <v>352.12804063971322</v>
      </c>
      <c r="U290" s="10">
        <f t="shared" ca="1" si="50"/>
        <v>353.56742139003745</v>
      </c>
      <c r="V290" s="10">
        <f t="shared" ca="1" si="51"/>
        <v>0.16503360681724644</v>
      </c>
    </row>
    <row r="291" spans="12:22" x14ac:dyDescent="0.45">
      <c r="L291" s="9">
        <v>287</v>
      </c>
      <c r="M291" s="10">
        <f t="shared" ca="1" si="52"/>
        <v>352.31317767028537</v>
      </c>
      <c r="N291" s="10">
        <f t="shared" ca="1" si="47"/>
        <v>0.13943919694733542</v>
      </c>
      <c r="O291" s="10">
        <f t="shared" ca="1" si="53"/>
        <v>353.1044586584909</v>
      </c>
      <c r="P291" s="10">
        <f t="shared" ca="1" si="54"/>
        <v>353.56742139003745</v>
      </c>
      <c r="Q291" s="10">
        <f t="shared" ca="1" si="55"/>
        <v>1000000000</v>
      </c>
      <c r="R291" s="10">
        <f t="shared" ca="1" si="56"/>
        <v>1000000000</v>
      </c>
      <c r="S291" s="9">
        <f t="shared" ca="1" si="48"/>
        <v>1</v>
      </c>
      <c r="T291" s="10">
        <f t="shared" ca="1" si="49"/>
        <v>353.1044586584909</v>
      </c>
      <c r="U291" s="10">
        <f t="shared" ca="1" si="50"/>
        <v>353.24389785543821</v>
      </c>
      <c r="V291" s="10">
        <f t="shared" ca="1" si="51"/>
        <v>0.7912809882055285</v>
      </c>
    </row>
    <row r="292" spans="12:22" x14ac:dyDescent="0.45">
      <c r="L292" s="9">
        <v>288</v>
      </c>
      <c r="M292" s="10">
        <f t="shared" ca="1" si="52"/>
        <v>352.62758431789808</v>
      </c>
      <c r="N292" s="10">
        <f t="shared" ca="1" si="47"/>
        <v>0.25305568847864918</v>
      </c>
      <c r="O292" s="10">
        <f t="shared" ca="1" si="53"/>
        <v>353.24389785543821</v>
      </c>
      <c r="P292" s="10">
        <f t="shared" ca="1" si="54"/>
        <v>353.56742139003745</v>
      </c>
      <c r="Q292" s="10">
        <f t="shared" ca="1" si="55"/>
        <v>1000000000</v>
      </c>
      <c r="R292" s="10">
        <f t="shared" ca="1" si="56"/>
        <v>1000000000</v>
      </c>
      <c r="S292" s="9">
        <f t="shared" ca="1" si="48"/>
        <v>1</v>
      </c>
      <c r="T292" s="10">
        <f t="shared" ca="1" si="49"/>
        <v>353.24389785543821</v>
      </c>
      <c r="U292" s="10">
        <f t="shared" ca="1" si="50"/>
        <v>353.49695354391685</v>
      </c>
      <c r="V292" s="10">
        <f t="shared" ca="1" si="51"/>
        <v>0.61631353754012252</v>
      </c>
    </row>
    <row r="293" spans="12:22" x14ac:dyDescent="0.45">
      <c r="L293" s="9">
        <v>289</v>
      </c>
      <c r="M293" s="10">
        <f t="shared" ca="1" si="52"/>
        <v>353.18859409489841</v>
      </c>
      <c r="N293" s="10">
        <f t="shared" ca="1" si="47"/>
        <v>0.82763357609271726</v>
      </c>
      <c r="O293" s="10">
        <f t="shared" ca="1" si="53"/>
        <v>353.49695354391685</v>
      </c>
      <c r="P293" s="10">
        <f t="shared" ca="1" si="54"/>
        <v>353.56742139003745</v>
      </c>
      <c r="Q293" s="10">
        <f t="shared" ca="1" si="55"/>
        <v>1000000000</v>
      </c>
      <c r="R293" s="10">
        <f t="shared" ca="1" si="56"/>
        <v>1000000000</v>
      </c>
      <c r="S293" s="9">
        <f t="shared" ca="1" si="48"/>
        <v>1</v>
      </c>
      <c r="T293" s="10">
        <f t="shared" ca="1" si="49"/>
        <v>353.49695354391685</v>
      </c>
      <c r="U293" s="10">
        <f t="shared" ca="1" si="50"/>
        <v>354.32458712000954</v>
      </c>
      <c r="V293" s="10">
        <f t="shared" ca="1" si="51"/>
        <v>0.30835944901843959</v>
      </c>
    </row>
    <row r="294" spans="12:22" x14ac:dyDescent="0.45">
      <c r="L294" s="9">
        <v>290</v>
      </c>
      <c r="M294" s="10">
        <f t="shared" ca="1" si="52"/>
        <v>354.62112712772642</v>
      </c>
      <c r="N294" s="10">
        <f t="shared" ca="1" si="47"/>
        <v>0.55539861220276132</v>
      </c>
      <c r="O294" s="10">
        <f t="shared" ca="1" si="53"/>
        <v>354.32458712000954</v>
      </c>
      <c r="P294" s="10">
        <f t="shared" ca="1" si="54"/>
        <v>353.56742139003745</v>
      </c>
      <c r="Q294" s="10">
        <f t="shared" ca="1" si="55"/>
        <v>1000000000</v>
      </c>
      <c r="R294" s="10">
        <f t="shared" ca="1" si="56"/>
        <v>1000000000</v>
      </c>
      <c r="S294" s="9">
        <f t="shared" ca="1" si="48"/>
        <v>2</v>
      </c>
      <c r="T294" s="10">
        <f t="shared" ca="1" si="49"/>
        <v>354.62112712772642</v>
      </c>
      <c r="U294" s="10">
        <f t="shared" ca="1" si="50"/>
        <v>355.17652573992916</v>
      </c>
      <c r="V294" s="10">
        <f t="shared" ca="1" si="51"/>
        <v>0</v>
      </c>
    </row>
    <row r="295" spans="12:22" x14ac:dyDescent="0.45">
      <c r="L295" s="9">
        <v>291</v>
      </c>
      <c r="M295" s="10">
        <f t="shared" ca="1" si="52"/>
        <v>355.7376644620312</v>
      </c>
      <c r="N295" s="10">
        <f t="shared" ca="1" si="47"/>
        <v>0.2910491377056153</v>
      </c>
      <c r="O295" s="10">
        <f t="shared" ca="1" si="53"/>
        <v>354.32458712000954</v>
      </c>
      <c r="P295" s="10">
        <f t="shared" ca="1" si="54"/>
        <v>355.17652573992916</v>
      </c>
      <c r="Q295" s="10">
        <f t="shared" ca="1" si="55"/>
        <v>1000000000</v>
      </c>
      <c r="R295" s="10">
        <f t="shared" ca="1" si="56"/>
        <v>1000000000</v>
      </c>
      <c r="S295" s="9">
        <f t="shared" ca="1" si="48"/>
        <v>1</v>
      </c>
      <c r="T295" s="10">
        <f t="shared" ca="1" si="49"/>
        <v>355.7376644620312</v>
      </c>
      <c r="U295" s="10">
        <f t="shared" ca="1" si="50"/>
        <v>356.02871359973682</v>
      </c>
      <c r="V295" s="10">
        <f t="shared" ca="1" si="51"/>
        <v>0</v>
      </c>
    </row>
    <row r="296" spans="12:22" x14ac:dyDescent="0.45">
      <c r="L296" s="9">
        <v>292</v>
      </c>
      <c r="M296" s="10">
        <f t="shared" ca="1" si="52"/>
        <v>356.90673861851741</v>
      </c>
      <c r="N296" s="10">
        <f t="shared" ca="1" si="47"/>
        <v>1.0473896225286736</v>
      </c>
      <c r="O296" s="10">
        <f t="shared" ca="1" si="53"/>
        <v>356.02871359973682</v>
      </c>
      <c r="P296" s="10">
        <f t="shared" ca="1" si="54"/>
        <v>355.17652573992916</v>
      </c>
      <c r="Q296" s="10">
        <f t="shared" ca="1" si="55"/>
        <v>1000000000</v>
      </c>
      <c r="R296" s="10">
        <f t="shared" ca="1" si="56"/>
        <v>1000000000</v>
      </c>
      <c r="S296" s="9">
        <f t="shared" ca="1" si="48"/>
        <v>2</v>
      </c>
      <c r="T296" s="10">
        <f t="shared" ca="1" si="49"/>
        <v>356.90673861851741</v>
      </c>
      <c r="U296" s="10">
        <f t="shared" ca="1" si="50"/>
        <v>357.95412824104608</v>
      </c>
      <c r="V296" s="10">
        <f t="shared" ca="1" si="51"/>
        <v>0</v>
      </c>
    </row>
    <row r="297" spans="12:22" x14ac:dyDescent="0.45">
      <c r="L297" s="9">
        <v>293</v>
      </c>
      <c r="M297" s="10">
        <f t="shared" ca="1" si="52"/>
        <v>357.32731109959997</v>
      </c>
      <c r="N297" s="10">
        <f t="shared" ca="1" si="47"/>
        <v>1.2035607803242876</v>
      </c>
      <c r="O297" s="10">
        <f t="shared" ca="1" si="53"/>
        <v>356.02871359973682</v>
      </c>
      <c r="P297" s="10">
        <f t="shared" ca="1" si="54"/>
        <v>357.95412824104608</v>
      </c>
      <c r="Q297" s="10">
        <f t="shared" ca="1" si="55"/>
        <v>1000000000</v>
      </c>
      <c r="R297" s="10">
        <f t="shared" ca="1" si="56"/>
        <v>1000000000</v>
      </c>
      <c r="S297" s="9">
        <f t="shared" ca="1" si="48"/>
        <v>1</v>
      </c>
      <c r="T297" s="10">
        <f t="shared" ca="1" si="49"/>
        <v>357.32731109959997</v>
      </c>
      <c r="U297" s="10">
        <f t="shared" ca="1" si="50"/>
        <v>358.53087187992423</v>
      </c>
      <c r="V297" s="10">
        <f t="shared" ca="1" si="51"/>
        <v>0</v>
      </c>
    </row>
    <row r="298" spans="12:22" x14ac:dyDescent="0.45">
      <c r="L298" s="9">
        <v>294</v>
      </c>
      <c r="M298" s="10">
        <f t="shared" ca="1" si="52"/>
        <v>357.59512507103898</v>
      </c>
      <c r="N298" s="10">
        <f t="shared" ca="1" si="47"/>
        <v>1.8959721211210463</v>
      </c>
      <c r="O298" s="10">
        <f t="shared" ca="1" si="53"/>
        <v>358.53087187992423</v>
      </c>
      <c r="P298" s="10">
        <f t="shared" ca="1" si="54"/>
        <v>357.95412824104608</v>
      </c>
      <c r="Q298" s="10">
        <f t="shared" ca="1" si="55"/>
        <v>1000000000</v>
      </c>
      <c r="R298" s="10">
        <f t="shared" ca="1" si="56"/>
        <v>1000000000</v>
      </c>
      <c r="S298" s="9">
        <f t="shared" ca="1" si="48"/>
        <v>2</v>
      </c>
      <c r="T298" s="10">
        <f t="shared" ca="1" si="49"/>
        <v>357.95412824104608</v>
      </c>
      <c r="U298" s="10">
        <f t="shared" ca="1" si="50"/>
        <v>359.8501003621671</v>
      </c>
      <c r="V298" s="10">
        <f t="shared" ca="1" si="51"/>
        <v>0.35900317000709947</v>
      </c>
    </row>
    <row r="299" spans="12:22" x14ac:dyDescent="0.45">
      <c r="L299" s="9">
        <v>295</v>
      </c>
      <c r="M299" s="10">
        <f t="shared" ca="1" si="52"/>
        <v>358.56392965977415</v>
      </c>
      <c r="N299" s="10">
        <f t="shared" ca="1" si="47"/>
        <v>0.87598400478068983</v>
      </c>
      <c r="O299" s="10">
        <f t="shared" ca="1" si="53"/>
        <v>358.53087187992423</v>
      </c>
      <c r="P299" s="10">
        <f t="shared" ca="1" si="54"/>
        <v>359.8501003621671</v>
      </c>
      <c r="Q299" s="10">
        <f t="shared" ca="1" si="55"/>
        <v>1000000000</v>
      </c>
      <c r="R299" s="10">
        <f t="shared" ca="1" si="56"/>
        <v>1000000000</v>
      </c>
      <c r="S299" s="9">
        <f t="shared" ca="1" si="48"/>
        <v>1</v>
      </c>
      <c r="T299" s="10">
        <f t="shared" ca="1" si="49"/>
        <v>358.56392965977415</v>
      </c>
      <c r="U299" s="10">
        <f t="shared" ca="1" si="50"/>
        <v>359.43991366455481</v>
      </c>
      <c r="V299" s="10">
        <f t="shared" ca="1" si="51"/>
        <v>0</v>
      </c>
    </row>
    <row r="300" spans="12:22" x14ac:dyDescent="0.45">
      <c r="L300" s="9">
        <v>296</v>
      </c>
      <c r="M300" s="10">
        <f t="shared" ca="1" si="52"/>
        <v>359.40375428967889</v>
      </c>
      <c r="N300" s="10">
        <f t="shared" ca="1" si="47"/>
        <v>0.61963900456890231</v>
      </c>
      <c r="O300" s="10">
        <f t="shared" ca="1" si="53"/>
        <v>359.43991366455481</v>
      </c>
      <c r="P300" s="10">
        <f t="shared" ca="1" si="54"/>
        <v>359.8501003621671</v>
      </c>
      <c r="Q300" s="10">
        <f t="shared" ca="1" si="55"/>
        <v>1000000000</v>
      </c>
      <c r="R300" s="10">
        <f t="shared" ca="1" si="56"/>
        <v>1000000000</v>
      </c>
      <c r="S300" s="9">
        <f t="shared" ca="1" si="48"/>
        <v>1</v>
      </c>
      <c r="T300" s="10">
        <f t="shared" ca="1" si="49"/>
        <v>359.43991366455481</v>
      </c>
      <c r="U300" s="10">
        <f t="shared" ca="1" si="50"/>
        <v>360.05955266912372</v>
      </c>
      <c r="V300" s="10">
        <f t="shared" ca="1" si="51"/>
        <v>3.6159374875921912E-2</v>
      </c>
    </row>
    <row r="301" spans="12:22" x14ac:dyDescent="0.45">
      <c r="L301" s="9">
        <v>297</v>
      </c>
      <c r="M301" s="10">
        <f t="shared" ca="1" si="52"/>
        <v>362.05060572982171</v>
      </c>
      <c r="N301" s="10">
        <f t="shared" ca="1" si="47"/>
        <v>0.77951592827290339</v>
      </c>
      <c r="O301" s="10">
        <f t="shared" ca="1" si="53"/>
        <v>360.05955266912372</v>
      </c>
      <c r="P301" s="10">
        <f t="shared" ca="1" si="54"/>
        <v>359.8501003621671</v>
      </c>
      <c r="Q301" s="10">
        <f t="shared" ca="1" si="55"/>
        <v>1000000000</v>
      </c>
      <c r="R301" s="10">
        <f t="shared" ca="1" si="56"/>
        <v>1000000000</v>
      </c>
      <c r="S301" s="9">
        <f t="shared" ca="1" si="48"/>
        <v>2</v>
      </c>
      <c r="T301" s="10">
        <f t="shared" ca="1" si="49"/>
        <v>362.05060572982171</v>
      </c>
      <c r="U301" s="10">
        <f t="shared" ca="1" si="50"/>
        <v>362.83012165809464</v>
      </c>
      <c r="V301" s="10">
        <f t="shared" ca="1" si="51"/>
        <v>0</v>
      </c>
    </row>
    <row r="302" spans="12:22" x14ac:dyDescent="0.45">
      <c r="L302" s="9">
        <v>298</v>
      </c>
      <c r="M302" s="10">
        <f t="shared" ca="1" si="52"/>
        <v>362.64055315523206</v>
      </c>
      <c r="N302" s="10">
        <f t="shared" ca="1" si="47"/>
        <v>1.0355349565146759</v>
      </c>
      <c r="O302" s="10">
        <f t="shared" ca="1" si="53"/>
        <v>360.05955266912372</v>
      </c>
      <c r="P302" s="10">
        <f t="shared" ca="1" si="54"/>
        <v>362.83012165809464</v>
      </c>
      <c r="Q302" s="10">
        <f t="shared" ca="1" si="55"/>
        <v>1000000000</v>
      </c>
      <c r="R302" s="10">
        <f t="shared" ca="1" si="56"/>
        <v>1000000000</v>
      </c>
      <c r="S302" s="9">
        <f t="shared" ca="1" si="48"/>
        <v>1</v>
      </c>
      <c r="T302" s="10">
        <f t="shared" ca="1" si="49"/>
        <v>362.64055315523206</v>
      </c>
      <c r="U302" s="10">
        <f t="shared" ca="1" si="50"/>
        <v>363.67608811174671</v>
      </c>
      <c r="V302" s="10">
        <f t="shared" ca="1" si="51"/>
        <v>0</v>
      </c>
    </row>
    <row r="303" spans="12:22" x14ac:dyDescent="0.45">
      <c r="L303" s="9">
        <v>299</v>
      </c>
      <c r="M303" s="10">
        <f t="shared" ca="1" si="52"/>
        <v>362.83545578472524</v>
      </c>
      <c r="N303" s="10">
        <f t="shared" ca="1" si="47"/>
        <v>0.21165226139316728</v>
      </c>
      <c r="O303" s="10">
        <f t="shared" ca="1" si="53"/>
        <v>363.67608811174671</v>
      </c>
      <c r="P303" s="10">
        <f t="shared" ca="1" si="54"/>
        <v>362.83012165809464</v>
      </c>
      <c r="Q303" s="10">
        <f t="shared" ca="1" si="55"/>
        <v>1000000000</v>
      </c>
      <c r="R303" s="10">
        <f t="shared" ca="1" si="56"/>
        <v>1000000000</v>
      </c>
      <c r="S303" s="9">
        <f t="shared" ca="1" si="48"/>
        <v>2</v>
      </c>
      <c r="T303" s="10">
        <f t="shared" ca="1" si="49"/>
        <v>362.83545578472524</v>
      </c>
      <c r="U303" s="10">
        <f t="shared" ca="1" si="50"/>
        <v>363.04710804611841</v>
      </c>
      <c r="V303" s="10">
        <f t="shared" ca="1" si="51"/>
        <v>0</v>
      </c>
    </row>
    <row r="304" spans="12:22" x14ac:dyDescent="0.45">
      <c r="L304" s="9">
        <v>300</v>
      </c>
      <c r="M304" s="10">
        <f t="shared" ca="1" si="52"/>
        <v>363.2495174040439</v>
      </c>
      <c r="N304" s="10">
        <f t="shared" ca="1" si="47"/>
        <v>2.6982675161063638</v>
      </c>
      <c r="O304" s="10">
        <f t="shared" ca="1" si="53"/>
        <v>363.67608811174671</v>
      </c>
      <c r="P304" s="10">
        <f t="shared" ca="1" si="54"/>
        <v>363.04710804611841</v>
      </c>
      <c r="Q304" s="10">
        <f t="shared" ca="1" si="55"/>
        <v>1000000000</v>
      </c>
      <c r="R304" s="10">
        <f t="shared" ca="1" si="56"/>
        <v>1000000000</v>
      </c>
      <c r="S304" s="9">
        <f t="shared" ca="1" si="48"/>
        <v>2</v>
      </c>
      <c r="T304" s="10">
        <f t="shared" ca="1" si="49"/>
        <v>363.2495174040439</v>
      </c>
      <c r="U304" s="10">
        <f t="shared" ca="1" si="50"/>
        <v>365.94778492015024</v>
      </c>
      <c r="V304" s="10">
        <f t="shared" ca="1" si="51"/>
        <v>0</v>
      </c>
    </row>
  </sheetData>
  <mergeCells count="16">
    <mergeCell ref="H26:I26"/>
    <mergeCell ref="B26:C26"/>
    <mergeCell ref="F26:G26"/>
    <mergeCell ref="D26:E26"/>
    <mergeCell ref="B27:C28"/>
    <mergeCell ref="F27:G28"/>
    <mergeCell ref="D27:E28"/>
    <mergeCell ref="H27:I28"/>
    <mergeCell ref="B30:C30"/>
    <mergeCell ref="D31:E32"/>
    <mergeCell ref="F30:G30"/>
    <mergeCell ref="D30:E30"/>
    <mergeCell ref="H30:I30"/>
    <mergeCell ref="B31:C32"/>
    <mergeCell ref="H31:I32"/>
    <mergeCell ref="F31:G32"/>
  </mergeCells>
  <conditionalFormatting sqref="B14:I21">
    <cfRule type="expression" dxfId="7" priority="1">
      <formula>$B14=$C$9</formula>
    </cfRule>
  </conditionalFormatting>
  <dataValidations count="1">
    <dataValidation type="list" sqref="C9">
      <formula1>"1,2,3,4"</formula1>
    </dataValidation>
  </dataValidation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9"/>
  <sheetViews>
    <sheetView showGridLines="0" workbookViewId="0">
      <pane ySplit="3" topLeftCell="A22" activePane="bottomLeft" state="frozen"/>
      <selection pane="bottomLeft"/>
    </sheetView>
  </sheetViews>
  <sheetFormatPr baseColWidth="10" defaultColWidth="9.06640625" defaultRowHeight="14.25" x14ac:dyDescent="0.45"/>
  <cols>
    <col min="1" max="1" width="3" customWidth="1"/>
    <col min="2" max="2" width="34" customWidth="1"/>
    <col min="3" max="10" width="12" customWidth="1"/>
    <col min="11" max="11" width="3" customWidth="1"/>
    <col min="12" max="12" width="6" customWidth="1"/>
    <col min="13" max="13" width="8" customWidth="1"/>
    <col min="14" max="14" width="9" customWidth="1"/>
    <col min="15" max="15" width="8" customWidth="1"/>
    <col min="16" max="16" width="9" customWidth="1"/>
    <col min="17" max="18" width="8" customWidth="1"/>
    <col min="19" max="19" width="9" customWidth="1"/>
    <col min="20" max="20" width="7" customWidth="1"/>
    <col min="21" max="21" width="8" customWidth="1"/>
    <col min="22" max="22" width="7" customWidth="1"/>
    <col min="23" max="23" width="9" customWidth="1"/>
    <col min="24" max="24" width="6" customWidth="1"/>
  </cols>
  <sheetData>
    <row r="1" spans="1:23" ht="15" customHeight="1" x14ac:dyDescent="0.6">
      <c r="A1" s="1" t="s">
        <v>65</v>
      </c>
    </row>
    <row r="2" spans="1:23" ht="15" customHeight="1" x14ac:dyDescent="0.45">
      <c r="A2" s="2" t="s">
        <v>66</v>
      </c>
    </row>
    <row r="3" spans="1:23" ht="15" customHeight="1" x14ac:dyDescent="0.45"/>
    <row r="4" spans="1:23" ht="28.05" customHeight="1" x14ac:dyDescent="0.45">
      <c r="B4" s="6" t="s">
        <v>28</v>
      </c>
      <c r="L4" s="3" t="s">
        <v>67</v>
      </c>
      <c r="M4" s="3" t="s">
        <v>68</v>
      </c>
      <c r="N4" s="3" t="s">
        <v>69</v>
      </c>
      <c r="O4" s="3" t="s">
        <v>70</v>
      </c>
      <c r="P4" s="3" t="s">
        <v>71</v>
      </c>
      <c r="Q4" s="3" t="s">
        <v>72</v>
      </c>
      <c r="R4" s="3" t="s">
        <v>73</v>
      </c>
      <c r="S4" s="3" t="s">
        <v>74</v>
      </c>
      <c r="T4" s="3" t="s">
        <v>75</v>
      </c>
      <c r="U4" s="3" t="s">
        <v>76</v>
      </c>
      <c r="V4" s="3" t="s">
        <v>77</v>
      </c>
      <c r="W4" s="3" t="s">
        <v>78</v>
      </c>
    </row>
    <row r="5" spans="1:23" ht="15" customHeight="1" x14ac:dyDescent="0.45">
      <c r="B5" s="7" t="s">
        <v>79</v>
      </c>
      <c r="C5" s="16">
        <v>50</v>
      </c>
      <c r="L5" s="9">
        <v>1</v>
      </c>
      <c r="M5" s="9">
        <f>IF(0=L5,$C$5,0)</f>
        <v>0</v>
      </c>
      <c r="N5" s="9">
        <f>$C$7+M5</f>
        <v>50</v>
      </c>
      <c r="O5" s="9">
        <f t="shared" ref="O5:O36" ca="1" si="0">INDEX($B$13:$B$17,MATCH(RAND(),$D$13:$D$17,1))</f>
        <v>12</v>
      </c>
      <c r="P5" s="9">
        <f t="shared" ref="P5:P36" ca="1" si="1">MIN(N5,O5)</f>
        <v>12</v>
      </c>
      <c r="Q5" s="9">
        <f t="shared" ref="Q5:Q36" ca="1" si="2">O5-P5</f>
        <v>0</v>
      </c>
      <c r="R5" s="9">
        <f t="shared" ref="R5:R36" ca="1" si="3">N5-P5</f>
        <v>38</v>
      </c>
      <c r="S5" s="9">
        <f ca="1">IF(AND(R5&lt;=$C$6,0&lt;=L5),1,0)</f>
        <v>0</v>
      </c>
      <c r="T5" s="9">
        <f t="shared" ref="T5:T36" ca="1" si="4">INDEX($B$20:$B$22,MATCH(RAND(),$D$20:$D$22,1))</f>
        <v>1</v>
      </c>
      <c r="U5" s="9">
        <f ca="1">IF(S5=1,L5+T5+1,0)</f>
        <v>0</v>
      </c>
      <c r="V5" s="9">
        <f t="shared" ref="V5:V36" si="5">$C$6</f>
        <v>25</v>
      </c>
      <c r="W5" s="9">
        <f t="shared" ref="W5:W36" ca="1" si="6">IF(U5&gt;L5,1,0)</f>
        <v>0</v>
      </c>
    </row>
    <row r="6" spans="1:23" ht="15" customHeight="1" x14ac:dyDescent="0.45">
      <c r="B6" s="7" t="s">
        <v>80</v>
      </c>
      <c r="C6" s="16">
        <v>25</v>
      </c>
      <c r="L6" s="9">
        <v>2</v>
      </c>
      <c r="M6" s="9">
        <f t="shared" ref="M6:M37" ca="1" si="7">IF(U5=L6,$C$5,0)</f>
        <v>0</v>
      </c>
      <c r="N6" s="9">
        <f t="shared" ref="N6:N37" ca="1" si="8">R5+M6</f>
        <v>38</v>
      </c>
      <c r="O6" s="9">
        <f t="shared" ca="1" si="0"/>
        <v>8</v>
      </c>
      <c r="P6" s="9">
        <f t="shared" ca="1" si="1"/>
        <v>8</v>
      </c>
      <c r="Q6" s="9">
        <f t="shared" ca="1" si="2"/>
        <v>0</v>
      </c>
      <c r="R6" s="9">
        <f t="shared" ca="1" si="3"/>
        <v>30</v>
      </c>
      <c r="S6" s="9">
        <f t="shared" ref="S6:S37" ca="1" si="9">IF(AND(R6&lt;=$C$6,U5&lt;=L6),1,0)</f>
        <v>0</v>
      </c>
      <c r="T6" s="9">
        <f t="shared" ca="1" si="4"/>
        <v>1</v>
      </c>
      <c r="U6" s="9">
        <f t="shared" ref="U6:U37" ca="1" si="10">IF(S6=1,L6+T6+1,U5)</f>
        <v>0</v>
      </c>
      <c r="V6" s="9">
        <f t="shared" si="5"/>
        <v>25</v>
      </c>
      <c r="W6" s="9">
        <f t="shared" ca="1" si="6"/>
        <v>0</v>
      </c>
    </row>
    <row r="7" spans="1:23" ht="15" customHeight="1" x14ac:dyDescent="0.45">
      <c r="B7" s="7" t="s">
        <v>81</v>
      </c>
      <c r="C7" s="16">
        <v>50</v>
      </c>
      <c r="L7" s="9">
        <v>3</v>
      </c>
      <c r="M7" s="9">
        <f t="shared" ca="1" si="7"/>
        <v>0</v>
      </c>
      <c r="N7" s="9">
        <f t="shared" ca="1" si="8"/>
        <v>30</v>
      </c>
      <c r="O7" s="9">
        <f t="shared" ca="1" si="0"/>
        <v>12</v>
      </c>
      <c r="P7" s="9">
        <f t="shared" ca="1" si="1"/>
        <v>12</v>
      </c>
      <c r="Q7" s="9">
        <f t="shared" ca="1" si="2"/>
        <v>0</v>
      </c>
      <c r="R7" s="9">
        <f t="shared" ca="1" si="3"/>
        <v>18</v>
      </c>
      <c r="S7" s="9">
        <f t="shared" ca="1" si="9"/>
        <v>1</v>
      </c>
      <c r="T7" s="9">
        <f t="shared" ca="1" si="4"/>
        <v>2</v>
      </c>
      <c r="U7" s="9">
        <f t="shared" ca="1" si="10"/>
        <v>6</v>
      </c>
      <c r="V7" s="9">
        <f t="shared" si="5"/>
        <v>25</v>
      </c>
      <c r="W7" s="9">
        <f t="shared" ca="1" si="6"/>
        <v>1</v>
      </c>
    </row>
    <row r="8" spans="1:23" ht="15" customHeight="1" x14ac:dyDescent="0.45">
      <c r="B8" s="7" t="s">
        <v>82</v>
      </c>
      <c r="C8" s="16">
        <v>100</v>
      </c>
      <c r="L8" s="9">
        <v>4</v>
      </c>
      <c r="M8" s="9">
        <f t="shared" ca="1" si="7"/>
        <v>0</v>
      </c>
      <c r="N8" s="9">
        <f t="shared" ca="1" si="8"/>
        <v>18</v>
      </c>
      <c r="O8" s="9">
        <f t="shared" ca="1" si="0"/>
        <v>10</v>
      </c>
      <c r="P8" s="9">
        <f t="shared" ca="1" si="1"/>
        <v>10</v>
      </c>
      <c r="Q8" s="9">
        <f t="shared" ca="1" si="2"/>
        <v>0</v>
      </c>
      <c r="R8" s="9">
        <f t="shared" ca="1" si="3"/>
        <v>8</v>
      </c>
      <c r="S8" s="9">
        <f t="shared" ca="1" si="9"/>
        <v>0</v>
      </c>
      <c r="T8" s="9">
        <f t="shared" ca="1" si="4"/>
        <v>2</v>
      </c>
      <c r="U8" s="9">
        <f t="shared" ca="1" si="10"/>
        <v>6</v>
      </c>
      <c r="V8" s="9">
        <f t="shared" si="5"/>
        <v>25</v>
      </c>
      <c r="W8" s="9">
        <f t="shared" ca="1" si="6"/>
        <v>1</v>
      </c>
    </row>
    <row r="9" spans="1:23" ht="15" customHeight="1" x14ac:dyDescent="0.45">
      <c r="B9" s="7" t="s">
        <v>83</v>
      </c>
      <c r="C9" s="16">
        <v>1</v>
      </c>
      <c r="L9" s="9">
        <v>5</v>
      </c>
      <c r="M9" s="9">
        <f t="shared" ca="1" si="7"/>
        <v>0</v>
      </c>
      <c r="N9" s="9">
        <f t="shared" ca="1" si="8"/>
        <v>8</v>
      </c>
      <c r="O9" s="9">
        <f t="shared" ca="1" si="0"/>
        <v>12</v>
      </c>
      <c r="P9" s="9">
        <f t="shared" ca="1" si="1"/>
        <v>8</v>
      </c>
      <c r="Q9" s="9">
        <f t="shared" ca="1" si="2"/>
        <v>4</v>
      </c>
      <c r="R9" s="9">
        <f t="shared" ca="1" si="3"/>
        <v>0</v>
      </c>
      <c r="S9" s="9">
        <f t="shared" ca="1" si="9"/>
        <v>0</v>
      </c>
      <c r="T9" s="9">
        <f t="shared" ca="1" si="4"/>
        <v>2</v>
      </c>
      <c r="U9" s="9">
        <f t="shared" ca="1" si="10"/>
        <v>6</v>
      </c>
      <c r="V9" s="9">
        <f t="shared" si="5"/>
        <v>25</v>
      </c>
      <c r="W9" s="9">
        <f t="shared" ca="1" si="6"/>
        <v>1</v>
      </c>
    </row>
    <row r="10" spans="1:23" ht="15" customHeight="1" x14ac:dyDescent="0.45">
      <c r="B10" s="7" t="s">
        <v>84</v>
      </c>
      <c r="C10" s="16">
        <v>5</v>
      </c>
      <c r="L10" s="9">
        <v>6</v>
      </c>
      <c r="M10" s="9">
        <f t="shared" ca="1" si="7"/>
        <v>50</v>
      </c>
      <c r="N10" s="9">
        <f t="shared" ca="1" si="8"/>
        <v>50</v>
      </c>
      <c r="O10" s="9">
        <f t="shared" ca="1" si="0"/>
        <v>10</v>
      </c>
      <c r="P10" s="9">
        <f t="shared" ca="1" si="1"/>
        <v>10</v>
      </c>
      <c r="Q10" s="9">
        <f t="shared" ca="1" si="2"/>
        <v>0</v>
      </c>
      <c r="R10" s="9">
        <f t="shared" ca="1" si="3"/>
        <v>40</v>
      </c>
      <c r="S10" s="9">
        <f t="shared" ca="1" si="9"/>
        <v>0</v>
      </c>
      <c r="T10" s="9">
        <f t="shared" ca="1" si="4"/>
        <v>2</v>
      </c>
      <c r="U10" s="9">
        <f t="shared" ca="1" si="10"/>
        <v>6</v>
      </c>
      <c r="V10" s="9">
        <f t="shared" si="5"/>
        <v>25</v>
      </c>
      <c r="W10" s="9">
        <f t="shared" ca="1" si="6"/>
        <v>0</v>
      </c>
    </row>
    <row r="11" spans="1:23" ht="15" customHeight="1" x14ac:dyDescent="0.45">
      <c r="L11" s="9">
        <v>7</v>
      </c>
      <c r="M11" s="9">
        <f t="shared" ca="1" si="7"/>
        <v>0</v>
      </c>
      <c r="N11" s="9">
        <f t="shared" ca="1" si="8"/>
        <v>40</v>
      </c>
      <c r="O11" s="9">
        <f t="shared" ca="1" si="0"/>
        <v>12</v>
      </c>
      <c r="P11" s="9">
        <f t="shared" ca="1" si="1"/>
        <v>12</v>
      </c>
      <c r="Q11" s="9">
        <f t="shared" ca="1" si="2"/>
        <v>0</v>
      </c>
      <c r="R11" s="9">
        <f t="shared" ca="1" si="3"/>
        <v>28</v>
      </c>
      <c r="S11" s="9">
        <f t="shared" ca="1" si="9"/>
        <v>0</v>
      </c>
      <c r="T11" s="9">
        <f t="shared" ca="1" si="4"/>
        <v>2</v>
      </c>
      <c r="U11" s="9">
        <f t="shared" ca="1" si="10"/>
        <v>6</v>
      </c>
      <c r="V11" s="9">
        <f t="shared" si="5"/>
        <v>25</v>
      </c>
      <c r="W11" s="9">
        <f t="shared" ca="1" si="6"/>
        <v>0</v>
      </c>
    </row>
    <row r="12" spans="1:23" ht="28.05" customHeight="1" x14ac:dyDescent="0.45">
      <c r="B12" s="3" t="s">
        <v>85</v>
      </c>
      <c r="C12" s="3" t="s">
        <v>86</v>
      </c>
      <c r="D12" s="3" t="s">
        <v>87</v>
      </c>
      <c r="L12" s="9">
        <v>8</v>
      </c>
      <c r="M12" s="9">
        <f t="shared" ca="1" si="7"/>
        <v>0</v>
      </c>
      <c r="N12" s="9">
        <f t="shared" ca="1" si="8"/>
        <v>28</v>
      </c>
      <c r="O12" s="9">
        <f t="shared" ca="1" si="0"/>
        <v>6</v>
      </c>
      <c r="P12" s="9">
        <f t="shared" ca="1" si="1"/>
        <v>6</v>
      </c>
      <c r="Q12" s="9">
        <f t="shared" ca="1" si="2"/>
        <v>0</v>
      </c>
      <c r="R12" s="9">
        <f t="shared" ca="1" si="3"/>
        <v>22</v>
      </c>
      <c r="S12" s="9">
        <f t="shared" ca="1" si="9"/>
        <v>1</v>
      </c>
      <c r="T12" s="9">
        <f t="shared" ca="1" si="4"/>
        <v>1</v>
      </c>
      <c r="U12" s="9">
        <f t="shared" ca="1" si="10"/>
        <v>10</v>
      </c>
      <c r="V12" s="9">
        <f t="shared" si="5"/>
        <v>25</v>
      </c>
      <c r="W12" s="9">
        <f t="shared" ca="1" si="6"/>
        <v>1</v>
      </c>
    </row>
    <row r="13" spans="1:23" ht="15" customHeight="1" x14ac:dyDescent="0.45">
      <c r="B13" s="16">
        <v>6</v>
      </c>
      <c r="C13" s="17">
        <v>0.1</v>
      </c>
      <c r="D13" s="10">
        <v>0</v>
      </c>
      <c r="L13" s="9">
        <v>9</v>
      </c>
      <c r="M13" s="9">
        <f t="shared" ca="1" si="7"/>
        <v>0</v>
      </c>
      <c r="N13" s="9">
        <f t="shared" ca="1" si="8"/>
        <v>22</v>
      </c>
      <c r="O13" s="9">
        <f t="shared" ca="1" si="0"/>
        <v>8</v>
      </c>
      <c r="P13" s="9">
        <f t="shared" ca="1" si="1"/>
        <v>8</v>
      </c>
      <c r="Q13" s="9">
        <f t="shared" ca="1" si="2"/>
        <v>0</v>
      </c>
      <c r="R13" s="9">
        <f t="shared" ca="1" si="3"/>
        <v>14</v>
      </c>
      <c r="S13" s="9">
        <f t="shared" ca="1" si="9"/>
        <v>0</v>
      </c>
      <c r="T13" s="9">
        <f t="shared" ca="1" si="4"/>
        <v>2</v>
      </c>
      <c r="U13" s="9">
        <f t="shared" ca="1" si="10"/>
        <v>10</v>
      </c>
      <c r="V13" s="9">
        <f t="shared" si="5"/>
        <v>25</v>
      </c>
      <c r="W13" s="9">
        <f t="shared" ca="1" si="6"/>
        <v>1</v>
      </c>
    </row>
    <row r="14" spans="1:23" ht="15" customHeight="1" x14ac:dyDescent="0.45">
      <c r="B14" s="16">
        <v>8</v>
      </c>
      <c r="C14" s="17">
        <v>0.25</v>
      </c>
      <c r="D14" s="10">
        <f>D13+C13</f>
        <v>0.1</v>
      </c>
      <c r="L14" s="9">
        <v>10</v>
      </c>
      <c r="M14" s="9">
        <f t="shared" ca="1" si="7"/>
        <v>50</v>
      </c>
      <c r="N14" s="9">
        <f t="shared" ca="1" si="8"/>
        <v>64</v>
      </c>
      <c r="O14" s="9">
        <f t="shared" ca="1" si="0"/>
        <v>14</v>
      </c>
      <c r="P14" s="9">
        <f t="shared" ca="1" si="1"/>
        <v>14</v>
      </c>
      <c r="Q14" s="9">
        <f t="shared" ca="1" si="2"/>
        <v>0</v>
      </c>
      <c r="R14" s="9">
        <f t="shared" ca="1" si="3"/>
        <v>50</v>
      </c>
      <c r="S14" s="9">
        <f t="shared" ca="1" si="9"/>
        <v>0</v>
      </c>
      <c r="T14" s="9">
        <f t="shared" ca="1" si="4"/>
        <v>1</v>
      </c>
      <c r="U14" s="9">
        <f t="shared" ca="1" si="10"/>
        <v>10</v>
      </c>
      <c r="V14" s="9">
        <f t="shared" si="5"/>
        <v>25</v>
      </c>
      <c r="W14" s="9">
        <f t="shared" ca="1" si="6"/>
        <v>0</v>
      </c>
    </row>
    <row r="15" spans="1:23" ht="15" customHeight="1" x14ac:dyDescent="0.45">
      <c r="B15" s="16">
        <v>10</v>
      </c>
      <c r="C15" s="17">
        <v>0.35</v>
      </c>
      <c r="D15" s="10">
        <f>D14+C14</f>
        <v>0.35</v>
      </c>
      <c r="L15" s="9">
        <v>11</v>
      </c>
      <c r="M15" s="9">
        <f t="shared" ca="1" si="7"/>
        <v>0</v>
      </c>
      <c r="N15" s="9">
        <f t="shared" ca="1" si="8"/>
        <v>50</v>
      </c>
      <c r="O15" s="9">
        <f t="shared" ca="1" si="0"/>
        <v>8</v>
      </c>
      <c r="P15" s="9">
        <f t="shared" ca="1" si="1"/>
        <v>8</v>
      </c>
      <c r="Q15" s="9">
        <f t="shared" ca="1" si="2"/>
        <v>0</v>
      </c>
      <c r="R15" s="9">
        <f t="shared" ca="1" si="3"/>
        <v>42</v>
      </c>
      <c r="S15" s="9">
        <f t="shared" ca="1" si="9"/>
        <v>0</v>
      </c>
      <c r="T15" s="9">
        <f t="shared" ca="1" si="4"/>
        <v>2</v>
      </c>
      <c r="U15" s="9">
        <f t="shared" ca="1" si="10"/>
        <v>10</v>
      </c>
      <c r="V15" s="9">
        <f t="shared" si="5"/>
        <v>25</v>
      </c>
      <c r="W15" s="9">
        <f t="shared" ca="1" si="6"/>
        <v>0</v>
      </c>
    </row>
    <row r="16" spans="1:23" ht="15" customHeight="1" x14ac:dyDescent="0.45">
      <c r="B16" s="16">
        <v>12</v>
      </c>
      <c r="C16" s="17">
        <v>0.2</v>
      </c>
      <c r="D16" s="10">
        <f>D15+C15</f>
        <v>0.7</v>
      </c>
      <c r="L16" s="9">
        <v>12</v>
      </c>
      <c r="M16" s="9">
        <f t="shared" ca="1" si="7"/>
        <v>0</v>
      </c>
      <c r="N16" s="9">
        <f t="shared" ca="1" si="8"/>
        <v>42</v>
      </c>
      <c r="O16" s="9">
        <f t="shared" ca="1" si="0"/>
        <v>10</v>
      </c>
      <c r="P16" s="9">
        <f t="shared" ca="1" si="1"/>
        <v>10</v>
      </c>
      <c r="Q16" s="9">
        <f t="shared" ca="1" si="2"/>
        <v>0</v>
      </c>
      <c r="R16" s="9">
        <f t="shared" ca="1" si="3"/>
        <v>32</v>
      </c>
      <c r="S16" s="9">
        <f t="shared" ca="1" si="9"/>
        <v>0</v>
      </c>
      <c r="T16" s="9">
        <f t="shared" ca="1" si="4"/>
        <v>3</v>
      </c>
      <c r="U16" s="9">
        <f t="shared" ca="1" si="10"/>
        <v>10</v>
      </c>
      <c r="V16" s="9">
        <f t="shared" si="5"/>
        <v>25</v>
      </c>
      <c r="W16" s="9">
        <f t="shared" ca="1" si="6"/>
        <v>0</v>
      </c>
    </row>
    <row r="17" spans="2:23" ht="15" customHeight="1" x14ac:dyDescent="0.45">
      <c r="B17" s="16">
        <v>14</v>
      </c>
      <c r="C17" s="17">
        <v>0.1</v>
      </c>
      <c r="D17" s="10">
        <f>D16+C16</f>
        <v>0.89999999999999991</v>
      </c>
      <c r="L17" s="9">
        <v>13</v>
      </c>
      <c r="M17" s="9">
        <f t="shared" ca="1" si="7"/>
        <v>0</v>
      </c>
      <c r="N17" s="9">
        <f t="shared" ca="1" si="8"/>
        <v>32</v>
      </c>
      <c r="O17" s="9">
        <f t="shared" ca="1" si="0"/>
        <v>8</v>
      </c>
      <c r="P17" s="9">
        <f t="shared" ca="1" si="1"/>
        <v>8</v>
      </c>
      <c r="Q17" s="9">
        <f t="shared" ca="1" si="2"/>
        <v>0</v>
      </c>
      <c r="R17" s="9">
        <f t="shared" ca="1" si="3"/>
        <v>24</v>
      </c>
      <c r="S17" s="9">
        <f t="shared" ca="1" si="9"/>
        <v>1</v>
      </c>
      <c r="T17" s="9">
        <f t="shared" ca="1" si="4"/>
        <v>3</v>
      </c>
      <c r="U17" s="9">
        <f t="shared" ca="1" si="10"/>
        <v>17</v>
      </c>
      <c r="V17" s="9">
        <f t="shared" si="5"/>
        <v>25</v>
      </c>
      <c r="W17" s="9">
        <f t="shared" ca="1" si="6"/>
        <v>1</v>
      </c>
    </row>
    <row r="18" spans="2:23" ht="15" customHeight="1" x14ac:dyDescent="0.45">
      <c r="L18" s="9">
        <v>14</v>
      </c>
      <c r="M18" s="9">
        <f t="shared" ca="1" si="7"/>
        <v>0</v>
      </c>
      <c r="N18" s="9">
        <f t="shared" ca="1" si="8"/>
        <v>24</v>
      </c>
      <c r="O18" s="9">
        <f t="shared" ca="1" si="0"/>
        <v>14</v>
      </c>
      <c r="P18" s="9">
        <f t="shared" ca="1" si="1"/>
        <v>14</v>
      </c>
      <c r="Q18" s="9">
        <f t="shared" ca="1" si="2"/>
        <v>0</v>
      </c>
      <c r="R18" s="9">
        <f t="shared" ca="1" si="3"/>
        <v>10</v>
      </c>
      <c r="S18" s="9">
        <f t="shared" ca="1" si="9"/>
        <v>0</v>
      </c>
      <c r="T18" s="9">
        <f t="shared" ca="1" si="4"/>
        <v>1</v>
      </c>
      <c r="U18" s="9">
        <f t="shared" ca="1" si="10"/>
        <v>17</v>
      </c>
      <c r="V18" s="9">
        <f t="shared" si="5"/>
        <v>25</v>
      </c>
      <c r="W18" s="9">
        <f t="shared" ca="1" si="6"/>
        <v>1</v>
      </c>
    </row>
    <row r="19" spans="2:23" ht="28.05" customHeight="1" x14ac:dyDescent="0.45">
      <c r="B19" s="3" t="s">
        <v>88</v>
      </c>
      <c r="C19" s="3" t="s">
        <v>86</v>
      </c>
      <c r="D19" s="3" t="s">
        <v>87</v>
      </c>
      <c r="L19" s="9">
        <v>15</v>
      </c>
      <c r="M19" s="9">
        <f t="shared" ca="1" si="7"/>
        <v>0</v>
      </c>
      <c r="N19" s="9">
        <f t="shared" ca="1" si="8"/>
        <v>10</v>
      </c>
      <c r="O19" s="9">
        <f t="shared" ca="1" si="0"/>
        <v>12</v>
      </c>
      <c r="P19" s="9">
        <f t="shared" ca="1" si="1"/>
        <v>10</v>
      </c>
      <c r="Q19" s="9">
        <f t="shared" ca="1" si="2"/>
        <v>2</v>
      </c>
      <c r="R19" s="9">
        <f t="shared" ca="1" si="3"/>
        <v>0</v>
      </c>
      <c r="S19" s="9">
        <f t="shared" ca="1" si="9"/>
        <v>0</v>
      </c>
      <c r="T19" s="9">
        <f t="shared" ca="1" si="4"/>
        <v>2</v>
      </c>
      <c r="U19" s="9">
        <f t="shared" ca="1" si="10"/>
        <v>17</v>
      </c>
      <c r="V19" s="9">
        <f t="shared" si="5"/>
        <v>25</v>
      </c>
      <c r="W19" s="9">
        <f t="shared" ca="1" si="6"/>
        <v>1</v>
      </c>
    </row>
    <row r="20" spans="2:23" ht="15" customHeight="1" x14ac:dyDescent="0.45">
      <c r="B20" s="16">
        <v>1</v>
      </c>
      <c r="C20" s="17">
        <v>0.3</v>
      </c>
      <c r="D20" s="10">
        <v>0</v>
      </c>
      <c r="L20" s="9">
        <v>16</v>
      </c>
      <c r="M20" s="9">
        <f t="shared" ca="1" si="7"/>
        <v>0</v>
      </c>
      <c r="N20" s="9">
        <f t="shared" ca="1" si="8"/>
        <v>0</v>
      </c>
      <c r="O20" s="9">
        <f t="shared" ca="1" si="0"/>
        <v>8</v>
      </c>
      <c r="P20" s="9">
        <f t="shared" ca="1" si="1"/>
        <v>0</v>
      </c>
      <c r="Q20" s="9">
        <f t="shared" ca="1" si="2"/>
        <v>8</v>
      </c>
      <c r="R20" s="9">
        <f t="shared" ca="1" si="3"/>
        <v>0</v>
      </c>
      <c r="S20" s="9">
        <f t="shared" ca="1" si="9"/>
        <v>0</v>
      </c>
      <c r="T20" s="9">
        <f t="shared" ca="1" si="4"/>
        <v>2</v>
      </c>
      <c r="U20" s="9">
        <f t="shared" ca="1" si="10"/>
        <v>17</v>
      </c>
      <c r="V20" s="9">
        <f t="shared" si="5"/>
        <v>25</v>
      </c>
      <c r="W20" s="9">
        <f t="shared" ca="1" si="6"/>
        <v>1</v>
      </c>
    </row>
    <row r="21" spans="2:23" ht="15" customHeight="1" x14ac:dyDescent="0.45">
      <c r="B21" s="16">
        <v>2</v>
      </c>
      <c r="C21" s="17">
        <v>0.5</v>
      </c>
      <c r="D21" s="10">
        <f>D20+C20</f>
        <v>0.3</v>
      </c>
      <c r="L21" s="9">
        <v>17</v>
      </c>
      <c r="M21" s="9">
        <f t="shared" ca="1" si="7"/>
        <v>50</v>
      </c>
      <c r="N21" s="9">
        <f t="shared" ca="1" si="8"/>
        <v>50</v>
      </c>
      <c r="O21" s="9">
        <f t="shared" ca="1" si="0"/>
        <v>14</v>
      </c>
      <c r="P21" s="9">
        <f t="shared" ca="1" si="1"/>
        <v>14</v>
      </c>
      <c r="Q21" s="9">
        <f t="shared" ca="1" si="2"/>
        <v>0</v>
      </c>
      <c r="R21" s="9">
        <f t="shared" ca="1" si="3"/>
        <v>36</v>
      </c>
      <c r="S21" s="9">
        <f t="shared" ca="1" si="9"/>
        <v>0</v>
      </c>
      <c r="T21" s="9">
        <f t="shared" ca="1" si="4"/>
        <v>3</v>
      </c>
      <c r="U21" s="9">
        <f t="shared" ca="1" si="10"/>
        <v>17</v>
      </c>
      <c r="V21" s="9">
        <f t="shared" si="5"/>
        <v>25</v>
      </c>
      <c r="W21" s="9">
        <f t="shared" ca="1" si="6"/>
        <v>0</v>
      </c>
    </row>
    <row r="22" spans="2:23" ht="15" customHeight="1" x14ac:dyDescent="0.45">
      <c r="B22" s="16">
        <v>3</v>
      </c>
      <c r="C22" s="17">
        <v>0.2</v>
      </c>
      <c r="D22" s="10">
        <f>D21+C21</f>
        <v>0.8</v>
      </c>
      <c r="L22" s="9">
        <v>18</v>
      </c>
      <c r="M22" s="9">
        <f t="shared" ca="1" si="7"/>
        <v>0</v>
      </c>
      <c r="N22" s="9">
        <f t="shared" ca="1" si="8"/>
        <v>36</v>
      </c>
      <c r="O22" s="9">
        <f t="shared" ca="1" si="0"/>
        <v>8</v>
      </c>
      <c r="P22" s="9">
        <f t="shared" ca="1" si="1"/>
        <v>8</v>
      </c>
      <c r="Q22" s="9">
        <f t="shared" ca="1" si="2"/>
        <v>0</v>
      </c>
      <c r="R22" s="9">
        <f t="shared" ca="1" si="3"/>
        <v>28</v>
      </c>
      <c r="S22" s="9">
        <f t="shared" ca="1" si="9"/>
        <v>0</v>
      </c>
      <c r="T22" s="9">
        <f t="shared" ca="1" si="4"/>
        <v>3</v>
      </c>
      <c r="U22" s="9">
        <f t="shared" ca="1" si="10"/>
        <v>17</v>
      </c>
      <c r="V22" s="9">
        <f t="shared" si="5"/>
        <v>25</v>
      </c>
      <c r="W22" s="9">
        <f t="shared" ca="1" si="6"/>
        <v>0</v>
      </c>
    </row>
    <row r="23" spans="2:23" ht="15" customHeight="1" x14ac:dyDescent="0.45">
      <c r="L23" s="9">
        <v>19</v>
      </c>
      <c r="M23" s="9">
        <f t="shared" ca="1" si="7"/>
        <v>0</v>
      </c>
      <c r="N23" s="9">
        <f t="shared" ca="1" si="8"/>
        <v>28</v>
      </c>
      <c r="O23" s="9">
        <f t="shared" ca="1" si="0"/>
        <v>12</v>
      </c>
      <c r="P23" s="9">
        <f t="shared" ca="1" si="1"/>
        <v>12</v>
      </c>
      <c r="Q23" s="9">
        <f t="shared" ca="1" si="2"/>
        <v>0</v>
      </c>
      <c r="R23" s="9">
        <f t="shared" ca="1" si="3"/>
        <v>16</v>
      </c>
      <c r="S23" s="9">
        <f t="shared" ca="1" si="9"/>
        <v>1</v>
      </c>
      <c r="T23" s="9">
        <f t="shared" ca="1" si="4"/>
        <v>2</v>
      </c>
      <c r="U23" s="9">
        <f t="shared" ca="1" si="10"/>
        <v>22</v>
      </c>
      <c r="V23" s="9">
        <f t="shared" si="5"/>
        <v>25</v>
      </c>
      <c r="W23" s="9">
        <f t="shared" ca="1" si="6"/>
        <v>1</v>
      </c>
    </row>
    <row r="24" spans="2:23" ht="15" customHeight="1" x14ac:dyDescent="0.45">
      <c r="L24" s="9">
        <v>20</v>
      </c>
      <c r="M24" s="9">
        <f t="shared" ca="1" si="7"/>
        <v>0</v>
      </c>
      <c r="N24" s="9">
        <f t="shared" ca="1" si="8"/>
        <v>16</v>
      </c>
      <c r="O24" s="9">
        <f t="shared" ca="1" si="0"/>
        <v>10</v>
      </c>
      <c r="P24" s="9">
        <f t="shared" ca="1" si="1"/>
        <v>10</v>
      </c>
      <c r="Q24" s="9">
        <f t="shared" ca="1" si="2"/>
        <v>0</v>
      </c>
      <c r="R24" s="9">
        <f t="shared" ca="1" si="3"/>
        <v>6</v>
      </c>
      <c r="S24" s="9">
        <f t="shared" ca="1" si="9"/>
        <v>0</v>
      </c>
      <c r="T24" s="9">
        <f t="shared" ca="1" si="4"/>
        <v>1</v>
      </c>
      <c r="U24" s="9">
        <f t="shared" ca="1" si="10"/>
        <v>22</v>
      </c>
      <c r="V24" s="9">
        <f t="shared" si="5"/>
        <v>25</v>
      </c>
      <c r="W24" s="9">
        <f t="shared" ca="1" si="6"/>
        <v>1</v>
      </c>
    </row>
    <row r="25" spans="2:23" ht="15" customHeight="1" x14ac:dyDescent="0.45">
      <c r="B25" s="6" t="s">
        <v>89</v>
      </c>
      <c r="L25" s="9">
        <v>21</v>
      </c>
      <c r="M25" s="9">
        <f t="shared" ca="1" si="7"/>
        <v>0</v>
      </c>
      <c r="N25" s="9">
        <f t="shared" ca="1" si="8"/>
        <v>6</v>
      </c>
      <c r="O25" s="9">
        <f t="shared" ca="1" si="0"/>
        <v>10</v>
      </c>
      <c r="P25" s="9">
        <f t="shared" ca="1" si="1"/>
        <v>6</v>
      </c>
      <c r="Q25" s="9">
        <f t="shared" ca="1" si="2"/>
        <v>4</v>
      </c>
      <c r="R25" s="9">
        <f t="shared" ca="1" si="3"/>
        <v>0</v>
      </c>
      <c r="S25" s="9">
        <f t="shared" ca="1" si="9"/>
        <v>0</v>
      </c>
      <c r="T25" s="9">
        <f t="shared" ca="1" si="4"/>
        <v>2</v>
      </c>
      <c r="U25" s="9">
        <f t="shared" ca="1" si="10"/>
        <v>22</v>
      </c>
      <c r="V25" s="9">
        <f t="shared" si="5"/>
        <v>25</v>
      </c>
      <c r="W25" s="9">
        <f t="shared" ca="1" si="6"/>
        <v>1</v>
      </c>
    </row>
    <row r="26" spans="2:23" ht="24" customHeight="1" x14ac:dyDescent="0.45">
      <c r="B26" s="44" t="s">
        <v>90</v>
      </c>
      <c r="C26" s="31"/>
      <c r="D26" s="39" t="s">
        <v>91</v>
      </c>
      <c r="E26" s="40"/>
      <c r="F26" s="32" t="s">
        <v>92</v>
      </c>
      <c r="G26" s="33"/>
      <c r="H26" s="38" t="s">
        <v>93</v>
      </c>
      <c r="I26" s="35"/>
      <c r="L26" s="9">
        <v>22</v>
      </c>
      <c r="M26" s="9">
        <f t="shared" ca="1" si="7"/>
        <v>50</v>
      </c>
      <c r="N26" s="9">
        <f t="shared" ca="1" si="8"/>
        <v>50</v>
      </c>
      <c r="O26" s="9">
        <f t="shared" ca="1" si="0"/>
        <v>8</v>
      </c>
      <c r="P26" s="9">
        <f t="shared" ca="1" si="1"/>
        <v>8</v>
      </c>
      <c r="Q26" s="9">
        <f t="shared" ca="1" si="2"/>
        <v>0</v>
      </c>
      <c r="R26" s="9">
        <f t="shared" ca="1" si="3"/>
        <v>42</v>
      </c>
      <c r="S26" s="9">
        <f t="shared" ca="1" si="9"/>
        <v>0</v>
      </c>
      <c r="T26" s="9">
        <f t="shared" ca="1" si="4"/>
        <v>3</v>
      </c>
      <c r="U26" s="9">
        <f t="shared" ca="1" si="10"/>
        <v>22</v>
      </c>
      <c r="V26" s="9">
        <f t="shared" si="5"/>
        <v>25</v>
      </c>
      <c r="W26" s="9">
        <f t="shared" ca="1" si="6"/>
        <v>0</v>
      </c>
    </row>
    <row r="27" spans="2:23" ht="17" customHeight="1" x14ac:dyDescent="0.45">
      <c r="B27" s="30">
        <f ca="1">$C$8*SUM(S5:S94)+$C$9*SUM(R5:R94)+$C$10*SUM(Q5:Q94)</f>
        <v>3952</v>
      </c>
      <c r="C27" s="31"/>
      <c r="D27" s="53">
        <f ca="1">B27/90</f>
        <v>43.911111111111111</v>
      </c>
      <c r="E27" s="40"/>
      <c r="F27" s="52">
        <f ca="1">SUM(P5:P94)/SUM(O5:O94)</f>
        <v>0.94808126410835214</v>
      </c>
      <c r="G27" s="33"/>
      <c r="H27" s="45">
        <f ca="1">SUM(S5:S94)</f>
        <v>17</v>
      </c>
      <c r="I27" s="35"/>
      <c r="L27" s="9">
        <v>23</v>
      </c>
      <c r="M27" s="9">
        <f t="shared" ca="1" si="7"/>
        <v>0</v>
      </c>
      <c r="N27" s="9">
        <f t="shared" ca="1" si="8"/>
        <v>42</v>
      </c>
      <c r="O27" s="9">
        <f t="shared" ca="1" si="0"/>
        <v>12</v>
      </c>
      <c r="P27" s="9">
        <f t="shared" ca="1" si="1"/>
        <v>12</v>
      </c>
      <c r="Q27" s="9">
        <f t="shared" ca="1" si="2"/>
        <v>0</v>
      </c>
      <c r="R27" s="9">
        <f t="shared" ca="1" si="3"/>
        <v>30</v>
      </c>
      <c r="S27" s="9">
        <f t="shared" ca="1" si="9"/>
        <v>0</v>
      </c>
      <c r="T27" s="9">
        <f t="shared" ca="1" si="4"/>
        <v>1</v>
      </c>
      <c r="U27" s="9">
        <f t="shared" ca="1" si="10"/>
        <v>22</v>
      </c>
      <c r="V27" s="9">
        <f t="shared" si="5"/>
        <v>25</v>
      </c>
      <c r="W27" s="9">
        <f t="shared" ca="1" si="6"/>
        <v>0</v>
      </c>
    </row>
    <row r="28" spans="2:23" ht="17" customHeight="1" x14ac:dyDescent="0.45">
      <c r="B28" s="31"/>
      <c r="C28" s="31"/>
      <c r="D28" s="40"/>
      <c r="E28" s="40"/>
      <c r="F28" s="33"/>
      <c r="G28" s="33"/>
      <c r="H28" s="35"/>
      <c r="I28" s="35"/>
      <c r="L28" s="9">
        <v>24</v>
      </c>
      <c r="M28" s="9">
        <f t="shared" ca="1" si="7"/>
        <v>0</v>
      </c>
      <c r="N28" s="9">
        <f t="shared" ca="1" si="8"/>
        <v>30</v>
      </c>
      <c r="O28" s="9">
        <f t="shared" ca="1" si="0"/>
        <v>10</v>
      </c>
      <c r="P28" s="9">
        <f t="shared" ca="1" si="1"/>
        <v>10</v>
      </c>
      <c r="Q28" s="9">
        <f t="shared" ca="1" si="2"/>
        <v>0</v>
      </c>
      <c r="R28" s="9">
        <f t="shared" ca="1" si="3"/>
        <v>20</v>
      </c>
      <c r="S28" s="9">
        <f t="shared" ca="1" si="9"/>
        <v>1</v>
      </c>
      <c r="T28" s="9">
        <f t="shared" ca="1" si="4"/>
        <v>2</v>
      </c>
      <c r="U28" s="9">
        <f t="shared" ca="1" si="10"/>
        <v>27</v>
      </c>
      <c r="V28" s="9">
        <f t="shared" si="5"/>
        <v>25</v>
      </c>
      <c r="W28" s="9">
        <f t="shared" ca="1" si="6"/>
        <v>1</v>
      </c>
    </row>
    <row r="29" spans="2:23" ht="15" customHeight="1" x14ac:dyDescent="0.45">
      <c r="L29" s="9">
        <v>25</v>
      </c>
      <c r="M29" s="9">
        <f t="shared" ca="1" si="7"/>
        <v>0</v>
      </c>
      <c r="N29" s="9">
        <f t="shared" ca="1" si="8"/>
        <v>20</v>
      </c>
      <c r="O29" s="9">
        <f t="shared" ca="1" si="0"/>
        <v>12</v>
      </c>
      <c r="P29" s="9">
        <f t="shared" ca="1" si="1"/>
        <v>12</v>
      </c>
      <c r="Q29" s="9">
        <f t="shared" ca="1" si="2"/>
        <v>0</v>
      </c>
      <c r="R29" s="9">
        <f t="shared" ca="1" si="3"/>
        <v>8</v>
      </c>
      <c r="S29" s="9">
        <f t="shared" ca="1" si="9"/>
        <v>0</v>
      </c>
      <c r="T29" s="9">
        <f t="shared" ca="1" si="4"/>
        <v>2</v>
      </c>
      <c r="U29" s="9">
        <f t="shared" ca="1" si="10"/>
        <v>27</v>
      </c>
      <c r="V29" s="9">
        <f t="shared" si="5"/>
        <v>25</v>
      </c>
      <c r="W29" s="9">
        <f t="shared" ca="1" si="6"/>
        <v>1</v>
      </c>
    </row>
    <row r="30" spans="2:23" ht="24" customHeight="1" x14ac:dyDescent="0.45">
      <c r="B30" s="36" t="s">
        <v>94</v>
      </c>
      <c r="C30" s="37"/>
      <c r="D30" s="44" t="s">
        <v>95</v>
      </c>
      <c r="E30" s="31"/>
      <c r="F30" s="47" t="s">
        <v>96</v>
      </c>
      <c r="G30" s="48"/>
      <c r="H30" s="39" t="s">
        <v>97</v>
      </c>
      <c r="I30" s="40"/>
      <c r="L30" s="9">
        <v>26</v>
      </c>
      <c r="M30" s="9">
        <f t="shared" ca="1" si="7"/>
        <v>0</v>
      </c>
      <c r="N30" s="9">
        <f t="shared" ca="1" si="8"/>
        <v>8</v>
      </c>
      <c r="O30" s="9">
        <f t="shared" ca="1" si="0"/>
        <v>10</v>
      </c>
      <c r="P30" s="9">
        <f t="shared" ca="1" si="1"/>
        <v>8</v>
      </c>
      <c r="Q30" s="9">
        <f t="shared" ca="1" si="2"/>
        <v>2</v>
      </c>
      <c r="R30" s="9">
        <f t="shared" ca="1" si="3"/>
        <v>0</v>
      </c>
      <c r="S30" s="9">
        <f t="shared" ca="1" si="9"/>
        <v>0</v>
      </c>
      <c r="T30" s="9">
        <f t="shared" ca="1" si="4"/>
        <v>3</v>
      </c>
      <c r="U30" s="9">
        <f t="shared" ca="1" si="10"/>
        <v>27</v>
      </c>
      <c r="V30" s="9">
        <f t="shared" si="5"/>
        <v>25</v>
      </c>
      <c r="W30" s="9">
        <f t="shared" ca="1" si="6"/>
        <v>1</v>
      </c>
    </row>
    <row r="31" spans="2:23" ht="17" customHeight="1" x14ac:dyDescent="0.45">
      <c r="B31" s="49">
        <f ca="1">AVERAGE(R5:R94)</f>
        <v>22.466666666666665</v>
      </c>
      <c r="C31" s="37"/>
      <c r="D31" s="46">
        <f ca="1">COUNTIF(Q5:Q94,"&gt;0")</f>
        <v>11</v>
      </c>
      <c r="E31" s="31"/>
      <c r="F31" s="51">
        <f ca="1">SUM(Q5:Q94)</f>
        <v>46</v>
      </c>
      <c r="G31" s="48"/>
      <c r="H31" s="50">
        <f ca="1">AVERAGE(O5:O94)</f>
        <v>9.844444444444445</v>
      </c>
      <c r="I31" s="40"/>
      <c r="L31" s="9">
        <v>27</v>
      </c>
      <c r="M31" s="9">
        <f t="shared" ca="1" si="7"/>
        <v>50</v>
      </c>
      <c r="N31" s="9">
        <f t="shared" ca="1" si="8"/>
        <v>50</v>
      </c>
      <c r="O31" s="9">
        <f t="shared" ca="1" si="0"/>
        <v>8</v>
      </c>
      <c r="P31" s="9">
        <f t="shared" ca="1" si="1"/>
        <v>8</v>
      </c>
      <c r="Q31" s="9">
        <f t="shared" ca="1" si="2"/>
        <v>0</v>
      </c>
      <c r="R31" s="9">
        <f t="shared" ca="1" si="3"/>
        <v>42</v>
      </c>
      <c r="S31" s="9">
        <f t="shared" ca="1" si="9"/>
        <v>0</v>
      </c>
      <c r="T31" s="9">
        <f t="shared" ca="1" si="4"/>
        <v>2</v>
      </c>
      <c r="U31" s="9">
        <f t="shared" ca="1" si="10"/>
        <v>27</v>
      </c>
      <c r="V31" s="9">
        <f t="shared" si="5"/>
        <v>25</v>
      </c>
      <c r="W31" s="9">
        <f t="shared" ca="1" si="6"/>
        <v>0</v>
      </c>
    </row>
    <row r="32" spans="2:23" ht="17" customHeight="1" x14ac:dyDescent="0.45">
      <c r="B32" s="37"/>
      <c r="C32" s="37"/>
      <c r="D32" s="31"/>
      <c r="E32" s="31"/>
      <c r="F32" s="48"/>
      <c r="G32" s="48"/>
      <c r="H32" s="40"/>
      <c r="I32" s="40"/>
      <c r="L32" s="9">
        <v>28</v>
      </c>
      <c r="M32" s="9">
        <f t="shared" ca="1" si="7"/>
        <v>0</v>
      </c>
      <c r="N32" s="9">
        <f t="shared" ca="1" si="8"/>
        <v>42</v>
      </c>
      <c r="O32" s="9">
        <f t="shared" ca="1" si="0"/>
        <v>10</v>
      </c>
      <c r="P32" s="9">
        <f t="shared" ca="1" si="1"/>
        <v>10</v>
      </c>
      <c r="Q32" s="9">
        <f t="shared" ca="1" si="2"/>
        <v>0</v>
      </c>
      <c r="R32" s="9">
        <f t="shared" ca="1" si="3"/>
        <v>32</v>
      </c>
      <c r="S32" s="9">
        <f t="shared" ca="1" si="9"/>
        <v>0</v>
      </c>
      <c r="T32" s="9">
        <f t="shared" ca="1" si="4"/>
        <v>2</v>
      </c>
      <c r="U32" s="9">
        <f t="shared" ca="1" si="10"/>
        <v>27</v>
      </c>
      <c r="V32" s="9">
        <f t="shared" si="5"/>
        <v>25</v>
      </c>
      <c r="W32" s="9">
        <f t="shared" ca="1" si="6"/>
        <v>0</v>
      </c>
    </row>
    <row r="33" spans="2:23" ht="15" customHeight="1" x14ac:dyDescent="0.45">
      <c r="L33" s="9">
        <v>29</v>
      </c>
      <c r="M33" s="9">
        <f t="shared" ca="1" si="7"/>
        <v>0</v>
      </c>
      <c r="N33" s="9">
        <f t="shared" ca="1" si="8"/>
        <v>32</v>
      </c>
      <c r="O33" s="9">
        <f t="shared" ca="1" si="0"/>
        <v>10</v>
      </c>
      <c r="P33" s="9">
        <f t="shared" ca="1" si="1"/>
        <v>10</v>
      </c>
      <c r="Q33" s="9">
        <f t="shared" ca="1" si="2"/>
        <v>0</v>
      </c>
      <c r="R33" s="9">
        <f t="shared" ca="1" si="3"/>
        <v>22</v>
      </c>
      <c r="S33" s="9">
        <f t="shared" ca="1" si="9"/>
        <v>1</v>
      </c>
      <c r="T33" s="9">
        <f t="shared" ca="1" si="4"/>
        <v>2</v>
      </c>
      <c r="U33" s="9">
        <f t="shared" ca="1" si="10"/>
        <v>32</v>
      </c>
      <c r="V33" s="9">
        <f t="shared" si="5"/>
        <v>25</v>
      </c>
      <c r="W33" s="9">
        <f t="shared" ca="1" si="6"/>
        <v>1</v>
      </c>
    </row>
    <row r="34" spans="2:23" ht="28.05" customHeight="1" x14ac:dyDescent="0.45">
      <c r="B34" s="3" t="s">
        <v>98</v>
      </c>
      <c r="C34" s="3" t="s">
        <v>99</v>
      </c>
      <c r="L34" s="9">
        <v>30</v>
      </c>
      <c r="M34" s="9">
        <f t="shared" ca="1" si="7"/>
        <v>0</v>
      </c>
      <c r="N34" s="9">
        <f t="shared" ca="1" si="8"/>
        <v>22</v>
      </c>
      <c r="O34" s="9">
        <f t="shared" ca="1" si="0"/>
        <v>6</v>
      </c>
      <c r="P34" s="9">
        <f t="shared" ca="1" si="1"/>
        <v>6</v>
      </c>
      <c r="Q34" s="9">
        <f t="shared" ca="1" si="2"/>
        <v>0</v>
      </c>
      <c r="R34" s="9">
        <f t="shared" ca="1" si="3"/>
        <v>16</v>
      </c>
      <c r="S34" s="9">
        <f t="shared" ca="1" si="9"/>
        <v>0</v>
      </c>
      <c r="T34" s="9">
        <f t="shared" ca="1" si="4"/>
        <v>1</v>
      </c>
      <c r="U34" s="9">
        <f t="shared" ca="1" si="10"/>
        <v>32</v>
      </c>
      <c r="V34" s="9">
        <f t="shared" si="5"/>
        <v>25</v>
      </c>
      <c r="W34" s="9">
        <f t="shared" ca="1" si="6"/>
        <v>1</v>
      </c>
    </row>
    <row r="35" spans="2:23" ht="15" customHeight="1" x14ac:dyDescent="0.45">
      <c r="B35" s="7" t="s">
        <v>100</v>
      </c>
      <c r="C35" s="14">
        <f ca="1">$C$8*SUM(S5:S94)</f>
        <v>1700</v>
      </c>
      <c r="L35" s="9">
        <v>31</v>
      </c>
      <c r="M35" s="9">
        <f t="shared" ca="1" si="7"/>
        <v>0</v>
      </c>
      <c r="N35" s="9">
        <f t="shared" ca="1" si="8"/>
        <v>16</v>
      </c>
      <c r="O35" s="9">
        <f t="shared" ca="1" si="0"/>
        <v>6</v>
      </c>
      <c r="P35" s="9">
        <f t="shared" ca="1" si="1"/>
        <v>6</v>
      </c>
      <c r="Q35" s="9">
        <f t="shared" ca="1" si="2"/>
        <v>0</v>
      </c>
      <c r="R35" s="9">
        <f t="shared" ca="1" si="3"/>
        <v>10</v>
      </c>
      <c r="S35" s="9">
        <f t="shared" ca="1" si="9"/>
        <v>0</v>
      </c>
      <c r="T35" s="9">
        <f t="shared" ca="1" si="4"/>
        <v>2</v>
      </c>
      <c r="U35" s="9">
        <f t="shared" ca="1" si="10"/>
        <v>32</v>
      </c>
      <c r="V35" s="9">
        <f t="shared" si="5"/>
        <v>25</v>
      </c>
      <c r="W35" s="9">
        <f t="shared" ca="1" si="6"/>
        <v>1</v>
      </c>
    </row>
    <row r="36" spans="2:23" ht="15" customHeight="1" x14ac:dyDescent="0.45">
      <c r="B36" s="7" t="s">
        <v>101</v>
      </c>
      <c r="C36" s="14">
        <f ca="1">$C$9*SUM(R5:R94)</f>
        <v>2022</v>
      </c>
      <c r="L36" s="9">
        <v>32</v>
      </c>
      <c r="M36" s="9">
        <f t="shared" ca="1" si="7"/>
        <v>50</v>
      </c>
      <c r="N36" s="9">
        <f t="shared" ca="1" si="8"/>
        <v>60</v>
      </c>
      <c r="O36" s="9">
        <f t="shared" ca="1" si="0"/>
        <v>8</v>
      </c>
      <c r="P36" s="9">
        <f t="shared" ca="1" si="1"/>
        <v>8</v>
      </c>
      <c r="Q36" s="9">
        <f t="shared" ca="1" si="2"/>
        <v>0</v>
      </c>
      <c r="R36" s="9">
        <f t="shared" ca="1" si="3"/>
        <v>52</v>
      </c>
      <c r="S36" s="9">
        <f t="shared" ca="1" si="9"/>
        <v>0</v>
      </c>
      <c r="T36" s="9">
        <f t="shared" ca="1" si="4"/>
        <v>1</v>
      </c>
      <c r="U36" s="9">
        <f t="shared" ca="1" si="10"/>
        <v>32</v>
      </c>
      <c r="V36" s="9">
        <f t="shared" si="5"/>
        <v>25</v>
      </c>
      <c r="W36" s="9">
        <f t="shared" ca="1" si="6"/>
        <v>0</v>
      </c>
    </row>
    <row r="37" spans="2:23" ht="15" customHeight="1" x14ac:dyDescent="0.45">
      <c r="B37" s="7" t="s">
        <v>102</v>
      </c>
      <c r="C37" s="14">
        <f ca="1">$C$10*SUM(Q5:Q94)</f>
        <v>230</v>
      </c>
      <c r="L37" s="9">
        <v>33</v>
      </c>
      <c r="M37" s="9">
        <f t="shared" ca="1" si="7"/>
        <v>0</v>
      </c>
      <c r="N37" s="9">
        <f t="shared" ca="1" si="8"/>
        <v>52</v>
      </c>
      <c r="O37" s="9">
        <f t="shared" ref="O37:O68" ca="1" si="11">INDEX($B$13:$B$17,MATCH(RAND(),$D$13:$D$17,1))</f>
        <v>8</v>
      </c>
      <c r="P37" s="9">
        <f t="shared" ref="P37:P68" ca="1" si="12">MIN(N37,O37)</f>
        <v>8</v>
      </c>
      <c r="Q37" s="9">
        <f t="shared" ref="Q37:Q68" ca="1" si="13">O37-P37</f>
        <v>0</v>
      </c>
      <c r="R37" s="9">
        <f t="shared" ref="R37:R68" ca="1" si="14">N37-P37</f>
        <v>44</v>
      </c>
      <c r="S37" s="9">
        <f t="shared" ca="1" si="9"/>
        <v>0</v>
      </c>
      <c r="T37" s="9">
        <f t="shared" ref="T37:T68" ca="1" si="15">INDEX($B$20:$B$22,MATCH(RAND(),$D$20:$D$22,1))</f>
        <v>2</v>
      </c>
      <c r="U37" s="9">
        <f t="shared" ca="1" si="10"/>
        <v>32</v>
      </c>
      <c r="V37" s="9">
        <f t="shared" ref="V37:V68" si="16">$C$6</f>
        <v>25</v>
      </c>
      <c r="W37" s="9">
        <f t="shared" ref="W37:W68" ca="1" si="17">IF(U37&gt;L37,1,0)</f>
        <v>0</v>
      </c>
    </row>
    <row r="38" spans="2:23" ht="15" customHeight="1" x14ac:dyDescent="0.45">
      <c r="L38" s="9">
        <v>34</v>
      </c>
      <c r="M38" s="9">
        <f t="shared" ref="M38:M69" ca="1" si="18">IF(U37=L38,$C$5,0)</f>
        <v>0</v>
      </c>
      <c r="N38" s="9">
        <f t="shared" ref="N38:N69" ca="1" si="19">R37+M38</f>
        <v>44</v>
      </c>
      <c r="O38" s="9">
        <f t="shared" ca="1" si="11"/>
        <v>10</v>
      </c>
      <c r="P38" s="9">
        <f t="shared" ca="1" si="12"/>
        <v>10</v>
      </c>
      <c r="Q38" s="9">
        <f t="shared" ca="1" si="13"/>
        <v>0</v>
      </c>
      <c r="R38" s="9">
        <f t="shared" ca="1" si="14"/>
        <v>34</v>
      </c>
      <c r="S38" s="9">
        <f t="shared" ref="S38:S69" ca="1" si="20">IF(AND(R38&lt;=$C$6,U37&lt;=L38),1,0)</f>
        <v>0</v>
      </c>
      <c r="T38" s="9">
        <f t="shared" ca="1" si="15"/>
        <v>3</v>
      </c>
      <c r="U38" s="9">
        <f t="shared" ref="U38:U69" ca="1" si="21">IF(S38=1,L38+T38+1,U37)</f>
        <v>32</v>
      </c>
      <c r="V38" s="9">
        <f t="shared" si="16"/>
        <v>25</v>
      </c>
      <c r="W38" s="9">
        <f t="shared" ca="1" si="17"/>
        <v>0</v>
      </c>
    </row>
    <row r="39" spans="2:23" ht="15" customHeight="1" x14ac:dyDescent="0.45">
      <c r="L39" s="9">
        <v>35</v>
      </c>
      <c r="M39" s="9">
        <f t="shared" ca="1" si="18"/>
        <v>0</v>
      </c>
      <c r="N39" s="9">
        <f t="shared" ca="1" si="19"/>
        <v>34</v>
      </c>
      <c r="O39" s="9">
        <f t="shared" ca="1" si="11"/>
        <v>12</v>
      </c>
      <c r="P39" s="9">
        <f t="shared" ca="1" si="12"/>
        <v>12</v>
      </c>
      <c r="Q39" s="9">
        <f t="shared" ca="1" si="13"/>
        <v>0</v>
      </c>
      <c r="R39" s="9">
        <f t="shared" ca="1" si="14"/>
        <v>22</v>
      </c>
      <c r="S39" s="9">
        <f t="shared" ca="1" si="20"/>
        <v>1</v>
      </c>
      <c r="T39" s="9">
        <f t="shared" ca="1" si="15"/>
        <v>2</v>
      </c>
      <c r="U39" s="9">
        <f t="shared" ca="1" si="21"/>
        <v>38</v>
      </c>
      <c r="V39" s="9">
        <f t="shared" si="16"/>
        <v>25</v>
      </c>
      <c r="W39" s="9">
        <f t="shared" ca="1" si="17"/>
        <v>1</v>
      </c>
    </row>
    <row r="40" spans="2:23" ht="15" customHeight="1" x14ac:dyDescent="0.45">
      <c r="L40" s="9">
        <v>36</v>
      </c>
      <c r="M40" s="9">
        <f t="shared" ca="1" si="18"/>
        <v>0</v>
      </c>
      <c r="N40" s="9">
        <f t="shared" ca="1" si="19"/>
        <v>22</v>
      </c>
      <c r="O40" s="9">
        <f t="shared" ca="1" si="11"/>
        <v>10</v>
      </c>
      <c r="P40" s="9">
        <f t="shared" ca="1" si="12"/>
        <v>10</v>
      </c>
      <c r="Q40" s="9">
        <f t="shared" ca="1" si="13"/>
        <v>0</v>
      </c>
      <c r="R40" s="9">
        <f t="shared" ca="1" si="14"/>
        <v>12</v>
      </c>
      <c r="S40" s="9">
        <f t="shared" ca="1" si="20"/>
        <v>0</v>
      </c>
      <c r="T40" s="9">
        <f t="shared" ca="1" si="15"/>
        <v>2</v>
      </c>
      <c r="U40" s="9">
        <f t="shared" ca="1" si="21"/>
        <v>38</v>
      </c>
      <c r="V40" s="9">
        <f t="shared" si="16"/>
        <v>25</v>
      </c>
      <c r="W40" s="9">
        <f t="shared" ca="1" si="17"/>
        <v>1</v>
      </c>
    </row>
    <row r="41" spans="2:23" ht="15" customHeight="1" x14ac:dyDescent="0.45">
      <c r="L41" s="9">
        <v>37</v>
      </c>
      <c r="M41" s="9">
        <f t="shared" ca="1" si="18"/>
        <v>0</v>
      </c>
      <c r="N41" s="9">
        <f t="shared" ca="1" si="19"/>
        <v>12</v>
      </c>
      <c r="O41" s="9">
        <f t="shared" ca="1" si="11"/>
        <v>8</v>
      </c>
      <c r="P41" s="9">
        <f t="shared" ca="1" si="12"/>
        <v>8</v>
      </c>
      <c r="Q41" s="9">
        <f t="shared" ca="1" si="13"/>
        <v>0</v>
      </c>
      <c r="R41" s="9">
        <f t="shared" ca="1" si="14"/>
        <v>4</v>
      </c>
      <c r="S41" s="9">
        <f t="shared" ca="1" si="20"/>
        <v>0</v>
      </c>
      <c r="T41" s="9">
        <f t="shared" ca="1" si="15"/>
        <v>1</v>
      </c>
      <c r="U41" s="9">
        <f t="shared" ca="1" si="21"/>
        <v>38</v>
      </c>
      <c r="V41" s="9">
        <f t="shared" si="16"/>
        <v>25</v>
      </c>
      <c r="W41" s="9">
        <f t="shared" ca="1" si="17"/>
        <v>1</v>
      </c>
    </row>
    <row r="42" spans="2:23" ht="15" customHeight="1" x14ac:dyDescent="0.45">
      <c r="L42" s="9">
        <v>38</v>
      </c>
      <c r="M42" s="9">
        <f t="shared" ca="1" si="18"/>
        <v>50</v>
      </c>
      <c r="N42" s="9">
        <f t="shared" ca="1" si="19"/>
        <v>54</v>
      </c>
      <c r="O42" s="9">
        <f t="shared" ca="1" si="11"/>
        <v>6</v>
      </c>
      <c r="P42" s="9">
        <f t="shared" ca="1" si="12"/>
        <v>6</v>
      </c>
      <c r="Q42" s="9">
        <f t="shared" ca="1" si="13"/>
        <v>0</v>
      </c>
      <c r="R42" s="9">
        <f t="shared" ca="1" si="14"/>
        <v>48</v>
      </c>
      <c r="S42" s="9">
        <f t="shared" ca="1" si="20"/>
        <v>0</v>
      </c>
      <c r="T42" s="9">
        <f t="shared" ca="1" si="15"/>
        <v>3</v>
      </c>
      <c r="U42" s="9">
        <f t="shared" ca="1" si="21"/>
        <v>38</v>
      </c>
      <c r="V42" s="9">
        <f t="shared" si="16"/>
        <v>25</v>
      </c>
      <c r="W42" s="9">
        <f t="shared" ca="1" si="17"/>
        <v>0</v>
      </c>
    </row>
    <row r="43" spans="2:23" ht="15" customHeight="1" x14ac:dyDescent="0.45">
      <c r="L43" s="9">
        <v>39</v>
      </c>
      <c r="M43" s="9">
        <f t="shared" ca="1" si="18"/>
        <v>0</v>
      </c>
      <c r="N43" s="9">
        <f t="shared" ca="1" si="19"/>
        <v>48</v>
      </c>
      <c r="O43" s="9">
        <f t="shared" ca="1" si="11"/>
        <v>12</v>
      </c>
      <c r="P43" s="9">
        <f t="shared" ca="1" si="12"/>
        <v>12</v>
      </c>
      <c r="Q43" s="9">
        <f t="shared" ca="1" si="13"/>
        <v>0</v>
      </c>
      <c r="R43" s="9">
        <f t="shared" ca="1" si="14"/>
        <v>36</v>
      </c>
      <c r="S43" s="9">
        <f t="shared" ca="1" si="20"/>
        <v>0</v>
      </c>
      <c r="T43" s="9">
        <f t="shared" ca="1" si="15"/>
        <v>1</v>
      </c>
      <c r="U43" s="9">
        <f t="shared" ca="1" si="21"/>
        <v>38</v>
      </c>
      <c r="V43" s="9">
        <f t="shared" si="16"/>
        <v>25</v>
      </c>
      <c r="W43" s="9">
        <f t="shared" ca="1" si="17"/>
        <v>0</v>
      </c>
    </row>
    <row r="44" spans="2:23" ht="15" customHeight="1" x14ac:dyDescent="0.45">
      <c r="L44" s="9">
        <v>40</v>
      </c>
      <c r="M44" s="9">
        <f t="shared" ca="1" si="18"/>
        <v>0</v>
      </c>
      <c r="N44" s="9">
        <f t="shared" ca="1" si="19"/>
        <v>36</v>
      </c>
      <c r="O44" s="9">
        <f t="shared" ca="1" si="11"/>
        <v>12</v>
      </c>
      <c r="P44" s="9">
        <f t="shared" ca="1" si="12"/>
        <v>12</v>
      </c>
      <c r="Q44" s="9">
        <f t="shared" ca="1" si="13"/>
        <v>0</v>
      </c>
      <c r="R44" s="9">
        <f t="shared" ca="1" si="14"/>
        <v>24</v>
      </c>
      <c r="S44" s="9">
        <f t="shared" ca="1" si="20"/>
        <v>1</v>
      </c>
      <c r="T44" s="9">
        <f t="shared" ca="1" si="15"/>
        <v>1</v>
      </c>
      <c r="U44" s="9">
        <f t="shared" ca="1" si="21"/>
        <v>42</v>
      </c>
      <c r="V44" s="9">
        <f t="shared" si="16"/>
        <v>25</v>
      </c>
      <c r="W44" s="9">
        <f t="shared" ca="1" si="17"/>
        <v>1</v>
      </c>
    </row>
    <row r="45" spans="2:23" ht="15" customHeight="1" x14ac:dyDescent="0.45">
      <c r="L45" s="9">
        <v>41</v>
      </c>
      <c r="M45" s="9">
        <f t="shared" ca="1" si="18"/>
        <v>0</v>
      </c>
      <c r="N45" s="9">
        <f t="shared" ca="1" si="19"/>
        <v>24</v>
      </c>
      <c r="O45" s="9">
        <f t="shared" ca="1" si="11"/>
        <v>8</v>
      </c>
      <c r="P45" s="9">
        <f t="shared" ca="1" si="12"/>
        <v>8</v>
      </c>
      <c r="Q45" s="9">
        <f t="shared" ca="1" si="13"/>
        <v>0</v>
      </c>
      <c r="R45" s="9">
        <f t="shared" ca="1" si="14"/>
        <v>16</v>
      </c>
      <c r="S45" s="9">
        <f t="shared" ca="1" si="20"/>
        <v>0</v>
      </c>
      <c r="T45" s="9">
        <f t="shared" ca="1" si="15"/>
        <v>3</v>
      </c>
      <c r="U45" s="9">
        <f t="shared" ca="1" si="21"/>
        <v>42</v>
      </c>
      <c r="V45" s="9">
        <f t="shared" si="16"/>
        <v>25</v>
      </c>
      <c r="W45" s="9">
        <f t="shared" ca="1" si="17"/>
        <v>1</v>
      </c>
    </row>
    <row r="46" spans="2:23" ht="15" customHeight="1" x14ac:dyDescent="0.45">
      <c r="L46" s="9">
        <v>42</v>
      </c>
      <c r="M46" s="9">
        <f t="shared" ca="1" si="18"/>
        <v>50</v>
      </c>
      <c r="N46" s="9">
        <f t="shared" ca="1" si="19"/>
        <v>66</v>
      </c>
      <c r="O46" s="9">
        <f t="shared" ca="1" si="11"/>
        <v>12</v>
      </c>
      <c r="P46" s="9">
        <f t="shared" ca="1" si="12"/>
        <v>12</v>
      </c>
      <c r="Q46" s="9">
        <f t="shared" ca="1" si="13"/>
        <v>0</v>
      </c>
      <c r="R46" s="9">
        <f t="shared" ca="1" si="14"/>
        <v>54</v>
      </c>
      <c r="S46" s="9">
        <f t="shared" ca="1" si="20"/>
        <v>0</v>
      </c>
      <c r="T46" s="9">
        <f t="shared" ca="1" si="15"/>
        <v>2</v>
      </c>
      <c r="U46" s="9">
        <f t="shared" ca="1" si="21"/>
        <v>42</v>
      </c>
      <c r="V46" s="9">
        <f t="shared" si="16"/>
        <v>25</v>
      </c>
      <c r="W46" s="9">
        <f t="shared" ca="1" si="17"/>
        <v>0</v>
      </c>
    </row>
    <row r="47" spans="2:23" ht="15" customHeight="1" x14ac:dyDescent="0.45">
      <c r="L47" s="9">
        <v>43</v>
      </c>
      <c r="M47" s="9">
        <f t="shared" ca="1" si="18"/>
        <v>0</v>
      </c>
      <c r="N47" s="9">
        <f t="shared" ca="1" si="19"/>
        <v>54</v>
      </c>
      <c r="O47" s="9">
        <f t="shared" ca="1" si="11"/>
        <v>8</v>
      </c>
      <c r="P47" s="9">
        <f t="shared" ca="1" si="12"/>
        <v>8</v>
      </c>
      <c r="Q47" s="9">
        <f t="shared" ca="1" si="13"/>
        <v>0</v>
      </c>
      <c r="R47" s="9">
        <f t="shared" ca="1" si="14"/>
        <v>46</v>
      </c>
      <c r="S47" s="9">
        <f t="shared" ca="1" si="20"/>
        <v>0</v>
      </c>
      <c r="T47" s="9">
        <f t="shared" ca="1" si="15"/>
        <v>2</v>
      </c>
      <c r="U47" s="9">
        <f t="shared" ca="1" si="21"/>
        <v>42</v>
      </c>
      <c r="V47" s="9">
        <f t="shared" si="16"/>
        <v>25</v>
      </c>
      <c r="W47" s="9">
        <f t="shared" ca="1" si="17"/>
        <v>0</v>
      </c>
    </row>
    <row r="48" spans="2:23" ht="15" customHeight="1" x14ac:dyDescent="0.45">
      <c r="L48" s="9">
        <v>44</v>
      </c>
      <c r="M48" s="9">
        <f t="shared" ca="1" si="18"/>
        <v>0</v>
      </c>
      <c r="N48" s="9">
        <f t="shared" ca="1" si="19"/>
        <v>46</v>
      </c>
      <c r="O48" s="9">
        <f t="shared" ca="1" si="11"/>
        <v>6</v>
      </c>
      <c r="P48" s="9">
        <f t="shared" ca="1" si="12"/>
        <v>6</v>
      </c>
      <c r="Q48" s="9">
        <f t="shared" ca="1" si="13"/>
        <v>0</v>
      </c>
      <c r="R48" s="9">
        <f t="shared" ca="1" si="14"/>
        <v>40</v>
      </c>
      <c r="S48" s="9">
        <f t="shared" ca="1" si="20"/>
        <v>0</v>
      </c>
      <c r="T48" s="9">
        <f t="shared" ca="1" si="15"/>
        <v>3</v>
      </c>
      <c r="U48" s="9">
        <f t="shared" ca="1" si="21"/>
        <v>42</v>
      </c>
      <c r="V48" s="9">
        <f t="shared" si="16"/>
        <v>25</v>
      </c>
      <c r="W48" s="9">
        <f t="shared" ca="1" si="17"/>
        <v>0</v>
      </c>
    </row>
    <row r="49" spans="2:23" ht="15" customHeight="1" x14ac:dyDescent="0.45">
      <c r="L49" s="9">
        <v>45</v>
      </c>
      <c r="M49" s="9">
        <f t="shared" ca="1" si="18"/>
        <v>0</v>
      </c>
      <c r="N49" s="9">
        <f t="shared" ca="1" si="19"/>
        <v>40</v>
      </c>
      <c r="O49" s="9">
        <f t="shared" ca="1" si="11"/>
        <v>10</v>
      </c>
      <c r="P49" s="9">
        <f t="shared" ca="1" si="12"/>
        <v>10</v>
      </c>
      <c r="Q49" s="9">
        <f t="shared" ca="1" si="13"/>
        <v>0</v>
      </c>
      <c r="R49" s="9">
        <f t="shared" ca="1" si="14"/>
        <v>30</v>
      </c>
      <c r="S49" s="9">
        <f t="shared" ca="1" si="20"/>
        <v>0</v>
      </c>
      <c r="T49" s="9">
        <f t="shared" ca="1" si="15"/>
        <v>1</v>
      </c>
      <c r="U49" s="9">
        <f t="shared" ca="1" si="21"/>
        <v>42</v>
      </c>
      <c r="V49" s="9">
        <f t="shared" si="16"/>
        <v>25</v>
      </c>
      <c r="W49" s="9">
        <f t="shared" ca="1" si="17"/>
        <v>0</v>
      </c>
    </row>
    <row r="50" spans="2:23" ht="15" customHeight="1" x14ac:dyDescent="0.45">
      <c r="L50" s="9">
        <v>46</v>
      </c>
      <c r="M50" s="9">
        <f t="shared" ca="1" si="18"/>
        <v>0</v>
      </c>
      <c r="N50" s="9">
        <f t="shared" ca="1" si="19"/>
        <v>30</v>
      </c>
      <c r="O50" s="9">
        <f t="shared" ca="1" si="11"/>
        <v>12</v>
      </c>
      <c r="P50" s="9">
        <f t="shared" ca="1" si="12"/>
        <v>12</v>
      </c>
      <c r="Q50" s="9">
        <f t="shared" ca="1" si="13"/>
        <v>0</v>
      </c>
      <c r="R50" s="9">
        <f t="shared" ca="1" si="14"/>
        <v>18</v>
      </c>
      <c r="S50" s="9">
        <f t="shared" ca="1" si="20"/>
        <v>1</v>
      </c>
      <c r="T50" s="9">
        <f t="shared" ca="1" si="15"/>
        <v>2</v>
      </c>
      <c r="U50" s="9">
        <f t="shared" ca="1" si="21"/>
        <v>49</v>
      </c>
      <c r="V50" s="9">
        <f t="shared" si="16"/>
        <v>25</v>
      </c>
      <c r="W50" s="9">
        <f t="shared" ca="1" si="17"/>
        <v>1</v>
      </c>
    </row>
    <row r="51" spans="2:23" ht="15" customHeight="1" x14ac:dyDescent="0.45">
      <c r="L51" s="9">
        <v>47</v>
      </c>
      <c r="M51" s="9">
        <f t="shared" ca="1" si="18"/>
        <v>0</v>
      </c>
      <c r="N51" s="9">
        <f t="shared" ca="1" si="19"/>
        <v>18</v>
      </c>
      <c r="O51" s="9">
        <f t="shared" ca="1" si="11"/>
        <v>14</v>
      </c>
      <c r="P51" s="9">
        <f t="shared" ca="1" si="12"/>
        <v>14</v>
      </c>
      <c r="Q51" s="9">
        <f t="shared" ca="1" si="13"/>
        <v>0</v>
      </c>
      <c r="R51" s="9">
        <f t="shared" ca="1" si="14"/>
        <v>4</v>
      </c>
      <c r="S51" s="9">
        <f t="shared" ca="1" si="20"/>
        <v>0</v>
      </c>
      <c r="T51" s="9">
        <f t="shared" ca="1" si="15"/>
        <v>3</v>
      </c>
      <c r="U51" s="9">
        <f t="shared" ca="1" si="21"/>
        <v>49</v>
      </c>
      <c r="V51" s="9">
        <f t="shared" si="16"/>
        <v>25</v>
      </c>
      <c r="W51" s="9">
        <f t="shared" ca="1" si="17"/>
        <v>1</v>
      </c>
    </row>
    <row r="52" spans="2:23" ht="15" customHeight="1" x14ac:dyDescent="0.45">
      <c r="L52" s="9">
        <v>48</v>
      </c>
      <c r="M52" s="9">
        <f t="shared" ca="1" si="18"/>
        <v>0</v>
      </c>
      <c r="N52" s="9">
        <f t="shared" ca="1" si="19"/>
        <v>4</v>
      </c>
      <c r="O52" s="9">
        <f t="shared" ca="1" si="11"/>
        <v>8</v>
      </c>
      <c r="P52" s="9">
        <f t="shared" ca="1" si="12"/>
        <v>4</v>
      </c>
      <c r="Q52" s="9">
        <f t="shared" ca="1" si="13"/>
        <v>4</v>
      </c>
      <c r="R52" s="9">
        <f t="shared" ca="1" si="14"/>
        <v>0</v>
      </c>
      <c r="S52" s="9">
        <f t="shared" ca="1" si="20"/>
        <v>0</v>
      </c>
      <c r="T52" s="9">
        <f t="shared" ca="1" si="15"/>
        <v>2</v>
      </c>
      <c r="U52" s="9">
        <f t="shared" ca="1" si="21"/>
        <v>49</v>
      </c>
      <c r="V52" s="9">
        <f t="shared" si="16"/>
        <v>25</v>
      </c>
      <c r="W52" s="9">
        <f t="shared" ca="1" si="17"/>
        <v>1</v>
      </c>
    </row>
    <row r="53" spans="2:23" ht="15" customHeight="1" x14ac:dyDescent="0.45">
      <c r="L53" s="9">
        <v>49</v>
      </c>
      <c r="M53" s="9">
        <f t="shared" ca="1" si="18"/>
        <v>50</v>
      </c>
      <c r="N53" s="9">
        <f t="shared" ca="1" si="19"/>
        <v>50</v>
      </c>
      <c r="O53" s="9">
        <f t="shared" ca="1" si="11"/>
        <v>10</v>
      </c>
      <c r="P53" s="9">
        <f t="shared" ca="1" si="12"/>
        <v>10</v>
      </c>
      <c r="Q53" s="9">
        <f t="shared" ca="1" si="13"/>
        <v>0</v>
      </c>
      <c r="R53" s="9">
        <f t="shared" ca="1" si="14"/>
        <v>40</v>
      </c>
      <c r="S53" s="9">
        <f t="shared" ca="1" si="20"/>
        <v>0</v>
      </c>
      <c r="T53" s="9">
        <f t="shared" ca="1" si="15"/>
        <v>2</v>
      </c>
      <c r="U53" s="9">
        <f t="shared" ca="1" si="21"/>
        <v>49</v>
      </c>
      <c r="V53" s="9">
        <f t="shared" si="16"/>
        <v>25</v>
      </c>
      <c r="W53" s="9">
        <f t="shared" ca="1" si="17"/>
        <v>0</v>
      </c>
    </row>
    <row r="54" spans="2:23" ht="15" customHeight="1" x14ac:dyDescent="0.45">
      <c r="L54" s="9">
        <v>50</v>
      </c>
      <c r="M54" s="9">
        <f t="shared" ca="1" si="18"/>
        <v>0</v>
      </c>
      <c r="N54" s="9">
        <f t="shared" ca="1" si="19"/>
        <v>40</v>
      </c>
      <c r="O54" s="9">
        <f t="shared" ca="1" si="11"/>
        <v>8</v>
      </c>
      <c r="P54" s="9">
        <f t="shared" ca="1" si="12"/>
        <v>8</v>
      </c>
      <c r="Q54" s="9">
        <f t="shared" ca="1" si="13"/>
        <v>0</v>
      </c>
      <c r="R54" s="9">
        <f t="shared" ca="1" si="14"/>
        <v>32</v>
      </c>
      <c r="S54" s="9">
        <f t="shared" ca="1" si="20"/>
        <v>0</v>
      </c>
      <c r="T54" s="9">
        <f t="shared" ca="1" si="15"/>
        <v>1</v>
      </c>
      <c r="U54" s="9">
        <f t="shared" ca="1" si="21"/>
        <v>49</v>
      </c>
      <c r="V54" s="9">
        <f t="shared" si="16"/>
        <v>25</v>
      </c>
      <c r="W54" s="9">
        <f t="shared" ca="1" si="17"/>
        <v>0</v>
      </c>
    </row>
    <row r="55" spans="2:23" ht="15" customHeight="1" x14ac:dyDescent="0.45">
      <c r="L55" s="9">
        <v>51</v>
      </c>
      <c r="M55" s="9">
        <f t="shared" ca="1" si="18"/>
        <v>0</v>
      </c>
      <c r="N55" s="9">
        <f t="shared" ca="1" si="19"/>
        <v>32</v>
      </c>
      <c r="O55" s="9">
        <f t="shared" ca="1" si="11"/>
        <v>6</v>
      </c>
      <c r="P55" s="9">
        <f t="shared" ca="1" si="12"/>
        <v>6</v>
      </c>
      <c r="Q55" s="9">
        <f t="shared" ca="1" si="13"/>
        <v>0</v>
      </c>
      <c r="R55" s="9">
        <f t="shared" ca="1" si="14"/>
        <v>26</v>
      </c>
      <c r="S55" s="9">
        <f t="shared" ca="1" si="20"/>
        <v>0</v>
      </c>
      <c r="T55" s="9">
        <f t="shared" ca="1" si="15"/>
        <v>2</v>
      </c>
      <c r="U55" s="9">
        <f t="shared" ca="1" si="21"/>
        <v>49</v>
      </c>
      <c r="V55" s="9">
        <f t="shared" si="16"/>
        <v>25</v>
      </c>
      <c r="W55" s="9">
        <f t="shared" ca="1" si="17"/>
        <v>0</v>
      </c>
    </row>
    <row r="56" spans="2:23" ht="15" customHeight="1" x14ac:dyDescent="0.45">
      <c r="L56" s="9">
        <v>52</v>
      </c>
      <c r="M56" s="9">
        <f t="shared" ca="1" si="18"/>
        <v>0</v>
      </c>
      <c r="N56" s="9">
        <f t="shared" ca="1" si="19"/>
        <v>26</v>
      </c>
      <c r="O56" s="9">
        <f t="shared" ca="1" si="11"/>
        <v>12</v>
      </c>
      <c r="P56" s="9">
        <f t="shared" ca="1" si="12"/>
        <v>12</v>
      </c>
      <c r="Q56" s="9">
        <f t="shared" ca="1" si="13"/>
        <v>0</v>
      </c>
      <c r="R56" s="9">
        <f t="shared" ca="1" si="14"/>
        <v>14</v>
      </c>
      <c r="S56" s="9">
        <f t="shared" ca="1" si="20"/>
        <v>1</v>
      </c>
      <c r="T56" s="9">
        <f t="shared" ca="1" si="15"/>
        <v>2</v>
      </c>
      <c r="U56" s="9">
        <f t="shared" ca="1" si="21"/>
        <v>55</v>
      </c>
      <c r="V56" s="9">
        <f t="shared" si="16"/>
        <v>25</v>
      </c>
      <c r="W56" s="9">
        <f t="shared" ca="1" si="17"/>
        <v>1</v>
      </c>
    </row>
    <row r="57" spans="2:23" ht="15" customHeight="1" x14ac:dyDescent="0.45">
      <c r="B57" s="6" t="s">
        <v>103</v>
      </c>
      <c r="L57" s="9">
        <v>53</v>
      </c>
      <c r="M57" s="9">
        <f t="shared" ca="1" si="18"/>
        <v>0</v>
      </c>
      <c r="N57" s="9">
        <f t="shared" ca="1" si="19"/>
        <v>14</v>
      </c>
      <c r="O57" s="9">
        <f t="shared" ca="1" si="11"/>
        <v>10</v>
      </c>
      <c r="P57" s="9">
        <f t="shared" ca="1" si="12"/>
        <v>10</v>
      </c>
      <c r="Q57" s="9">
        <f t="shared" ca="1" si="13"/>
        <v>0</v>
      </c>
      <c r="R57" s="9">
        <f t="shared" ca="1" si="14"/>
        <v>4</v>
      </c>
      <c r="S57" s="9">
        <f t="shared" ca="1" si="20"/>
        <v>0</v>
      </c>
      <c r="T57" s="9">
        <f t="shared" ca="1" si="15"/>
        <v>2</v>
      </c>
      <c r="U57" s="9">
        <f t="shared" ca="1" si="21"/>
        <v>55</v>
      </c>
      <c r="V57" s="9">
        <f t="shared" si="16"/>
        <v>25</v>
      </c>
      <c r="W57" s="9">
        <f t="shared" ca="1" si="17"/>
        <v>1</v>
      </c>
    </row>
    <row r="58" spans="2:23" ht="28.05" customHeight="1" x14ac:dyDescent="0.45">
      <c r="B58" s="3" t="s">
        <v>104</v>
      </c>
      <c r="C58" s="3">
        <v>30</v>
      </c>
      <c r="D58" s="3">
        <v>40</v>
      </c>
      <c r="E58" s="3">
        <v>50</v>
      </c>
      <c r="F58" s="3">
        <v>60</v>
      </c>
      <c r="G58" s="3">
        <v>80</v>
      </c>
      <c r="H58" s="3">
        <v>100</v>
      </c>
      <c r="L58" s="9">
        <v>54</v>
      </c>
      <c r="M58" s="9">
        <f t="shared" ca="1" si="18"/>
        <v>0</v>
      </c>
      <c r="N58" s="9">
        <f t="shared" ca="1" si="19"/>
        <v>4</v>
      </c>
      <c r="O58" s="9">
        <f t="shared" ca="1" si="11"/>
        <v>10</v>
      </c>
      <c r="P58" s="9">
        <f t="shared" ca="1" si="12"/>
        <v>4</v>
      </c>
      <c r="Q58" s="9">
        <f t="shared" ca="1" si="13"/>
        <v>6</v>
      </c>
      <c r="R58" s="9">
        <f t="shared" ca="1" si="14"/>
        <v>0</v>
      </c>
      <c r="S58" s="9">
        <f t="shared" ca="1" si="20"/>
        <v>0</v>
      </c>
      <c r="T58" s="9">
        <f t="shared" ca="1" si="15"/>
        <v>1</v>
      </c>
      <c r="U58" s="9">
        <f t="shared" ca="1" si="21"/>
        <v>55</v>
      </c>
      <c r="V58" s="9">
        <f t="shared" si="16"/>
        <v>25</v>
      </c>
      <c r="W58" s="9">
        <f t="shared" ca="1" si="17"/>
        <v>1</v>
      </c>
    </row>
    <row r="59" spans="2:23" ht="15" customHeight="1" x14ac:dyDescent="0.45">
      <c r="B59" s="18">
        <v>15</v>
      </c>
      <c r="C59" s="19">
        <v>45.22</v>
      </c>
      <c r="D59" s="19">
        <v>42.39</v>
      </c>
      <c r="E59" s="19">
        <v>42.13</v>
      </c>
      <c r="F59" s="19">
        <v>43.35</v>
      </c>
      <c r="G59" s="19">
        <v>48.24</v>
      </c>
      <c r="H59" s="19">
        <v>55.08</v>
      </c>
      <c r="L59" s="9">
        <v>55</v>
      </c>
      <c r="M59" s="9">
        <f t="shared" ca="1" si="18"/>
        <v>50</v>
      </c>
      <c r="N59" s="9">
        <f t="shared" ca="1" si="19"/>
        <v>50</v>
      </c>
      <c r="O59" s="9">
        <f t="shared" ca="1" si="11"/>
        <v>12</v>
      </c>
      <c r="P59" s="9">
        <f t="shared" ca="1" si="12"/>
        <v>12</v>
      </c>
      <c r="Q59" s="9">
        <f t="shared" ca="1" si="13"/>
        <v>0</v>
      </c>
      <c r="R59" s="9">
        <f t="shared" ca="1" si="14"/>
        <v>38</v>
      </c>
      <c r="S59" s="9">
        <f t="shared" ca="1" si="20"/>
        <v>0</v>
      </c>
      <c r="T59" s="9">
        <f t="shared" ca="1" si="15"/>
        <v>1</v>
      </c>
      <c r="U59" s="9">
        <f t="shared" ca="1" si="21"/>
        <v>55</v>
      </c>
      <c r="V59" s="9">
        <f t="shared" si="16"/>
        <v>25</v>
      </c>
      <c r="W59" s="9">
        <f t="shared" ca="1" si="17"/>
        <v>0</v>
      </c>
    </row>
    <row r="60" spans="2:23" ht="15" customHeight="1" x14ac:dyDescent="0.45">
      <c r="B60" s="18">
        <v>20</v>
      </c>
      <c r="C60" s="19">
        <v>46.13</v>
      </c>
      <c r="D60" s="19">
        <v>43.15</v>
      </c>
      <c r="E60" s="19">
        <v>42.97</v>
      </c>
      <c r="F60" s="19">
        <v>44.53</v>
      </c>
      <c r="G60" s="19">
        <v>49.85</v>
      </c>
      <c r="H60" s="19">
        <v>57.01</v>
      </c>
      <c r="L60" s="9">
        <v>56</v>
      </c>
      <c r="M60" s="9">
        <f t="shared" ca="1" si="18"/>
        <v>0</v>
      </c>
      <c r="N60" s="9">
        <f t="shared" ca="1" si="19"/>
        <v>38</v>
      </c>
      <c r="O60" s="9">
        <f t="shared" ca="1" si="11"/>
        <v>10</v>
      </c>
      <c r="P60" s="9">
        <f t="shared" ca="1" si="12"/>
        <v>10</v>
      </c>
      <c r="Q60" s="9">
        <f t="shared" ca="1" si="13"/>
        <v>0</v>
      </c>
      <c r="R60" s="9">
        <f t="shared" ca="1" si="14"/>
        <v>28</v>
      </c>
      <c r="S60" s="9">
        <f t="shared" ca="1" si="20"/>
        <v>0</v>
      </c>
      <c r="T60" s="9">
        <f t="shared" ca="1" si="15"/>
        <v>3</v>
      </c>
      <c r="U60" s="9">
        <f t="shared" ca="1" si="21"/>
        <v>55</v>
      </c>
      <c r="V60" s="9">
        <f t="shared" si="16"/>
        <v>25</v>
      </c>
      <c r="W60" s="9">
        <f t="shared" ca="1" si="17"/>
        <v>0</v>
      </c>
    </row>
    <row r="61" spans="2:23" ht="15" customHeight="1" x14ac:dyDescent="0.45">
      <c r="B61" s="18">
        <v>25</v>
      </c>
      <c r="C61" s="19">
        <v>47.51</v>
      </c>
      <c r="D61" s="19">
        <v>44.35</v>
      </c>
      <c r="E61" s="19">
        <v>44.47</v>
      </c>
      <c r="F61" s="19">
        <v>45.87</v>
      </c>
      <c r="G61" s="19">
        <v>51.52</v>
      </c>
      <c r="H61" s="19">
        <v>59.05</v>
      </c>
      <c r="L61" s="9">
        <v>57</v>
      </c>
      <c r="M61" s="9">
        <f t="shared" ca="1" si="18"/>
        <v>0</v>
      </c>
      <c r="N61" s="9">
        <f t="shared" ca="1" si="19"/>
        <v>28</v>
      </c>
      <c r="O61" s="9">
        <f t="shared" ca="1" si="11"/>
        <v>6</v>
      </c>
      <c r="P61" s="9">
        <f t="shared" ca="1" si="12"/>
        <v>6</v>
      </c>
      <c r="Q61" s="9">
        <f t="shared" ca="1" si="13"/>
        <v>0</v>
      </c>
      <c r="R61" s="9">
        <f t="shared" ca="1" si="14"/>
        <v>22</v>
      </c>
      <c r="S61" s="9">
        <f t="shared" ca="1" si="20"/>
        <v>1</v>
      </c>
      <c r="T61" s="9">
        <f t="shared" ca="1" si="15"/>
        <v>2</v>
      </c>
      <c r="U61" s="9">
        <f t="shared" ca="1" si="21"/>
        <v>60</v>
      </c>
      <c r="V61" s="9">
        <f t="shared" si="16"/>
        <v>25</v>
      </c>
      <c r="W61" s="9">
        <f t="shared" ca="1" si="17"/>
        <v>1</v>
      </c>
    </row>
    <row r="62" spans="2:23" ht="15" customHeight="1" x14ac:dyDescent="0.45">
      <c r="B62" s="18">
        <v>30</v>
      </c>
      <c r="C62" s="19">
        <v>49.7</v>
      </c>
      <c r="D62" s="19">
        <v>48.29</v>
      </c>
      <c r="E62" s="19">
        <v>48.33</v>
      </c>
      <c r="F62" s="19">
        <v>50.08</v>
      </c>
      <c r="G62" s="19">
        <v>55.69</v>
      </c>
      <c r="H62" s="19">
        <v>63.24</v>
      </c>
      <c r="L62" s="9">
        <v>58</v>
      </c>
      <c r="M62" s="9">
        <f t="shared" ca="1" si="18"/>
        <v>0</v>
      </c>
      <c r="N62" s="9">
        <f t="shared" ca="1" si="19"/>
        <v>22</v>
      </c>
      <c r="O62" s="9">
        <f t="shared" ca="1" si="11"/>
        <v>10</v>
      </c>
      <c r="P62" s="9">
        <f t="shared" ca="1" si="12"/>
        <v>10</v>
      </c>
      <c r="Q62" s="9">
        <f t="shared" ca="1" si="13"/>
        <v>0</v>
      </c>
      <c r="R62" s="9">
        <f t="shared" ca="1" si="14"/>
        <v>12</v>
      </c>
      <c r="S62" s="9">
        <f t="shared" ca="1" si="20"/>
        <v>0</v>
      </c>
      <c r="T62" s="9">
        <f t="shared" ca="1" si="15"/>
        <v>2</v>
      </c>
      <c r="U62" s="9">
        <f t="shared" ca="1" si="21"/>
        <v>60</v>
      </c>
      <c r="V62" s="9">
        <f t="shared" si="16"/>
        <v>25</v>
      </c>
      <c r="W62" s="9">
        <f t="shared" ca="1" si="17"/>
        <v>1</v>
      </c>
    </row>
    <row r="63" spans="2:23" ht="15" customHeight="1" x14ac:dyDescent="0.45">
      <c r="B63" s="18">
        <v>35</v>
      </c>
      <c r="C63" s="19">
        <v>51.85</v>
      </c>
      <c r="D63" s="19">
        <v>51.67</v>
      </c>
      <c r="E63" s="19">
        <v>51.34</v>
      </c>
      <c r="F63" s="19">
        <v>53.19</v>
      </c>
      <c r="G63" s="19">
        <v>58.95</v>
      </c>
      <c r="H63" s="19">
        <v>66.47</v>
      </c>
      <c r="L63" s="9">
        <v>59</v>
      </c>
      <c r="M63" s="9">
        <f t="shared" ca="1" si="18"/>
        <v>0</v>
      </c>
      <c r="N63" s="9">
        <f t="shared" ca="1" si="19"/>
        <v>12</v>
      </c>
      <c r="O63" s="9">
        <f t="shared" ca="1" si="11"/>
        <v>14</v>
      </c>
      <c r="P63" s="9">
        <f t="shared" ca="1" si="12"/>
        <v>12</v>
      </c>
      <c r="Q63" s="9">
        <f t="shared" ca="1" si="13"/>
        <v>2</v>
      </c>
      <c r="R63" s="9">
        <f t="shared" ca="1" si="14"/>
        <v>0</v>
      </c>
      <c r="S63" s="9">
        <f t="shared" ca="1" si="20"/>
        <v>0</v>
      </c>
      <c r="T63" s="9">
        <f t="shared" ca="1" si="15"/>
        <v>2</v>
      </c>
      <c r="U63" s="9">
        <f t="shared" ca="1" si="21"/>
        <v>60</v>
      </c>
      <c r="V63" s="9">
        <f t="shared" si="16"/>
        <v>25</v>
      </c>
      <c r="W63" s="9">
        <f t="shared" ca="1" si="17"/>
        <v>1</v>
      </c>
    </row>
    <row r="64" spans="2:23" ht="15" customHeight="1" x14ac:dyDescent="0.45">
      <c r="B64" s="2" t="s">
        <v>105</v>
      </c>
      <c r="L64" s="9">
        <v>60</v>
      </c>
      <c r="M64" s="9">
        <f t="shared" ca="1" si="18"/>
        <v>50</v>
      </c>
      <c r="N64" s="9">
        <f t="shared" ca="1" si="19"/>
        <v>50</v>
      </c>
      <c r="O64" s="9">
        <f t="shared" ca="1" si="11"/>
        <v>14</v>
      </c>
      <c r="P64" s="9">
        <f t="shared" ca="1" si="12"/>
        <v>14</v>
      </c>
      <c r="Q64" s="9">
        <f t="shared" ca="1" si="13"/>
        <v>0</v>
      </c>
      <c r="R64" s="9">
        <f t="shared" ca="1" si="14"/>
        <v>36</v>
      </c>
      <c r="S64" s="9">
        <f t="shared" ca="1" si="20"/>
        <v>0</v>
      </c>
      <c r="T64" s="9">
        <f t="shared" ca="1" si="15"/>
        <v>1</v>
      </c>
      <c r="U64" s="9">
        <f t="shared" ca="1" si="21"/>
        <v>60</v>
      </c>
      <c r="V64" s="9">
        <f t="shared" si="16"/>
        <v>25</v>
      </c>
      <c r="W64" s="9">
        <f t="shared" ca="1" si="17"/>
        <v>0</v>
      </c>
    </row>
    <row r="65" spans="12:23" ht="15" customHeight="1" x14ac:dyDescent="0.45">
      <c r="L65" s="9">
        <v>61</v>
      </c>
      <c r="M65" s="9">
        <f t="shared" ca="1" si="18"/>
        <v>0</v>
      </c>
      <c r="N65" s="9">
        <f t="shared" ca="1" si="19"/>
        <v>36</v>
      </c>
      <c r="O65" s="9">
        <f t="shared" ca="1" si="11"/>
        <v>10</v>
      </c>
      <c r="P65" s="9">
        <f t="shared" ca="1" si="12"/>
        <v>10</v>
      </c>
      <c r="Q65" s="9">
        <f t="shared" ca="1" si="13"/>
        <v>0</v>
      </c>
      <c r="R65" s="9">
        <f t="shared" ca="1" si="14"/>
        <v>26</v>
      </c>
      <c r="S65" s="9">
        <f t="shared" ca="1" si="20"/>
        <v>0</v>
      </c>
      <c r="T65" s="9">
        <f t="shared" ca="1" si="15"/>
        <v>2</v>
      </c>
      <c r="U65" s="9">
        <f t="shared" ca="1" si="21"/>
        <v>60</v>
      </c>
      <c r="V65" s="9">
        <f t="shared" si="16"/>
        <v>25</v>
      </c>
      <c r="W65" s="9">
        <f t="shared" ca="1" si="17"/>
        <v>0</v>
      </c>
    </row>
    <row r="66" spans="12:23" ht="15" customHeight="1" x14ac:dyDescent="0.45">
      <c r="L66" s="9">
        <v>62</v>
      </c>
      <c r="M66" s="9">
        <f t="shared" ca="1" si="18"/>
        <v>0</v>
      </c>
      <c r="N66" s="9">
        <f t="shared" ca="1" si="19"/>
        <v>26</v>
      </c>
      <c r="O66" s="9">
        <f t="shared" ca="1" si="11"/>
        <v>8</v>
      </c>
      <c r="P66" s="9">
        <f t="shared" ca="1" si="12"/>
        <v>8</v>
      </c>
      <c r="Q66" s="9">
        <f t="shared" ca="1" si="13"/>
        <v>0</v>
      </c>
      <c r="R66" s="9">
        <f t="shared" ca="1" si="14"/>
        <v>18</v>
      </c>
      <c r="S66" s="9">
        <f t="shared" ca="1" si="20"/>
        <v>1</v>
      </c>
      <c r="T66" s="9">
        <f t="shared" ca="1" si="15"/>
        <v>2</v>
      </c>
      <c r="U66" s="9">
        <f t="shared" ca="1" si="21"/>
        <v>65</v>
      </c>
      <c r="V66" s="9">
        <f t="shared" si="16"/>
        <v>25</v>
      </c>
      <c r="W66" s="9">
        <f t="shared" ca="1" si="17"/>
        <v>1</v>
      </c>
    </row>
    <row r="67" spans="12:23" ht="15" customHeight="1" x14ac:dyDescent="0.45">
      <c r="L67" s="9">
        <v>63</v>
      </c>
      <c r="M67" s="9">
        <f t="shared" ca="1" si="18"/>
        <v>0</v>
      </c>
      <c r="N67" s="9">
        <f t="shared" ca="1" si="19"/>
        <v>18</v>
      </c>
      <c r="O67" s="9">
        <f t="shared" ca="1" si="11"/>
        <v>10</v>
      </c>
      <c r="P67" s="9">
        <f t="shared" ca="1" si="12"/>
        <v>10</v>
      </c>
      <c r="Q67" s="9">
        <f t="shared" ca="1" si="13"/>
        <v>0</v>
      </c>
      <c r="R67" s="9">
        <f t="shared" ca="1" si="14"/>
        <v>8</v>
      </c>
      <c r="S67" s="9">
        <f t="shared" ca="1" si="20"/>
        <v>0</v>
      </c>
      <c r="T67" s="9">
        <f t="shared" ca="1" si="15"/>
        <v>2</v>
      </c>
      <c r="U67" s="9">
        <f t="shared" ca="1" si="21"/>
        <v>65</v>
      </c>
      <c r="V67" s="9">
        <f t="shared" si="16"/>
        <v>25</v>
      </c>
      <c r="W67" s="9">
        <f t="shared" ca="1" si="17"/>
        <v>1</v>
      </c>
    </row>
    <row r="68" spans="12:23" ht="15" customHeight="1" x14ac:dyDescent="0.45">
      <c r="L68" s="9">
        <v>64</v>
      </c>
      <c r="M68" s="9">
        <f t="shared" ca="1" si="18"/>
        <v>0</v>
      </c>
      <c r="N68" s="9">
        <f t="shared" ca="1" si="19"/>
        <v>8</v>
      </c>
      <c r="O68" s="9">
        <f t="shared" ca="1" si="11"/>
        <v>12</v>
      </c>
      <c r="P68" s="9">
        <f t="shared" ca="1" si="12"/>
        <v>8</v>
      </c>
      <c r="Q68" s="9">
        <f t="shared" ca="1" si="13"/>
        <v>4</v>
      </c>
      <c r="R68" s="9">
        <f t="shared" ca="1" si="14"/>
        <v>0</v>
      </c>
      <c r="S68" s="9">
        <f t="shared" ca="1" si="20"/>
        <v>0</v>
      </c>
      <c r="T68" s="9">
        <f t="shared" ca="1" si="15"/>
        <v>2</v>
      </c>
      <c r="U68" s="9">
        <f t="shared" ca="1" si="21"/>
        <v>65</v>
      </c>
      <c r="V68" s="9">
        <f t="shared" si="16"/>
        <v>25</v>
      </c>
      <c r="W68" s="9">
        <f t="shared" ca="1" si="17"/>
        <v>1</v>
      </c>
    </row>
    <row r="69" spans="12:23" ht="15" customHeight="1" x14ac:dyDescent="0.45">
      <c r="L69" s="9">
        <v>65</v>
      </c>
      <c r="M69" s="9">
        <f t="shared" ca="1" si="18"/>
        <v>50</v>
      </c>
      <c r="N69" s="9">
        <f t="shared" ca="1" si="19"/>
        <v>50</v>
      </c>
      <c r="O69" s="9">
        <f t="shared" ref="O69:O94" ca="1" si="22">INDEX($B$13:$B$17,MATCH(RAND(),$D$13:$D$17,1))</f>
        <v>10</v>
      </c>
      <c r="P69" s="9">
        <f t="shared" ref="P69:P100" ca="1" si="23">MIN(N69,O69)</f>
        <v>10</v>
      </c>
      <c r="Q69" s="9">
        <f t="shared" ref="Q69:Q100" ca="1" si="24">O69-P69</f>
        <v>0</v>
      </c>
      <c r="R69" s="9">
        <f t="shared" ref="R69:R94" ca="1" si="25">N69-P69</f>
        <v>40</v>
      </c>
      <c r="S69" s="9">
        <f t="shared" ca="1" si="20"/>
        <v>0</v>
      </c>
      <c r="T69" s="9">
        <f t="shared" ref="T69:T94" ca="1" si="26">INDEX($B$20:$B$22,MATCH(RAND(),$D$20:$D$22,1))</f>
        <v>2</v>
      </c>
      <c r="U69" s="9">
        <f t="shared" ca="1" si="21"/>
        <v>65</v>
      </c>
      <c r="V69" s="9">
        <f t="shared" ref="V69:V94" si="27">$C$6</f>
        <v>25</v>
      </c>
      <c r="W69" s="9">
        <f t="shared" ref="W69:W94" ca="1" si="28">IF(U69&gt;L69,1,0)</f>
        <v>0</v>
      </c>
    </row>
    <row r="70" spans="12:23" ht="15" customHeight="1" x14ac:dyDescent="0.45">
      <c r="L70" s="9">
        <v>66</v>
      </c>
      <c r="M70" s="9">
        <f t="shared" ref="M70:M101" ca="1" si="29">IF(U69=L70,$C$5,0)</f>
        <v>0</v>
      </c>
      <c r="N70" s="9">
        <f t="shared" ref="N70:N101" ca="1" si="30">R69+M70</f>
        <v>40</v>
      </c>
      <c r="O70" s="9">
        <f t="shared" ca="1" si="22"/>
        <v>12</v>
      </c>
      <c r="P70" s="9">
        <f t="shared" ca="1" si="23"/>
        <v>12</v>
      </c>
      <c r="Q70" s="9">
        <f t="shared" ca="1" si="24"/>
        <v>0</v>
      </c>
      <c r="R70" s="9">
        <f t="shared" ca="1" si="25"/>
        <v>28</v>
      </c>
      <c r="S70" s="9">
        <f t="shared" ref="S70:S101" ca="1" si="31">IF(AND(R70&lt;=$C$6,U69&lt;=L70),1,0)</f>
        <v>0</v>
      </c>
      <c r="T70" s="9">
        <f t="shared" ca="1" si="26"/>
        <v>3</v>
      </c>
      <c r="U70" s="9">
        <f t="shared" ref="U70:U101" ca="1" si="32">IF(S70=1,L70+T70+1,U69)</f>
        <v>65</v>
      </c>
      <c r="V70" s="9">
        <f t="shared" si="27"/>
        <v>25</v>
      </c>
      <c r="W70" s="9">
        <f t="shared" ca="1" si="28"/>
        <v>0</v>
      </c>
    </row>
    <row r="71" spans="12:23" ht="15" customHeight="1" x14ac:dyDescent="0.45">
      <c r="L71" s="9">
        <v>67</v>
      </c>
      <c r="M71" s="9">
        <f t="shared" ca="1" si="29"/>
        <v>0</v>
      </c>
      <c r="N71" s="9">
        <f t="shared" ca="1" si="30"/>
        <v>28</v>
      </c>
      <c r="O71" s="9">
        <f t="shared" ca="1" si="22"/>
        <v>10</v>
      </c>
      <c r="P71" s="9">
        <f t="shared" ca="1" si="23"/>
        <v>10</v>
      </c>
      <c r="Q71" s="9">
        <f t="shared" ca="1" si="24"/>
        <v>0</v>
      </c>
      <c r="R71" s="9">
        <f t="shared" ca="1" si="25"/>
        <v>18</v>
      </c>
      <c r="S71" s="9">
        <f t="shared" ca="1" si="31"/>
        <v>1</v>
      </c>
      <c r="T71" s="9">
        <f t="shared" ca="1" si="26"/>
        <v>2</v>
      </c>
      <c r="U71" s="9">
        <f t="shared" ca="1" si="32"/>
        <v>70</v>
      </c>
      <c r="V71" s="9">
        <f t="shared" si="27"/>
        <v>25</v>
      </c>
      <c r="W71" s="9">
        <f t="shared" ca="1" si="28"/>
        <v>1</v>
      </c>
    </row>
    <row r="72" spans="12:23" ht="15" customHeight="1" x14ac:dyDescent="0.45">
      <c r="L72" s="9">
        <v>68</v>
      </c>
      <c r="M72" s="9">
        <f t="shared" ca="1" si="29"/>
        <v>0</v>
      </c>
      <c r="N72" s="9">
        <f t="shared" ca="1" si="30"/>
        <v>18</v>
      </c>
      <c r="O72" s="9">
        <f t="shared" ca="1" si="22"/>
        <v>8</v>
      </c>
      <c r="P72" s="9">
        <f t="shared" ca="1" si="23"/>
        <v>8</v>
      </c>
      <c r="Q72" s="9">
        <f t="shared" ca="1" si="24"/>
        <v>0</v>
      </c>
      <c r="R72" s="9">
        <f t="shared" ca="1" si="25"/>
        <v>10</v>
      </c>
      <c r="S72" s="9">
        <f t="shared" ca="1" si="31"/>
        <v>0</v>
      </c>
      <c r="T72" s="9">
        <f t="shared" ca="1" si="26"/>
        <v>3</v>
      </c>
      <c r="U72" s="9">
        <f t="shared" ca="1" si="32"/>
        <v>70</v>
      </c>
      <c r="V72" s="9">
        <f t="shared" si="27"/>
        <v>25</v>
      </c>
      <c r="W72" s="9">
        <f t="shared" ca="1" si="28"/>
        <v>1</v>
      </c>
    </row>
    <row r="73" spans="12:23" ht="15" customHeight="1" x14ac:dyDescent="0.45">
      <c r="L73" s="9">
        <v>69</v>
      </c>
      <c r="M73" s="9">
        <f t="shared" ca="1" si="29"/>
        <v>0</v>
      </c>
      <c r="N73" s="9">
        <f t="shared" ca="1" si="30"/>
        <v>10</v>
      </c>
      <c r="O73" s="9">
        <f t="shared" ca="1" si="22"/>
        <v>6</v>
      </c>
      <c r="P73" s="9">
        <f t="shared" ca="1" si="23"/>
        <v>6</v>
      </c>
      <c r="Q73" s="9">
        <f t="shared" ca="1" si="24"/>
        <v>0</v>
      </c>
      <c r="R73" s="9">
        <f t="shared" ca="1" si="25"/>
        <v>4</v>
      </c>
      <c r="S73" s="9">
        <f t="shared" ca="1" si="31"/>
        <v>0</v>
      </c>
      <c r="T73" s="9">
        <f t="shared" ca="1" si="26"/>
        <v>1</v>
      </c>
      <c r="U73" s="9">
        <f t="shared" ca="1" si="32"/>
        <v>70</v>
      </c>
      <c r="V73" s="9">
        <f t="shared" si="27"/>
        <v>25</v>
      </c>
      <c r="W73" s="9">
        <f t="shared" ca="1" si="28"/>
        <v>1</v>
      </c>
    </row>
    <row r="74" spans="12:23" ht="15" customHeight="1" x14ac:dyDescent="0.45">
      <c r="L74" s="9">
        <v>70</v>
      </c>
      <c r="M74" s="9">
        <f t="shared" ca="1" si="29"/>
        <v>50</v>
      </c>
      <c r="N74" s="9">
        <f t="shared" ca="1" si="30"/>
        <v>54</v>
      </c>
      <c r="O74" s="9">
        <f t="shared" ca="1" si="22"/>
        <v>14</v>
      </c>
      <c r="P74" s="9">
        <f t="shared" ca="1" si="23"/>
        <v>14</v>
      </c>
      <c r="Q74" s="9">
        <f t="shared" ca="1" si="24"/>
        <v>0</v>
      </c>
      <c r="R74" s="9">
        <f t="shared" ca="1" si="25"/>
        <v>40</v>
      </c>
      <c r="S74" s="9">
        <f t="shared" ca="1" si="31"/>
        <v>0</v>
      </c>
      <c r="T74" s="9">
        <f t="shared" ca="1" si="26"/>
        <v>3</v>
      </c>
      <c r="U74" s="9">
        <f t="shared" ca="1" si="32"/>
        <v>70</v>
      </c>
      <c r="V74" s="9">
        <f t="shared" si="27"/>
        <v>25</v>
      </c>
      <c r="W74" s="9">
        <f t="shared" ca="1" si="28"/>
        <v>0</v>
      </c>
    </row>
    <row r="75" spans="12:23" ht="15" customHeight="1" x14ac:dyDescent="0.45">
      <c r="L75" s="9">
        <v>71</v>
      </c>
      <c r="M75" s="9">
        <f t="shared" ca="1" si="29"/>
        <v>0</v>
      </c>
      <c r="N75" s="9">
        <f t="shared" ca="1" si="30"/>
        <v>40</v>
      </c>
      <c r="O75" s="9">
        <f t="shared" ca="1" si="22"/>
        <v>12</v>
      </c>
      <c r="P75" s="9">
        <f t="shared" ca="1" si="23"/>
        <v>12</v>
      </c>
      <c r="Q75" s="9">
        <f t="shared" ca="1" si="24"/>
        <v>0</v>
      </c>
      <c r="R75" s="9">
        <f t="shared" ca="1" si="25"/>
        <v>28</v>
      </c>
      <c r="S75" s="9">
        <f t="shared" ca="1" si="31"/>
        <v>0</v>
      </c>
      <c r="T75" s="9">
        <f t="shared" ca="1" si="26"/>
        <v>1</v>
      </c>
      <c r="U75" s="9">
        <f t="shared" ca="1" si="32"/>
        <v>70</v>
      </c>
      <c r="V75" s="9">
        <f t="shared" si="27"/>
        <v>25</v>
      </c>
      <c r="W75" s="9">
        <f t="shared" ca="1" si="28"/>
        <v>0</v>
      </c>
    </row>
    <row r="76" spans="12:23" ht="15" customHeight="1" x14ac:dyDescent="0.45">
      <c r="L76" s="9">
        <v>72</v>
      </c>
      <c r="M76" s="9">
        <f t="shared" ca="1" si="29"/>
        <v>0</v>
      </c>
      <c r="N76" s="9">
        <f t="shared" ca="1" si="30"/>
        <v>28</v>
      </c>
      <c r="O76" s="9">
        <f t="shared" ca="1" si="22"/>
        <v>10</v>
      </c>
      <c r="P76" s="9">
        <f t="shared" ca="1" si="23"/>
        <v>10</v>
      </c>
      <c r="Q76" s="9">
        <f t="shared" ca="1" si="24"/>
        <v>0</v>
      </c>
      <c r="R76" s="9">
        <f t="shared" ca="1" si="25"/>
        <v>18</v>
      </c>
      <c r="S76" s="9">
        <f t="shared" ca="1" si="31"/>
        <v>1</v>
      </c>
      <c r="T76" s="9">
        <f t="shared" ca="1" si="26"/>
        <v>2</v>
      </c>
      <c r="U76" s="9">
        <f t="shared" ca="1" si="32"/>
        <v>75</v>
      </c>
      <c r="V76" s="9">
        <f t="shared" si="27"/>
        <v>25</v>
      </c>
      <c r="W76" s="9">
        <f t="shared" ca="1" si="28"/>
        <v>1</v>
      </c>
    </row>
    <row r="77" spans="12:23" ht="15" customHeight="1" x14ac:dyDescent="0.45">
      <c r="L77" s="9">
        <v>73</v>
      </c>
      <c r="M77" s="9">
        <f t="shared" ca="1" si="29"/>
        <v>0</v>
      </c>
      <c r="N77" s="9">
        <f t="shared" ca="1" si="30"/>
        <v>18</v>
      </c>
      <c r="O77" s="9">
        <f t="shared" ca="1" si="22"/>
        <v>12</v>
      </c>
      <c r="P77" s="9">
        <f t="shared" ca="1" si="23"/>
        <v>12</v>
      </c>
      <c r="Q77" s="9">
        <f t="shared" ca="1" si="24"/>
        <v>0</v>
      </c>
      <c r="R77" s="9">
        <f t="shared" ca="1" si="25"/>
        <v>6</v>
      </c>
      <c r="S77" s="9">
        <f t="shared" ca="1" si="31"/>
        <v>0</v>
      </c>
      <c r="T77" s="9">
        <f t="shared" ca="1" si="26"/>
        <v>3</v>
      </c>
      <c r="U77" s="9">
        <f t="shared" ca="1" si="32"/>
        <v>75</v>
      </c>
      <c r="V77" s="9">
        <f t="shared" si="27"/>
        <v>25</v>
      </c>
      <c r="W77" s="9">
        <f t="shared" ca="1" si="28"/>
        <v>1</v>
      </c>
    </row>
    <row r="78" spans="12:23" ht="15" customHeight="1" x14ac:dyDescent="0.45">
      <c r="L78" s="9">
        <v>74</v>
      </c>
      <c r="M78" s="9">
        <f t="shared" ca="1" si="29"/>
        <v>0</v>
      </c>
      <c r="N78" s="9">
        <f t="shared" ca="1" si="30"/>
        <v>6</v>
      </c>
      <c r="O78" s="9">
        <f t="shared" ca="1" si="22"/>
        <v>8</v>
      </c>
      <c r="P78" s="9">
        <f t="shared" ca="1" si="23"/>
        <v>6</v>
      </c>
      <c r="Q78" s="9">
        <f t="shared" ca="1" si="24"/>
        <v>2</v>
      </c>
      <c r="R78" s="9">
        <f t="shared" ca="1" si="25"/>
        <v>0</v>
      </c>
      <c r="S78" s="9">
        <f t="shared" ca="1" si="31"/>
        <v>0</v>
      </c>
      <c r="T78" s="9">
        <f t="shared" ca="1" si="26"/>
        <v>2</v>
      </c>
      <c r="U78" s="9">
        <f t="shared" ca="1" si="32"/>
        <v>75</v>
      </c>
      <c r="V78" s="9">
        <f t="shared" si="27"/>
        <v>25</v>
      </c>
      <c r="W78" s="9">
        <f t="shared" ca="1" si="28"/>
        <v>1</v>
      </c>
    </row>
    <row r="79" spans="12:23" ht="15" customHeight="1" x14ac:dyDescent="0.45">
      <c r="L79" s="9">
        <v>75</v>
      </c>
      <c r="M79" s="9">
        <f t="shared" ca="1" si="29"/>
        <v>50</v>
      </c>
      <c r="N79" s="9">
        <f t="shared" ca="1" si="30"/>
        <v>50</v>
      </c>
      <c r="O79" s="9">
        <f t="shared" ca="1" si="22"/>
        <v>14</v>
      </c>
      <c r="P79" s="9">
        <f t="shared" ca="1" si="23"/>
        <v>14</v>
      </c>
      <c r="Q79" s="9">
        <f t="shared" ca="1" si="24"/>
        <v>0</v>
      </c>
      <c r="R79" s="9">
        <f t="shared" ca="1" si="25"/>
        <v>36</v>
      </c>
      <c r="S79" s="9">
        <f t="shared" ca="1" si="31"/>
        <v>0</v>
      </c>
      <c r="T79" s="9">
        <f t="shared" ca="1" si="26"/>
        <v>3</v>
      </c>
      <c r="U79" s="9">
        <f t="shared" ca="1" si="32"/>
        <v>75</v>
      </c>
      <c r="V79" s="9">
        <f t="shared" si="27"/>
        <v>25</v>
      </c>
      <c r="W79" s="9">
        <f t="shared" ca="1" si="28"/>
        <v>0</v>
      </c>
    </row>
    <row r="80" spans="12:23" ht="15" customHeight="1" x14ac:dyDescent="0.45">
      <c r="L80" s="9">
        <v>76</v>
      </c>
      <c r="M80" s="9">
        <f t="shared" ca="1" si="29"/>
        <v>0</v>
      </c>
      <c r="N80" s="9">
        <f t="shared" ca="1" si="30"/>
        <v>36</v>
      </c>
      <c r="O80" s="9">
        <f t="shared" ca="1" si="22"/>
        <v>12</v>
      </c>
      <c r="P80" s="9">
        <f t="shared" ca="1" si="23"/>
        <v>12</v>
      </c>
      <c r="Q80" s="9">
        <f t="shared" ca="1" si="24"/>
        <v>0</v>
      </c>
      <c r="R80" s="9">
        <f t="shared" ca="1" si="25"/>
        <v>24</v>
      </c>
      <c r="S80" s="9">
        <f t="shared" ca="1" si="31"/>
        <v>1</v>
      </c>
      <c r="T80" s="9">
        <f t="shared" ca="1" si="26"/>
        <v>3</v>
      </c>
      <c r="U80" s="9">
        <f t="shared" ca="1" si="32"/>
        <v>80</v>
      </c>
      <c r="V80" s="9">
        <f t="shared" si="27"/>
        <v>25</v>
      </c>
      <c r="W80" s="9">
        <f t="shared" ca="1" si="28"/>
        <v>1</v>
      </c>
    </row>
    <row r="81" spans="12:23" ht="15" customHeight="1" x14ac:dyDescent="0.45">
      <c r="L81" s="9">
        <v>77</v>
      </c>
      <c r="M81" s="9">
        <f t="shared" ca="1" si="29"/>
        <v>0</v>
      </c>
      <c r="N81" s="9">
        <f t="shared" ca="1" si="30"/>
        <v>24</v>
      </c>
      <c r="O81" s="9">
        <f t="shared" ca="1" si="22"/>
        <v>12</v>
      </c>
      <c r="P81" s="9">
        <f t="shared" ca="1" si="23"/>
        <v>12</v>
      </c>
      <c r="Q81" s="9">
        <f t="shared" ca="1" si="24"/>
        <v>0</v>
      </c>
      <c r="R81" s="9">
        <f t="shared" ca="1" si="25"/>
        <v>12</v>
      </c>
      <c r="S81" s="9">
        <f t="shared" ca="1" si="31"/>
        <v>0</v>
      </c>
      <c r="T81" s="9">
        <f t="shared" ca="1" si="26"/>
        <v>3</v>
      </c>
      <c r="U81" s="9">
        <f t="shared" ca="1" si="32"/>
        <v>80</v>
      </c>
      <c r="V81" s="9">
        <f t="shared" si="27"/>
        <v>25</v>
      </c>
      <c r="W81" s="9">
        <f t="shared" ca="1" si="28"/>
        <v>1</v>
      </c>
    </row>
    <row r="82" spans="12:23" ht="15" customHeight="1" x14ac:dyDescent="0.45">
      <c r="L82" s="9">
        <v>78</v>
      </c>
      <c r="M82" s="9">
        <f t="shared" ca="1" si="29"/>
        <v>0</v>
      </c>
      <c r="N82" s="9">
        <f t="shared" ca="1" si="30"/>
        <v>12</v>
      </c>
      <c r="O82" s="9">
        <f t="shared" ca="1" si="22"/>
        <v>10</v>
      </c>
      <c r="P82" s="9">
        <f t="shared" ca="1" si="23"/>
        <v>10</v>
      </c>
      <c r="Q82" s="9">
        <f t="shared" ca="1" si="24"/>
        <v>0</v>
      </c>
      <c r="R82" s="9">
        <f t="shared" ca="1" si="25"/>
        <v>2</v>
      </c>
      <c r="S82" s="9">
        <f t="shared" ca="1" si="31"/>
        <v>0</v>
      </c>
      <c r="T82" s="9">
        <f t="shared" ca="1" si="26"/>
        <v>1</v>
      </c>
      <c r="U82" s="9">
        <f t="shared" ca="1" si="32"/>
        <v>80</v>
      </c>
      <c r="V82" s="9">
        <f t="shared" si="27"/>
        <v>25</v>
      </c>
      <c r="W82" s="9">
        <f t="shared" ca="1" si="28"/>
        <v>1</v>
      </c>
    </row>
    <row r="83" spans="12:23" ht="15" customHeight="1" x14ac:dyDescent="0.45">
      <c r="L83" s="9">
        <v>79</v>
      </c>
      <c r="M83" s="9">
        <f t="shared" ca="1" si="29"/>
        <v>0</v>
      </c>
      <c r="N83" s="9">
        <f t="shared" ca="1" si="30"/>
        <v>2</v>
      </c>
      <c r="O83" s="9">
        <f t="shared" ca="1" si="22"/>
        <v>10</v>
      </c>
      <c r="P83" s="9">
        <f t="shared" ca="1" si="23"/>
        <v>2</v>
      </c>
      <c r="Q83" s="9">
        <f t="shared" ca="1" si="24"/>
        <v>8</v>
      </c>
      <c r="R83" s="9">
        <f t="shared" ca="1" si="25"/>
        <v>0</v>
      </c>
      <c r="S83" s="9">
        <f t="shared" ca="1" si="31"/>
        <v>0</v>
      </c>
      <c r="T83" s="9">
        <f t="shared" ca="1" si="26"/>
        <v>3</v>
      </c>
      <c r="U83" s="9">
        <f t="shared" ca="1" si="32"/>
        <v>80</v>
      </c>
      <c r="V83" s="9">
        <f t="shared" si="27"/>
        <v>25</v>
      </c>
      <c r="W83" s="9">
        <f t="shared" ca="1" si="28"/>
        <v>1</v>
      </c>
    </row>
    <row r="84" spans="12:23" ht="15" customHeight="1" x14ac:dyDescent="0.45">
      <c r="L84" s="9">
        <v>80</v>
      </c>
      <c r="M84" s="9">
        <f t="shared" ca="1" si="29"/>
        <v>50</v>
      </c>
      <c r="N84" s="9">
        <f t="shared" ca="1" si="30"/>
        <v>50</v>
      </c>
      <c r="O84" s="9">
        <f t="shared" ca="1" si="22"/>
        <v>8</v>
      </c>
      <c r="P84" s="9">
        <f t="shared" ca="1" si="23"/>
        <v>8</v>
      </c>
      <c r="Q84" s="9">
        <f t="shared" ca="1" si="24"/>
        <v>0</v>
      </c>
      <c r="R84" s="9">
        <f t="shared" ca="1" si="25"/>
        <v>42</v>
      </c>
      <c r="S84" s="9">
        <f t="shared" ca="1" si="31"/>
        <v>0</v>
      </c>
      <c r="T84" s="9">
        <f t="shared" ca="1" si="26"/>
        <v>1</v>
      </c>
      <c r="U84" s="9">
        <f t="shared" ca="1" si="32"/>
        <v>80</v>
      </c>
      <c r="V84" s="9">
        <f t="shared" si="27"/>
        <v>25</v>
      </c>
      <c r="W84" s="9">
        <f t="shared" ca="1" si="28"/>
        <v>0</v>
      </c>
    </row>
    <row r="85" spans="12:23" ht="15" customHeight="1" x14ac:dyDescent="0.45">
      <c r="L85" s="9">
        <v>81</v>
      </c>
      <c r="M85" s="9">
        <f t="shared" ca="1" si="29"/>
        <v>0</v>
      </c>
      <c r="N85" s="9">
        <f t="shared" ca="1" si="30"/>
        <v>42</v>
      </c>
      <c r="O85" s="9">
        <f t="shared" ca="1" si="22"/>
        <v>6</v>
      </c>
      <c r="P85" s="9">
        <f t="shared" ca="1" si="23"/>
        <v>6</v>
      </c>
      <c r="Q85" s="9">
        <f t="shared" ca="1" si="24"/>
        <v>0</v>
      </c>
      <c r="R85" s="9">
        <f t="shared" ca="1" si="25"/>
        <v>36</v>
      </c>
      <c r="S85" s="9">
        <f t="shared" ca="1" si="31"/>
        <v>0</v>
      </c>
      <c r="T85" s="9">
        <f t="shared" ca="1" si="26"/>
        <v>2</v>
      </c>
      <c r="U85" s="9">
        <f t="shared" ca="1" si="32"/>
        <v>80</v>
      </c>
      <c r="V85" s="9">
        <f t="shared" si="27"/>
        <v>25</v>
      </c>
      <c r="W85" s="9">
        <f t="shared" ca="1" si="28"/>
        <v>0</v>
      </c>
    </row>
    <row r="86" spans="12:23" ht="15" customHeight="1" x14ac:dyDescent="0.45">
      <c r="L86" s="9">
        <v>82</v>
      </c>
      <c r="M86" s="9">
        <f t="shared" ca="1" si="29"/>
        <v>0</v>
      </c>
      <c r="N86" s="9">
        <f t="shared" ca="1" si="30"/>
        <v>36</v>
      </c>
      <c r="O86" s="9">
        <f t="shared" ca="1" si="22"/>
        <v>6</v>
      </c>
      <c r="P86" s="9">
        <f t="shared" ca="1" si="23"/>
        <v>6</v>
      </c>
      <c r="Q86" s="9">
        <f t="shared" ca="1" si="24"/>
        <v>0</v>
      </c>
      <c r="R86" s="9">
        <f t="shared" ca="1" si="25"/>
        <v>30</v>
      </c>
      <c r="S86" s="9">
        <f t="shared" ca="1" si="31"/>
        <v>0</v>
      </c>
      <c r="T86" s="9">
        <f t="shared" ca="1" si="26"/>
        <v>3</v>
      </c>
      <c r="U86" s="9">
        <f t="shared" ca="1" si="32"/>
        <v>80</v>
      </c>
      <c r="V86" s="9">
        <f t="shared" si="27"/>
        <v>25</v>
      </c>
      <c r="W86" s="9">
        <f t="shared" ca="1" si="28"/>
        <v>0</v>
      </c>
    </row>
    <row r="87" spans="12:23" ht="15" customHeight="1" x14ac:dyDescent="0.45">
      <c r="L87" s="9">
        <v>83</v>
      </c>
      <c r="M87" s="9">
        <f t="shared" ca="1" si="29"/>
        <v>0</v>
      </c>
      <c r="N87" s="9">
        <f t="shared" ca="1" si="30"/>
        <v>30</v>
      </c>
      <c r="O87" s="9">
        <f t="shared" ca="1" si="22"/>
        <v>8</v>
      </c>
      <c r="P87" s="9">
        <f t="shared" ca="1" si="23"/>
        <v>8</v>
      </c>
      <c r="Q87" s="9">
        <f t="shared" ca="1" si="24"/>
        <v>0</v>
      </c>
      <c r="R87" s="9">
        <f t="shared" ca="1" si="25"/>
        <v>22</v>
      </c>
      <c r="S87" s="9">
        <f t="shared" ca="1" si="31"/>
        <v>1</v>
      </c>
      <c r="T87" s="9">
        <f t="shared" ca="1" si="26"/>
        <v>2</v>
      </c>
      <c r="U87" s="9">
        <f t="shared" ca="1" si="32"/>
        <v>86</v>
      </c>
      <c r="V87" s="9">
        <f t="shared" si="27"/>
        <v>25</v>
      </c>
      <c r="W87" s="9">
        <f t="shared" ca="1" si="28"/>
        <v>1</v>
      </c>
    </row>
    <row r="88" spans="12:23" ht="15" customHeight="1" x14ac:dyDescent="0.45">
      <c r="L88" s="9">
        <v>84</v>
      </c>
      <c r="M88" s="9">
        <f t="shared" ca="1" si="29"/>
        <v>0</v>
      </c>
      <c r="N88" s="9">
        <f t="shared" ca="1" si="30"/>
        <v>22</v>
      </c>
      <c r="O88" s="9">
        <f t="shared" ca="1" si="22"/>
        <v>10</v>
      </c>
      <c r="P88" s="9">
        <f t="shared" ca="1" si="23"/>
        <v>10</v>
      </c>
      <c r="Q88" s="9">
        <f t="shared" ca="1" si="24"/>
        <v>0</v>
      </c>
      <c r="R88" s="9">
        <f t="shared" ca="1" si="25"/>
        <v>12</v>
      </c>
      <c r="S88" s="9">
        <f t="shared" ca="1" si="31"/>
        <v>0</v>
      </c>
      <c r="T88" s="9">
        <f t="shared" ca="1" si="26"/>
        <v>1</v>
      </c>
      <c r="U88" s="9">
        <f t="shared" ca="1" si="32"/>
        <v>86</v>
      </c>
      <c r="V88" s="9">
        <f t="shared" si="27"/>
        <v>25</v>
      </c>
      <c r="W88" s="9">
        <f t="shared" ca="1" si="28"/>
        <v>1</v>
      </c>
    </row>
    <row r="89" spans="12:23" ht="15" customHeight="1" x14ac:dyDescent="0.45">
      <c r="L89" s="9">
        <v>85</v>
      </c>
      <c r="M89" s="9">
        <f t="shared" ca="1" si="29"/>
        <v>0</v>
      </c>
      <c r="N89" s="9">
        <f t="shared" ca="1" si="30"/>
        <v>12</v>
      </c>
      <c r="O89" s="9">
        <f t="shared" ca="1" si="22"/>
        <v>6</v>
      </c>
      <c r="P89" s="9">
        <f t="shared" ca="1" si="23"/>
        <v>6</v>
      </c>
      <c r="Q89" s="9">
        <f t="shared" ca="1" si="24"/>
        <v>0</v>
      </c>
      <c r="R89" s="9">
        <f t="shared" ca="1" si="25"/>
        <v>6</v>
      </c>
      <c r="S89" s="9">
        <f t="shared" ca="1" si="31"/>
        <v>0</v>
      </c>
      <c r="T89" s="9">
        <f t="shared" ca="1" si="26"/>
        <v>3</v>
      </c>
      <c r="U89" s="9">
        <f t="shared" ca="1" si="32"/>
        <v>86</v>
      </c>
      <c r="V89" s="9">
        <f t="shared" si="27"/>
        <v>25</v>
      </c>
      <c r="W89" s="9">
        <f t="shared" ca="1" si="28"/>
        <v>1</v>
      </c>
    </row>
    <row r="90" spans="12:23" ht="15" customHeight="1" x14ac:dyDescent="0.45">
      <c r="L90" s="9">
        <v>86</v>
      </c>
      <c r="M90" s="9">
        <f t="shared" ca="1" si="29"/>
        <v>50</v>
      </c>
      <c r="N90" s="9">
        <f t="shared" ca="1" si="30"/>
        <v>56</v>
      </c>
      <c r="O90" s="9">
        <f t="shared" ca="1" si="22"/>
        <v>6</v>
      </c>
      <c r="P90" s="9">
        <f t="shared" ca="1" si="23"/>
        <v>6</v>
      </c>
      <c r="Q90" s="9">
        <f t="shared" ca="1" si="24"/>
        <v>0</v>
      </c>
      <c r="R90" s="9">
        <f t="shared" ca="1" si="25"/>
        <v>50</v>
      </c>
      <c r="S90" s="9">
        <f t="shared" ca="1" si="31"/>
        <v>0</v>
      </c>
      <c r="T90" s="9">
        <f t="shared" ca="1" si="26"/>
        <v>1</v>
      </c>
      <c r="U90" s="9">
        <f t="shared" ca="1" si="32"/>
        <v>86</v>
      </c>
      <c r="V90" s="9">
        <f t="shared" si="27"/>
        <v>25</v>
      </c>
      <c r="W90" s="9">
        <f t="shared" ca="1" si="28"/>
        <v>0</v>
      </c>
    </row>
    <row r="91" spans="12:23" ht="15" customHeight="1" x14ac:dyDescent="0.45">
      <c r="L91" s="9">
        <v>87</v>
      </c>
      <c r="M91" s="9">
        <f t="shared" ca="1" si="29"/>
        <v>0</v>
      </c>
      <c r="N91" s="9">
        <f t="shared" ca="1" si="30"/>
        <v>50</v>
      </c>
      <c r="O91" s="9">
        <f t="shared" ca="1" si="22"/>
        <v>10</v>
      </c>
      <c r="P91" s="9">
        <f t="shared" ca="1" si="23"/>
        <v>10</v>
      </c>
      <c r="Q91" s="9">
        <f t="shared" ca="1" si="24"/>
        <v>0</v>
      </c>
      <c r="R91" s="9">
        <f t="shared" ca="1" si="25"/>
        <v>40</v>
      </c>
      <c r="S91" s="9">
        <f t="shared" ca="1" si="31"/>
        <v>0</v>
      </c>
      <c r="T91" s="9">
        <f t="shared" ca="1" si="26"/>
        <v>1</v>
      </c>
      <c r="U91" s="9">
        <f t="shared" ca="1" si="32"/>
        <v>86</v>
      </c>
      <c r="V91" s="9">
        <f t="shared" si="27"/>
        <v>25</v>
      </c>
      <c r="W91" s="9">
        <f t="shared" ca="1" si="28"/>
        <v>0</v>
      </c>
    </row>
    <row r="92" spans="12:23" ht="15" customHeight="1" x14ac:dyDescent="0.45">
      <c r="L92" s="9">
        <v>88</v>
      </c>
      <c r="M92" s="9">
        <f t="shared" ca="1" si="29"/>
        <v>0</v>
      </c>
      <c r="N92" s="9">
        <f t="shared" ca="1" si="30"/>
        <v>40</v>
      </c>
      <c r="O92" s="9">
        <f t="shared" ca="1" si="22"/>
        <v>8</v>
      </c>
      <c r="P92" s="9">
        <f t="shared" ca="1" si="23"/>
        <v>8</v>
      </c>
      <c r="Q92" s="9">
        <f t="shared" ca="1" si="24"/>
        <v>0</v>
      </c>
      <c r="R92" s="9">
        <f t="shared" ca="1" si="25"/>
        <v>32</v>
      </c>
      <c r="S92" s="9">
        <f t="shared" ca="1" si="31"/>
        <v>0</v>
      </c>
      <c r="T92" s="9">
        <f t="shared" ca="1" si="26"/>
        <v>2</v>
      </c>
      <c r="U92" s="9">
        <f t="shared" ca="1" si="32"/>
        <v>86</v>
      </c>
      <c r="V92" s="9">
        <f t="shared" si="27"/>
        <v>25</v>
      </c>
      <c r="W92" s="9">
        <f t="shared" ca="1" si="28"/>
        <v>0</v>
      </c>
    </row>
    <row r="93" spans="12:23" ht="15" customHeight="1" x14ac:dyDescent="0.45">
      <c r="L93" s="9">
        <v>89</v>
      </c>
      <c r="M93" s="9">
        <f t="shared" ca="1" si="29"/>
        <v>0</v>
      </c>
      <c r="N93" s="9">
        <f t="shared" ca="1" si="30"/>
        <v>32</v>
      </c>
      <c r="O93" s="9">
        <f t="shared" ca="1" si="22"/>
        <v>8</v>
      </c>
      <c r="P93" s="9">
        <f t="shared" ca="1" si="23"/>
        <v>8</v>
      </c>
      <c r="Q93" s="9">
        <f t="shared" ca="1" si="24"/>
        <v>0</v>
      </c>
      <c r="R93" s="9">
        <f t="shared" ca="1" si="25"/>
        <v>24</v>
      </c>
      <c r="S93" s="9">
        <f t="shared" ca="1" si="31"/>
        <v>1</v>
      </c>
      <c r="T93" s="9">
        <f t="shared" ca="1" si="26"/>
        <v>1</v>
      </c>
      <c r="U93" s="9">
        <f t="shared" ca="1" si="32"/>
        <v>91</v>
      </c>
      <c r="V93" s="9">
        <f t="shared" si="27"/>
        <v>25</v>
      </c>
      <c r="W93" s="9">
        <f t="shared" ca="1" si="28"/>
        <v>1</v>
      </c>
    </row>
    <row r="94" spans="12:23" ht="15" customHeight="1" x14ac:dyDescent="0.45">
      <c r="L94" s="9">
        <v>90</v>
      </c>
      <c r="M94" s="9">
        <f t="shared" ca="1" si="29"/>
        <v>0</v>
      </c>
      <c r="N94" s="9">
        <f t="shared" ca="1" si="30"/>
        <v>24</v>
      </c>
      <c r="O94" s="9">
        <f t="shared" ca="1" si="22"/>
        <v>14</v>
      </c>
      <c r="P94" s="9">
        <f t="shared" ca="1" si="23"/>
        <v>14</v>
      </c>
      <c r="Q94" s="9">
        <f t="shared" ca="1" si="24"/>
        <v>0</v>
      </c>
      <c r="R94" s="9">
        <f t="shared" ca="1" si="25"/>
        <v>10</v>
      </c>
      <c r="S94" s="9">
        <f t="shared" ca="1" si="31"/>
        <v>0</v>
      </c>
      <c r="T94" s="9">
        <f t="shared" ca="1" si="26"/>
        <v>2</v>
      </c>
      <c r="U94" s="9">
        <f t="shared" ca="1" si="32"/>
        <v>91</v>
      </c>
      <c r="V94" s="9">
        <f t="shared" si="27"/>
        <v>25</v>
      </c>
      <c r="W94" s="9">
        <f t="shared" ca="1" si="28"/>
        <v>1</v>
      </c>
    </row>
    <row r="95" spans="12:23" ht="15" customHeight="1" x14ac:dyDescent="0.45"/>
    <row r="96" spans="12:23" ht="15" customHeight="1" x14ac:dyDescent="0.45"/>
    <row r="97" ht="15" customHeight="1" x14ac:dyDescent="0.45"/>
    <row r="98" ht="15" customHeight="1" x14ac:dyDescent="0.45"/>
    <row r="99" ht="15" customHeight="1" x14ac:dyDescent="0.45"/>
    <row r="100" ht="15" customHeight="1" x14ac:dyDescent="0.45"/>
    <row r="101" ht="15" customHeight="1" x14ac:dyDescent="0.45"/>
    <row r="102" ht="15" customHeight="1" x14ac:dyDescent="0.45"/>
    <row r="103" ht="15" customHeight="1" x14ac:dyDescent="0.45"/>
    <row r="104" ht="15" customHeight="1" x14ac:dyDescent="0.45"/>
    <row r="105" ht="15" customHeight="1" x14ac:dyDescent="0.45"/>
    <row r="106" ht="15" customHeight="1" x14ac:dyDescent="0.45"/>
    <row r="107" ht="15" customHeight="1" x14ac:dyDescent="0.45"/>
    <row r="108" ht="15" customHeight="1" x14ac:dyDescent="0.45"/>
    <row r="109" ht="15" customHeight="1" x14ac:dyDescent="0.45"/>
    <row r="110" ht="15" customHeight="1" x14ac:dyDescent="0.45"/>
    <row r="111" ht="15" customHeight="1" x14ac:dyDescent="0.45"/>
    <row r="112" ht="15" customHeight="1" x14ac:dyDescent="0.45"/>
    <row r="113" ht="15" customHeight="1" x14ac:dyDescent="0.45"/>
    <row r="114" ht="15" customHeight="1" x14ac:dyDescent="0.45"/>
    <row r="115" ht="15" customHeight="1" x14ac:dyDescent="0.45"/>
    <row r="116" ht="15" customHeight="1" x14ac:dyDescent="0.45"/>
    <row r="117" ht="15" customHeight="1" x14ac:dyDescent="0.45"/>
    <row r="118" ht="15" customHeight="1" x14ac:dyDescent="0.45"/>
    <row r="119" ht="15" customHeight="1" x14ac:dyDescent="0.45"/>
  </sheetData>
  <mergeCells count="16">
    <mergeCell ref="H26:I26"/>
    <mergeCell ref="B26:C26"/>
    <mergeCell ref="F26:G26"/>
    <mergeCell ref="D26:E26"/>
    <mergeCell ref="B27:C28"/>
    <mergeCell ref="F27:G28"/>
    <mergeCell ref="D27:E28"/>
    <mergeCell ref="H27:I28"/>
    <mergeCell ref="B30:C30"/>
    <mergeCell ref="D31:E32"/>
    <mergeCell ref="F30:G30"/>
    <mergeCell ref="D30:E30"/>
    <mergeCell ref="H30:I30"/>
    <mergeCell ref="B31:C32"/>
    <mergeCell ref="H31:I32"/>
    <mergeCell ref="F31:G32"/>
  </mergeCells>
  <conditionalFormatting sqref="C59:H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expression" dxfId="6" priority="2">
      <formula>AND(C$58=$C$5,$B59=$C$6)</formula>
    </cfRule>
  </conditionalFormatting>
  <dataValidations count="2">
    <dataValidation type="list" sqref="C5">
      <formula1>"30,40,50,60,80,100"</formula1>
    </dataValidation>
    <dataValidation type="list" sqref="C6">
      <formula1>"15,20,25,30,35"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4"/>
  <sheetViews>
    <sheetView showGridLines="0" workbookViewId="0">
      <pane ySplit="3" topLeftCell="A22" activePane="bottomLeft" state="frozen"/>
      <selection pane="bottomLeft" activeCell="H54" sqref="H54"/>
    </sheetView>
  </sheetViews>
  <sheetFormatPr baseColWidth="10" defaultColWidth="9.06640625" defaultRowHeight="14.25" x14ac:dyDescent="0.45"/>
  <cols>
    <col min="1" max="1" width="3" customWidth="1"/>
    <col min="2" max="2" width="34" customWidth="1"/>
    <col min="3" max="10" width="11" customWidth="1"/>
    <col min="11" max="11" width="3" customWidth="1"/>
    <col min="12" max="12" width="6" customWidth="1"/>
    <col min="13" max="13" width="9" customWidth="1"/>
    <col min="14" max="14" width="7" customWidth="1"/>
    <col min="15" max="16" width="8" customWidth="1"/>
    <col min="17" max="17" width="7" customWidth="1"/>
    <col min="18" max="19" width="8" customWidth="1"/>
    <col min="20" max="20" width="7" customWidth="1"/>
    <col min="21" max="22" width="8" customWidth="1"/>
    <col min="23" max="23" width="9" customWidth="1"/>
  </cols>
  <sheetData>
    <row r="1" spans="1:23" ht="15" customHeight="1" x14ac:dyDescent="0.6">
      <c r="A1" s="1" t="s">
        <v>106</v>
      </c>
    </row>
    <row r="2" spans="1:23" ht="15" customHeight="1" x14ac:dyDescent="0.45">
      <c r="A2" s="2" t="s">
        <v>107</v>
      </c>
    </row>
    <row r="3" spans="1:23" ht="15" customHeight="1" x14ac:dyDescent="0.45"/>
    <row r="4" spans="1:23" ht="28.05" customHeight="1" x14ac:dyDescent="0.45">
      <c r="B4" s="6" t="s">
        <v>28</v>
      </c>
      <c r="L4" s="3" t="s">
        <v>108</v>
      </c>
      <c r="M4" s="3" t="s">
        <v>109</v>
      </c>
      <c r="N4" s="3" t="s">
        <v>110</v>
      </c>
      <c r="O4" s="3" t="s">
        <v>111</v>
      </c>
      <c r="P4" s="3" t="s">
        <v>112</v>
      </c>
      <c r="Q4" s="3" t="s">
        <v>113</v>
      </c>
      <c r="R4" s="3" t="s">
        <v>114</v>
      </c>
      <c r="S4" s="3" t="s">
        <v>115</v>
      </c>
      <c r="T4" s="3" t="s">
        <v>116</v>
      </c>
      <c r="U4" s="3" t="s">
        <v>117</v>
      </c>
      <c r="V4" s="3" t="s">
        <v>118</v>
      </c>
      <c r="W4" s="3" t="s">
        <v>119</v>
      </c>
    </row>
    <row r="5" spans="1:23" ht="15" customHeight="1" x14ac:dyDescent="0.45">
      <c r="B5" s="7" t="s">
        <v>120</v>
      </c>
      <c r="C5" s="16">
        <v>5.5</v>
      </c>
      <c r="L5" s="9">
        <v>1</v>
      </c>
      <c r="M5" s="19">
        <f ca="1">-$C$5*LN(1-RAND())</f>
        <v>2.6296645354940749</v>
      </c>
      <c r="N5" s="10">
        <f t="shared" ref="N5:N68" ca="1" si="0">RAND()</f>
        <v>0.29202051348289282</v>
      </c>
      <c r="O5" s="10">
        <f t="shared" ref="O5:O68" ca="1" si="1">IF(N5&lt;$F$8,$C$8+SQRT(N5*($E$8-$C$8)*($D$8-$C$8)),$E$8-SQRT((1-N5)*($E$8-$C$8)*($E$8-$D$8)))</f>
        <v>3.9359815919390071</v>
      </c>
      <c r="P5" s="19">
        <f ca="1">M5+O5</f>
        <v>6.565646127433082</v>
      </c>
      <c r="Q5" s="10">
        <f t="shared" ref="Q5:Q68" ca="1" si="2">RAND()</f>
        <v>0.64606552327760025</v>
      </c>
      <c r="R5" s="10">
        <f t="shared" ref="R5:R68" ca="1" si="3">IF(Q5&lt;$F$9,$C$9+SQRT(Q5*($E$9-$C$9)*($D$9-$C$9)),$E$9-SQRT((1-Q5)*($E$9-$C$9)*($E$9-$D$9)))</f>
        <v>5.5427399475953516</v>
      </c>
      <c r="S5" s="19">
        <f ca="1">P5+R5</f>
        <v>12.108386075028434</v>
      </c>
      <c r="T5" s="10">
        <f t="shared" ref="T5:T68" ca="1" si="4">RAND()</f>
        <v>0.8336373258224582</v>
      </c>
      <c r="U5" s="10">
        <f t="shared" ref="U5:U68" ca="1" si="5">IF(T5&lt;$F$10,$C$10+SQRT(T5*($E$10-$C$10)*($D$10-$C$10)),$E$10-SQRT((1-T5)*($E$10-$C$10)*($E$10-$D$10)))</f>
        <v>4.0009123936985054</v>
      </c>
      <c r="V5" s="19">
        <f ca="1">S5+U5</f>
        <v>16.109298468726941</v>
      </c>
      <c r="W5" s="19">
        <f t="shared" ref="W5:W68" ca="1" si="6">V5-M5</f>
        <v>13.479633933232865</v>
      </c>
    </row>
    <row r="6" spans="1:23" ht="15" customHeight="1" x14ac:dyDescent="0.45">
      <c r="L6" s="9">
        <v>2</v>
      </c>
      <c r="M6" s="19">
        <f t="shared" ref="M6:M69" ca="1" si="7">M5-$C$5*LN(1-RAND())</f>
        <v>4.5084497762436637</v>
      </c>
      <c r="N6" s="10">
        <f t="shared" ca="1" si="0"/>
        <v>0.40595467596211221</v>
      </c>
      <c r="O6" s="10">
        <f t="shared" ca="1" si="1"/>
        <v>4.1120720500434009</v>
      </c>
      <c r="P6" s="19">
        <f t="shared" ref="P6:P69" ca="1" si="8">MAX(M6,P5)+O6</f>
        <v>10.677718177476482</v>
      </c>
      <c r="Q6" s="10">
        <f t="shared" ca="1" si="2"/>
        <v>0.83859982180093418</v>
      </c>
      <c r="R6" s="10">
        <f t="shared" ca="1" si="3"/>
        <v>6.0159262887393066</v>
      </c>
      <c r="S6" s="19">
        <f t="shared" ref="S6:S69" ca="1" si="9">MAX(P6,S5)+R6</f>
        <v>18.124312363767743</v>
      </c>
      <c r="T6" s="10">
        <f t="shared" ca="1" si="4"/>
        <v>0.51517360759580755</v>
      </c>
      <c r="U6" s="10">
        <f t="shared" ca="1" si="5"/>
        <v>3.294433128128611</v>
      </c>
      <c r="V6" s="19">
        <f t="shared" ref="V6:V69" ca="1" si="10">MAX(S6,V5)+U6</f>
        <v>21.418745491896352</v>
      </c>
      <c r="W6" s="19">
        <f t="shared" ca="1" si="6"/>
        <v>16.910295715652687</v>
      </c>
    </row>
    <row r="7" spans="1:23" ht="28.05" customHeight="1" x14ac:dyDescent="0.45">
      <c r="B7" s="3" t="s">
        <v>121</v>
      </c>
      <c r="C7" s="3" t="s">
        <v>122</v>
      </c>
      <c r="D7" s="3" t="s">
        <v>123</v>
      </c>
      <c r="E7" s="3" t="s">
        <v>124</v>
      </c>
      <c r="F7" s="3" t="s">
        <v>125</v>
      </c>
      <c r="G7" s="3" t="s">
        <v>126</v>
      </c>
      <c r="L7" s="9">
        <v>3</v>
      </c>
      <c r="M7" s="19">
        <f t="shared" ca="1" si="7"/>
        <v>4.6910590927492066</v>
      </c>
      <c r="N7" s="10">
        <f t="shared" ca="1" si="0"/>
        <v>0.2997874822683656</v>
      </c>
      <c r="O7" s="10">
        <f t="shared" ca="1" si="1"/>
        <v>3.9483472184833448</v>
      </c>
      <c r="P7" s="19">
        <f t="shared" ca="1" si="8"/>
        <v>14.626065395959827</v>
      </c>
      <c r="Q7" s="10">
        <f t="shared" ca="1" si="2"/>
        <v>0.54111072717774122</v>
      </c>
      <c r="R7" s="10">
        <f t="shared" ca="1" si="3"/>
        <v>5.3406821772386239</v>
      </c>
      <c r="S7" s="19">
        <f t="shared" ca="1" si="9"/>
        <v>23.464994541006366</v>
      </c>
      <c r="T7" s="10">
        <f t="shared" ca="1" si="4"/>
        <v>0.39542644405158167</v>
      </c>
      <c r="U7" s="10">
        <f t="shared" ca="1" si="5"/>
        <v>3.0954157052809368</v>
      </c>
      <c r="V7" s="19">
        <f t="shared" ca="1" si="10"/>
        <v>26.560410246287304</v>
      </c>
      <c r="W7" s="19">
        <f t="shared" ca="1" si="6"/>
        <v>21.869351153538098</v>
      </c>
    </row>
    <row r="8" spans="1:23" ht="15" customHeight="1" x14ac:dyDescent="0.45">
      <c r="B8" s="7" t="s">
        <v>111</v>
      </c>
      <c r="C8" s="16">
        <v>3</v>
      </c>
      <c r="D8" s="16">
        <v>4</v>
      </c>
      <c r="E8" s="16">
        <v>6</v>
      </c>
      <c r="F8" s="11">
        <f>(D8-C8)/(E8-C8)</f>
        <v>0.33333333333333331</v>
      </c>
      <c r="G8" s="10">
        <f>(C8+D8+E8)/3</f>
        <v>4.333333333333333</v>
      </c>
      <c r="L8" s="9">
        <v>4</v>
      </c>
      <c r="M8" s="19">
        <f t="shared" ca="1" si="7"/>
        <v>5.1126246011191379</v>
      </c>
      <c r="N8" s="10">
        <f t="shared" ca="1" si="0"/>
        <v>0.50012914325226665</v>
      </c>
      <c r="O8" s="10">
        <f t="shared" ca="1" si="1"/>
        <v>4.2681728895509226</v>
      </c>
      <c r="P8" s="19">
        <f t="shared" ca="1" si="8"/>
        <v>18.894238285510749</v>
      </c>
      <c r="Q8" s="10">
        <f t="shared" ca="1" si="2"/>
        <v>0.98005611476362697</v>
      </c>
      <c r="R8" s="10">
        <f t="shared" ca="1" si="3"/>
        <v>6.6540761479483699</v>
      </c>
      <c r="S8" s="19">
        <f t="shared" ca="1" si="9"/>
        <v>30.119070688954736</v>
      </c>
      <c r="T8" s="10">
        <f t="shared" ca="1" si="4"/>
        <v>0.61912594660023268</v>
      </c>
      <c r="U8" s="10">
        <f t="shared" ca="1" si="5"/>
        <v>3.4882975423719769</v>
      </c>
      <c r="V8" s="19">
        <f t="shared" ca="1" si="10"/>
        <v>33.60736823132671</v>
      </c>
      <c r="W8" s="19">
        <f t="shared" ca="1" si="6"/>
        <v>28.494743630207573</v>
      </c>
    </row>
    <row r="9" spans="1:23" ht="15" customHeight="1" x14ac:dyDescent="0.45">
      <c r="B9" s="7" t="s">
        <v>114</v>
      </c>
      <c r="C9" s="16">
        <v>4</v>
      </c>
      <c r="D9" s="16">
        <v>5</v>
      </c>
      <c r="E9" s="16">
        <v>7</v>
      </c>
      <c r="F9" s="11">
        <f>(D9-C9)/(E9-C9)</f>
        <v>0.33333333333333331</v>
      </c>
      <c r="G9" s="10">
        <f>(C9+D9+E9)/3</f>
        <v>5.333333333333333</v>
      </c>
      <c r="L9" s="9">
        <v>5</v>
      </c>
      <c r="M9" s="19">
        <f t="shared" ca="1" si="7"/>
        <v>5.4789718063536954</v>
      </c>
      <c r="N9" s="10">
        <f t="shared" ca="1" si="0"/>
        <v>0.11217500501434852</v>
      </c>
      <c r="O9" s="10">
        <f t="shared" ca="1" si="1"/>
        <v>3.5801077615780068</v>
      </c>
      <c r="P9" s="19">
        <f t="shared" ca="1" si="8"/>
        <v>22.474346047088755</v>
      </c>
      <c r="Q9" s="10">
        <f t="shared" ca="1" si="2"/>
        <v>0.62852351285055807</v>
      </c>
      <c r="R9" s="10">
        <f t="shared" ca="1" si="3"/>
        <v>5.5070636574533225</v>
      </c>
      <c r="S9" s="19">
        <f t="shared" ca="1" si="9"/>
        <v>35.626134346408058</v>
      </c>
      <c r="T9" s="10">
        <f t="shared" ca="1" si="4"/>
        <v>1.612596371029984E-2</v>
      </c>
      <c r="U9" s="10">
        <f t="shared" ca="1" si="5"/>
        <v>2.2199497468307237</v>
      </c>
      <c r="V9" s="19">
        <f t="shared" ca="1" si="10"/>
        <v>37.84608409323878</v>
      </c>
      <c r="W9" s="19">
        <f t="shared" ca="1" si="6"/>
        <v>32.367112286885082</v>
      </c>
    </row>
    <row r="10" spans="1:23" ht="15" customHeight="1" x14ac:dyDescent="0.45">
      <c r="B10" s="7" t="s">
        <v>117</v>
      </c>
      <c r="C10" s="16">
        <v>2</v>
      </c>
      <c r="D10" s="16">
        <v>3</v>
      </c>
      <c r="E10" s="16">
        <v>5</v>
      </c>
      <c r="F10" s="11">
        <f>(D10-C10)/(E10-C10)</f>
        <v>0.33333333333333331</v>
      </c>
      <c r="G10" s="10">
        <f>(C10+D10+E10)/3</f>
        <v>3.3333333333333335</v>
      </c>
      <c r="L10" s="9">
        <v>6</v>
      </c>
      <c r="M10" s="19">
        <f t="shared" ca="1" si="7"/>
        <v>7.1853098841571175</v>
      </c>
      <c r="N10" s="10">
        <f t="shared" ca="1" si="0"/>
        <v>0.58524970340202609</v>
      </c>
      <c r="O10" s="10">
        <f t="shared" ca="1" si="1"/>
        <v>4.4225014169300048</v>
      </c>
      <c r="P10" s="19">
        <f t="shared" ca="1" si="8"/>
        <v>26.896847464018759</v>
      </c>
      <c r="Q10" s="10">
        <f t="shared" ca="1" si="2"/>
        <v>0.17748121423290608</v>
      </c>
      <c r="R10" s="10">
        <f t="shared" ca="1" si="3"/>
        <v>4.7296873595579942</v>
      </c>
      <c r="S10" s="19">
        <f t="shared" ca="1" si="9"/>
        <v>40.355821705966051</v>
      </c>
      <c r="T10" s="10">
        <f t="shared" ca="1" si="4"/>
        <v>0.97199301885018663</v>
      </c>
      <c r="U10" s="10">
        <f t="shared" ca="1" si="5"/>
        <v>4.5900708757615769</v>
      </c>
      <c r="V10" s="19">
        <f t="shared" ca="1" si="10"/>
        <v>44.945892581727627</v>
      </c>
      <c r="W10" s="19">
        <f t="shared" ca="1" si="6"/>
        <v>37.760582697570513</v>
      </c>
    </row>
    <row r="11" spans="1:23" ht="15" customHeight="1" x14ac:dyDescent="0.45">
      <c r="L11" s="9">
        <v>7</v>
      </c>
      <c r="M11" s="19">
        <f t="shared" ca="1" si="7"/>
        <v>15.127410667564657</v>
      </c>
      <c r="N11" s="10">
        <f t="shared" ca="1" si="0"/>
        <v>0.10278550881332915</v>
      </c>
      <c r="O11" s="10">
        <f t="shared" ca="1" si="1"/>
        <v>3.5552985921465923</v>
      </c>
      <c r="P11" s="19">
        <f t="shared" ca="1" si="8"/>
        <v>30.452146056165351</v>
      </c>
      <c r="Q11" s="10">
        <f t="shared" ca="1" si="2"/>
        <v>0.82161594450787723</v>
      </c>
      <c r="R11" s="10">
        <f t="shared" ca="1" si="3"/>
        <v>5.9654448622945528</v>
      </c>
      <c r="S11" s="19">
        <f t="shared" ca="1" si="9"/>
        <v>46.321266568260604</v>
      </c>
      <c r="T11" s="10">
        <f t="shared" ca="1" si="4"/>
        <v>0.28034482670967931</v>
      </c>
      <c r="U11" s="10">
        <f t="shared" ca="1" si="5"/>
        <v>2.9170793205219701</v>
      </c>
      <c r="V11" s="19">
        <f t="shared" ca="1" si="10"/>
        <v>49.238345888782575</v>
      </c>
      <c r="W11" s="19">
        <f t="shared" ca="1" si="6"/>
        <v>34.110935221217915</v>
      </c>
    </row>
    <row r="12" spans="1:23" ht="15" customHeight="1" x14ac:dyDescent="0.45">
      <c r="L12" s="9">
        <v>8</v>
      </c>
      <c r="M12" s="19">
        <f t="shared" ca="1" si="7"/>
        <v>16.016443304556617</v>
      </c>
      <c r="N12" s="10">
        <f t="shared" ca="1" si="0"/>
        <v>0.60003359003928647</v>
      </c>
      <c r="O12" s="10">
        <f t="shared" ca="1" si="1"/>
        <v>4.4508717097140469</v>
      </c>
      <c r="P12" s="19">
        <f t="shared" ca="1" si="8"/>
        <v>34.903017765879397</v>
      </c>
      <c r="Q12" s="10">
        <f t="shared" ca="1" si="2"/>
        <v>0.3357988048594519</v>
      </c>
      <c r="R12" s="10">
        <f t="shared" ca="1" si="3"/>
        <v>5.0037016328105439</v>
      </c>
      <c r="S12" s="19">
        <f t="shared" ca="1" si="9"/>
        <v>51.324968201071151</v>
      </c>
      <c r="T12" s="10">
        <f t="shared" ca="1" si="4"/>
        <v>0.67740091830935945</v>
      </c>
      <c r="U12" s="10">
        <f t="shared" ca="1" si="5"/>
        <v>3.6087435570162332</v>
      </c>
      <c r="V12" s="19">
        <f t="shared" ca="1" si="10"/>
        <v>54.933711758087384</v>
      </c>
      <c r="W12" s="19">
        <f t="shared" ca="1" si="6"/>
        <v>38.917268453530767</v>
      </c>
    </row>
    <row r="13" spans="1:23" ht="15" customHeight="1" x14ac:dyDescent="0.45">
      <c r="B13" s="6" t="s">
        <v>89</v>
      </c>
      <c r="L13" s="9">
        <v>9</v>
      </c>
      <c r="M13" s="19">
        <f t="shared" ca="1" si="7"/>
        <v>18.001601407031742</v>
      </c>
      <c r="N13" s="10">
        <f t="shared" ca="1" si="0"/>
        <v>0.90306581517398321</v>
      </c>
      <c r="O13" s="10">
        <f t="shared" ca="1" si="1"/>
        <v>5.2373696118327695</v>
      </c>
      <c r="P13" s="19">
        <f t="shared" ca="1" si="8"/>
        <v>40.140387377712166</v>
      </c>
      <c r="Q13" s="10">
        <f t="shared" ca="1" si="2"/>
        <v>0.61371558583053343</v>
      </c>
      <c r="R13" s="10">
        <f t="shared" ca="1" si="3"/>
        <v>5.4775984481692097</v>
      </c>
      <c r="S13" s="19">
        <f t="shared" ca="1" si="9"/>
        <v>56.802566649240362</v>
      </c>
      <c r="T13" s="10">
        <f t="shared" ca="1" si="4"/>
        <v>0.31728307427372637</v>
      </c>
      <c r="U13" s="10">
        <f t="shared" ca="1" si="5"/>
        <v>2.9756276045813683</v>
      </c>
      <c r="V13" s="19">
        <f t="shared" ca="1" si="10"/>
        <v>59.778194253821731</v>
      </c>
      <c r="W13" s="19">
        <f t="shared" ca="1" si="6"/>
        <v>41.776592846789988</v>
      </c>
    </row>
    <row r="14" spans="1:23" ht="28.05" customHeight="1" x14ac:dyDescent="0.45">
      <c r="B14" s="3" t="s">
        <v>121</v>
      </c>
      <c r="C14" s="3" t="s">
        <v>127</v>
      </c>
      <c r="D14" s="3" t="s">
        <v>128</v>
      </c>
      <c r="L14" s="9">
        <v>10</v>
      </c>
      <c r="M14" s="19">
        <f t="shared" ca="1" si="7"/>
        <v>26.533395857950509</v>
      </c>
      <c r="N14" s="10">
        <f t="shared" ca="1" si="0"/>
        <v>0.96083480932308574</v>
      </c>
      <c r="O14" s="10">
        <f t="shared" ca="1" si="1"/>
        <v>5.5152411485475632</v>
      </c>
      <c r="P14" s="19">
        <f t="shared" ca="1" si="8"/>
        <v>45.655628526259733</v>
      </c>
      <c r="Q14" s="10">
        <f t="shared" ca="1" si="2"/>
        <v>0.81581039218716023</v>
      </c>
      <c r="R14" s="10">
        <f t="shared" ca="1" si="3"/>
        <v>5.9487447280146277</v>
      </c>
      <c r="S14" s="19">
        <f t="shared" ca="1" si="9"/>
        <v>62.751311377254993</v>
      </c>
      <c r="T14" s="10">
        <f t="shared" ca="1" si="4"/>
        <v>0.26701004741829792</v>
      </c>
      <c r="U14" s="10">
        <f t="shared" ca="1" si="5"/>
        <v>2.8950028727634867</v>
      </c>
      <c r="V14" s="19">
        <f t="shared" ca="1" si="10"/>
        <v>65.646314250018477</v>
      </c>
      <c r="W14" s="19">
        <f t="shared" ca="1" si="6"/>
        <v>39.112918392067968</v>
      </c>
    </row>
    <row r="15" spans="1:23" ht="15" customHeight="1" x14ac:dyDescent="0.45">
      <c r="B15" s="7" t="s">
        <v>111</v>
      </c>
      <c r="C15" s="13">
        <f ca="1">SUM(O5:O304)/(V304-M5)</f>
        <v>0.80267963012864596</v>
      </c>
      <c r="D15" s="13">
        <f>G8/$C$5</f>
        <v>0.78787878787878785</v>
      </c>
      <c r="L15" s="9">
        <v>11</v>
      </c>
      <c r="M15" s="19">
        <f t="shared" ca="1" si="7"/>
        <v>28.840007466166035</v>
      </c>
      <c r="N15" s="10">
        <f t="shared" ca="1" si="0"/>
        <v>0.73351285216317319</v>
      </c>
      <c r="O15" s="10">
        <f t="shared" ca="1" si="1"/>
        <v>4.7355147739016639</v>
      </c>
      <c r="P15" s="19">
        <f t="shared" ca="1" si="8"/>
        <v>50.391143300161396</v>
      </c>
      <c r="Q15" s="10">
        <f t="shared" ca="1" si="2"/>
        <v>0.38973907016087117</v>
      </c>
      <c r="R15" s="10">
        <f t="shared" ca="1" si="3"/>
        <v>5.0864782261404047</v>
      </c>
      <c r="S15" s="19">
        <f t="shared" ca="1" si="9"/>
        <v>67.837789603395393</v>
      </c>
      <c r="T15" s="10">
        <f t="shared" ca="1" si="4"/>
        <v>0.25835865987432782</v>
      </c>
      <c r="U15" s="10">
        <f t="shared" ca="1" si="5"/>
        <v>2.8803839955513637</v>
      </c>
      <c r="V15" s="19">
        <f t="shared" ca="1" si="10"/>
        <v>70.718173598946763</v>
      </c>
      <c r="W15" s="19">
        <f t="shared" ca="1" si="6"/>
        <v>41.878166132780727</v>
      </c>
    </row>
    <row r="16" spans="1:23" ht="15" customHeight="1" x14ac:dyDescent="0.45">
      <c r="B16" s="7" t="s">
        <v>114</v>
      </c>
      <c r="C16" s="13">
        <f ca="1">SUM(R5:R304)/(V304-M5)</f>
        <v>0.99610033071600912</v>
      </c>
      <c r="D16" s="13">
        <f>G9/$C$5</f>
        <v>0.96969696969696961</v>
      </c>
      <c r="L16" s="9">
        <v>12</v>
      </c>
      <c r="M16" s="19">
        <f t="shared" ca="1" si="7"/>
        <v>29.739185759667496</v>
      </c>
      <c r="N16" s="10">
        <f t="shared" ca="1" si="0"/>
        <v>0.39684359253786317</v>
      </c>
      <c r="O16" s="10">
        <f t="shared" ca="1" si="1"/>
        <v>4.0976492319309719</v>
      </c>
      <c r="P16" s="19">
        <f t="shared" ca="1" si="8"/>
        <v>54.488792532092369</v>
      </c>
      <c r="Q16" s="10">
        <f t="shared" ca="1" si="2"/>
        <v>0.84532843565985039</v>
      </c>
      <c r="R16" s="10">
        <f t="shared" ca="1" si="3"/>
        <v>6.0366571814556886</v>
      </c>
      <c r="S16" s="19">
        <f t="shared" ca="1" si="9"/>
        <v>73.874446784851088</v>
      </c>
      <c r="T16" s="10">
        <f t="shared" ca="1" si="4"/>
        <v>0.81139251468024742</v>
      </c>
      <c r="U16" s="10">
        <f t="shared" ca="1" si="5"/>
        <v>3.9362119986019231</v>
      </c>
      <c r="V16" s="19">
        <f t="shared" ca="1" si="10"/>
        <v>77.810658783453007</v>
      </c>
      <c r="W16" s="19">
        <f t="shared" ca="1" si="6"/>
        <v>48.071473023785515</v>
      </c>
    </row>
    <row r="17" spans="2:23" ht="15" customHeight="1" x14ac:dyDescent="0.45">
      <c r="B17" s="7" t="s">
        <v>117</v>
      </c>
      <c r="C17" s="13">
        <f ca="1">SUM(U5:U304)/(V304-M5)</f>
        <v>0.62313086544114982</v>
      </c>
      <c r="D17" s="13">
        <f>G10/$C$5</f>
        <v>0.60606060606060608</v>
      </c>
      <c r="L17" s="9">
        <v>13</v>
      </c>
      <c r="M17" s="19">
        <f t="shared" ca="1" si="7"/>
        <v>45.103828407533065</v>
      </c>
      <c r="N17" s="10">
        <f t="shared" ca="1" si="0"/>
        <v>0.54188009153950967</v>
      </c>
      <c r="O17" s="10">
        <f t="shared" ca="1" si="1"/>
        <v>4.3420737499023243</v>
      </c>
      <c r="P17" s="19">
        <f t="shared" ca="1" si="8"/>
        <v>58.830866281994695</v>
      </c>
      <c r="Q17" s="10">
        <f t="shared" ca="1" si="2"/>
        <v>0.88989761549757584</v>
      </c>
      <c r="R17" s="10">
        <f t="shared" ca="1" si="3"/>
        <v>6.1872181676399594</v>
      </c>
      <c r="S17" s="19">
        <f t="shared" ca="1" si="9"/>
        <v>80.061664952491043</v>
      </c>
      <c r="T17" s="10">
        <f t="shared" ca="1" si="4"/>
        <v>3.4137147152650926E-2</v>
      </c>
      <c r="U17" s="10">
        <f t="shared" ca="1" si="5"/>
        <v>2.3200178767787087</v>
      </c>
      <c r="V17" s="19">
        <f t="shared" ca="1" si="10"/>
        <v>82.381682829269749</v>
      </c>
      <c r="W17" s="19">
        <f t="shared" ca="1" si="6"/>
        <v>37.277854421736684</v>
      </c>
    </row>
    <row r="18" spans="2:23" ht="15" customHeight="1" x14ac:dyDescent="0.45">
      <c r="L18" s="9">
        <v>14</v>
      </c>
      <c r="M18" s="19">
        <f t="shared" ca="1" si="7"/>
        <v>46.409970099565768</v>
      </c>
      <c r="N18" s="10">
        <f t="shared" ca="1" si="0"/>
        <v>0.62271613253377622</v>
      </c>
      <c r="O18" s="10">
        <f t="shared" ca="1" si="1"/>
        <v>4.495439198703707</v>
      </c>
      <c r="P18" s="19">
        <f t="shared" ca="1" si="8"/>
        <v>63.326305480698402</v>
      </c>
      <c r="Q18" s="10">
        <f t="shared" ca="1" si="2"/>
        <v>0.44071347162129926</v>
      </c>
      <c r="R18" s="10">
        <f t="shared" ca="1" si="3"/>
        <v>5.1681377862207523</v>
      </c>
      <c r="S18" s="19">
        <f t="shared" ca="1" si="9"/>
        <v>85.229802738711797</v>
      </c>
      <c r="T18" s="10">
        <f t="shared" ca="1" si="4"/>
        <v>0.12227758837280811</v>
      </c>
      <c r="U18" s="10">
        <f t="shared" ca="1" si="5"/>
        <v>2.6056672065733988</v>
      </c>
      <c r="V18" s="19">
        <f t="shared" ca="1" si="10"/>
        <v>87.835469945285197</v>
      </c>
      <c r="W18" s="19">
        <f t="shared" ca="1" si="6"/>
        <v>41.425499845719429</v>
      </c>
    </row>
    <row r="19" spans="2:23" ht="24" customHeight="1" x14ac:dyDescent="0.45">
      <c r="B19" s="44" t="s">
        <v>129</v>
      </c>
      <c r="C19" s="31"/>
      <c r="D19" s="39" t="s">
        <v>130</v>
      </c>
      <c r="E19" s="40"/>
      <c r="F19" s="32" t="s">
        <v>131</v>
      </c>
      <c r="G19" s="33"/>
      <c r="H19" s="38" t="s">
        <v>132</v>
      </c>
      <c r="I19" s="35"/>
      <c r="L19" s="9">
        <v>15</v>
      </c>
      <c r="M19" s="19">
        <f t="shared" ca="1" si="7"/>
        <v>53.379883928365416</v>
      </c>
      <c r="N19" s="10">
        <f t="shared" ca="1" si="0"/>
        <v>0.80082316486358129</v>
      </c>
      <c r="O19" s="10">
        <f t="shared" ca="1" si="1"/>
        <v>4.9068115392035496</v>
      </c>
      <c r="P19" s="19">
        <f t="shared" ca="1" si="8"/>
        <v>68.233117019901954</v>
      </c>
      <c r="Q19" s="10">
        <f t="shared" ca="1" si="2"/>
        <v>0.93111634124711418</v>
      </c>
      <c r="R19" s="10">
        <f t="shared" ca="1" si="3"/>
        <v>6.357114355023139</v>
      </c>
      <c r="S19" s="19">
        <f t="shared" ca="1" si="9"/>
        <v>91.586917093734939</v>
      </c>
      <c r="T19" s="10">
        <f t="shared" ca="1" si="4"/>
        <v>0.16726415560911034</v>
      </c>
      <c r="U19" s="10">
        <f t="shared" ca="1" si="5"/>
        <v>2.7083731127219122</v>
      </c>
      <c r="V19" s="19">
        <f t="shared" ca="1" si="10"/>
        <v>94.295290206456855</v>
      </c>
      <c r="W19" s="19">
        <f t="shared" ca="1" si="6"/>
        <v>40.915406278091439</v>
      </c>
    </row>
    <row r="20" spans="2:23" ht="17" customHeight="1" x14ac:dyDescent="0.45">
      <c r="B20" s="55" t="str">
        <f ca="1">INDEX(B15:B17,MATCH(MAX(C15:C17),C15:C17,0))</f>
        <v>Ensamble</v>
      </c>
      <c r="C20" s="31"/>
      <c r="D20" s="56">
        <f ca="1">AVERAGE(W5:W304)</f>
        <v>148.03648172614777</v>
      </c>
      <c r="E20" s="40"/>
      <c r="F20" s="41">
        <f ca="1">300/(V304-M5)*60</f>
        <v>11.174789881690652</v>
      </c>
      <c r="G20" s="33"/>
      <c r="H20" s="54">
        <f ca="1">SUM(W5:W304)/(V304-M5)</f>
        <v>27.571276301907318</v>
      </c>
      <c r="I20" s="35"/>
      <c r="L20" s="9">
        <v>16</v>
      </c>
      <c r="M20" s="19">
        <f t="shared" ca="1" si="7"/>
        <v>54.148399736526308</v>
      </c>
      <c r="N20" s="10">
        <f t="shared" ca="1" si="0"/>
        <v>0.74832443381557667</v>
      </c>
      <c r="O20" s="10">
        <f t="shared" ca="1" si="1"/>
        <v>4.7711577004731076</v>
      </c>
      <c r="P20" s="19">
        <f t="shared" ca="1" si="8"/>
        <v>73.004274720375065</v>
      </c>
      <c r="Q20" s="10">
        <f t="shared" ca="1" si="2"/>
        <v>0.17351444255661652</v>
      </c>
      <c r="R20" s="10">
        <f t="shared" ca="1" si="3"/>
        <v>4.7214868866929249</v>
      </c>
      <c r="S20" s="19">
        <f t="shared" ca="1" si="9"/>
        <v>96.308403980427869</v>
      </c>
      <c r="T20" s="10">
        <f t="shared" ca="1" si="4"/>
        <v>0.25751501944288946</v>
      </c>
      <c r="U20" s="10">
        <f t="shared" ca="1" si="5"/>
        <v>2.8789454239761811</v>
      </c>
      <c r="V20" s="19">
        <f t="shared" ca="1" si="10"/>
        <v>99.187349404404046</v>
      </c>
      <c r="W20" s="19">
        <f t="shared" ca="1" si="6"/>
        <v>45.038949667877738</v>
      </c>
    </row>
    <row r="21" spans="2:23" ht="17" customHeight="1" x14ac:dyDescent="0.45">
      <c r="B21" s="31"/>
      <c r="C21" s="31"/>
      <c r="D21" s="40"/>
      <c r="E21" s="40"/>
      <c r="F21" s="33"/>
      <c r="G21" s="33"/>
      <c r="H21" s="35"/>
      <c r="I21" s="35"/>
      <c r="L21" s="9">
        <v>17</v>
      </c>
      <c r="M21" s="19">
        <f t="shared" ca="1" si="7"/>
        <v>58.398391738020116</v>
      </c>
      <c r="N21" s="10">
        <f t="shared" ca="1" si="0"/>
        <v>0.73874938721219729</v>
      </c>
      <c r="O21" s="10">
        <f t="shared" ca="1" si="1"/>
        <v>4.7480001291027154</v>
      </c>
      <c r="P21" s="19">
        <f t="shared" ca="1" si="8"/>
        <v>77.752274849477786</v>
      </c>
      <c r="Q21" s="10">
        <f t="shared" ca="1" si="2"/>
        <v>0.86954713204683831</v>
      </c>
      <c r="R21" s="10">
        <f t="shared" ca="1" si="3"/>
        <v>6.1152869348093866</v>
      </c>
      <c r="S21" s="19">
        <f t="shared" ca="1" si="9"/>
        <v>102.42369091523726</v>
      </c>
      <c r="T21" s="10">
        <f t="shared" ca="1" si="4"/>
        <v>0.96732020916898254</v>
      </c>
      <c r="U21" s="10">
        <f t="shared" ca="1" si="5"/>
        <v>4.5571922031105316</v>
      </c>
      <c r="V21" s="19">
        <f t="shared" ca="1" si="10"/>
        <v>106.98088311834779</v>
      </c>
      <c r="W21" s="19">
        <f t="shared" ca="1" si="6"/>
        <v>48.582491380327674</v>
      </c>
    </row>
    <row r="22" spans="2:23" ht="15" customHeight="1" x14ac:dyDescent="0.45">
      <c r="L22" s="9">
        <v>18</v>
      </c>
      <c r="M22" s="19">
        <f t="shared" ca="1" si="7"/>
        <v>59.888446304647452</v>
      </c>
      <c r="N22" s="10">
        <f t="shared" ca="1" si="0"/>
        <v>0.68801991699695242</v>
      </c>
      <c r="O22" s="10">
        <f t="shared" ca="1" si="1"/>
        <v>4.631833161482751</v>
      </c>
      <c r="P22" s="19">
        <f t="shared" ca="1" si="8"/>
        <v>82.384108010960531</v>
      </c>
      <c r="Q22" s="10">
        <f t="shared" ca="1" si="2"/>
        <v>0.47604659182563669</v>
      </c>
      <c r="R22" s="10">
        <f t="shared" ca="1" si="3"/>
        <v>5.2269460106792636</v>
      </c>
      <c r="S22" s="19">
        <f t="shared" ca="1" si="9"/>
        <v>107.65063692591653</v>
      </c>
      <c r="T22" s="10">
        <f t="shared" ca="1" si="4"/>
        <v>0.24092430822348754</v>
      </c>
      <c r="U22" s="10">
        <f t="shared" ca="1" si="5"/>
        <v>2.8501605287652811</v>
      </c>
      <c r="V22" s="19">
        <f t="shared" ca="1" si="10"/>
        <v>110.50079745468182</v>
      </c>
      <c r="W22" s="19">
        <f t="shared" ca="1" si="6"/>
        <v>50.612351150034364</v>
      </c>
    </row>
    <row r="23" spans="2:23" ht="15" customHeight="1" x14ac:dyDescent="0.45">
      <c r="B23" s="2" t="s">
        <v>133</v>
      </c>
      <c r="L23" s="9">
        <v>19</v>
      </c>
      <c r="M23" s="19">
        <f t="shared" ca="1" si="7"/>
        <v>70.499099221695602</v>
      </c>
      <c r="N23" s="10">
        <f t="shared" ca="1" si="0"/>
        <v>0.3579265818166758</v>
      </c>
      <c r="O23" s="10">
        <f t="shared" ca="1" si="1"/>
        <v>4.0372365121849381</v>
      </c>
      <c r="P23" s="19">
        <f t="shared" ca="1" si="8"/>
        <v>86.421344523145464</v>
      </c>
      <c r="Q23" s="10">
        <f t="shared" ca="1" si="2"/>
        <v>0.2061754428275232</v>
      </c>
      <c r="R23" s="10">
        <f t="shared" ca="1" si="3"/>
        <v>4.7864644483271759</v>
      </c>
      <c r="S23" s="19">
        <f t="shared" ca="1" si="9"/>
        <v>112.43710137424371</v>
      </c>
      <c r="T23" s="10">
        <f t="shared" ca="1" si="4"/>
        <v>0.18438194368759531</v>
      </c>
      <c r="U23" s="10">
        <f t="shared" ca="1" si="5"/>
        <v>2.7437377434706307</v>
      </c>
      <c r="V23" s="19">
        <f t="shared" ca="1" si="10"/>
        <v>115.18083911771434</v>
      </c>
      <c r="W23" s="19">
        <f t="shared" ca="1" si="6"/>
        <v>44.68173989601874</v>
      </c>
    </row>
    <row r="24" spans="2:23" ht="15" customHeight="1" x14ac:dyDescent="0.45">
      <c r="L24" s="9">
        <v>20</v>
      </c>
      <c r="M24" s="19">
        <f t="shared" ca="1" si="7"/>
        <v>76.078027966848623</v>
      </c>
      <c r="N24" s="10">
        <f t="shared" ca="1" si="0"/>
        <v>0.66072390805458081</v>
      </c>
      <c r="O24" s="10">
        <f t="shared" ca="1" si="1"/>
        <v>4.5732356355471602</v>
      </c>
      <c r="P24" s="19">
        <f t="shared" ca="1" si="8"/>
        <v>90.994580158692628</v>
      </c>
      <c r="Q24" s="10">
        <f t="shared" ca="1" si="2"/>
        <v>0.53992870944990001</v>
      </c>
      <c r="R24" s="10">
        <f t="shared" ca="1" si="3"/>
        <v>5.3385464967984806</v>
      </c>
      <c r="S24" s="19">
        <f t="shared" ca="1" si="9"/>
        <v>117.7756478710422</v>
      </c>
      <c r="T24" s="10">
        <f t="shared" ca="1" si="4"/>
        <v>0.46337030090874132</v>
      </c>
      <c r="U24" s="10">
        <f t="shared" ca="1" si="5"/>
        <v>3.2056259602447565</v>
      </c>
      <c r="V24" s="19">
        <f t="shared" ca="1" si="10"/>
        <v>120.98127383128696</v>
      </c>
      <c r="W24" s="19">
        <f t="shared" ca="1" si="6"/>
        <v>44.903245864438333</v>
      </c>
    </row>
    <row r="25" spans="2:23" ht="15" customHeight="1" x14ac:dyDescent="0.45">
      <c r="L25" s="9">
        <v>21</v>
      </c>
      <c r="M25" s="19">
        <f t="shared" ca="1" si="7"/>
        <v>76.916030131871722</v>
      </c>
      <c r="N25" s="10">
        <f t="shared" ca="1" si="0"/>
        <v>0.4818984287378012</v>
      </c>
      <c r="O25" s="10">
        <f t="shared" ca="1" si="1"/>
        <v>4.2368750958672292</v>
      </c>
      <c r="P25" s="19">
        <f t="shared" ca="1" si="8"/>
        <v>95.231455254559862</v>
      </c>
      <c r="Q25" s="10">
        <f t="shared" ca="1" si="2"/>
        <v>0.17260288785601141</v>
      </c>
      <c r="R25" s="10">
        <f t="shared" ca="1" si="3"/>
        <v>4.7195892325264701</v>
      </c>
      <c r="S25" s="19">
        <f t="shared" ca="1" si="9"/>
        <v>122.49523710356867</v>
      </c>
      <c r="T25" s="10">
        <f t="shared" ca="1" si="4"/>
        <v>0.40636169473641004</v>
      </c>
      <c r="U25" s="10">
        <f t="shared" ca="1" si="5"/>
        <v>3.1127189314832995</v>
      </c>
      <c r="V25" s="19">
        <f t="shared" ca="1" si="10"/>
        <v>125.60795603505197</v>
      </c>
      <c r="W25" s="19">
        <f t="shared" ca="1" si="6"/>
        <v>48.691925903180248</v>
      </c>
    </row>
    <row r="26" spans="2:23" ht="15" customHeight="1" x14ac:dyDescent="0.45">
      <c r="L26" s="9">
        <v>22</v>
      </c>
      <c r="M26" s="19">
        <f t="shared" ca="1" si="7"/>
        <v>81.281937589356374</v>
      </c>
      <c r="N26" s="10">
        <f t="shared" ca="1" si="0"/>
        <v>0.91488816814197327</v>
      </c>
      <c r="O26" s="10">
        <f t="shared" ca="1" si="1"/>
        <v>5.2853875237947774</v>
      </c>
      <c r="P26" s="19">
        <f t="shared" ca="1" si="8"/>
        <v>100.51684277835464</v>
      </c>
      <c r="Q26" s="10">
        <f t="shared" ca="1" si="2"/>
        <v>0.12922136177914501</v>
      </c>
      <c r="R26" s="10">
        <f t="shared" ca="1" si="3"/>
        <v>4.6226267624648294</v>
      </c>
      <c r="S26" s="19">
        <f t="shared" ca="1" si="9"/>
        <v>127.1178638660335</v>
      </c>
      <c r="T26" s="10">
        <f t="shared" ca="1" si="4"/>
        <v>0.43753405417080826</v>
      </c>
      <c r="U26" s="10">
        <f t="shared" ca="1" si="5"/>
        <v>3.1629383039823757</v>
      </c>
      <c r="V26" s="19">
        <f t="shared" ca="1" si="10"/>
        <v>130.28080217001587</v>
      </c>
      <c r="W26" s="19">
        <f t="shared" ca="1" si="6"/>
        <v>48.9988645806595</v>
      </c>
    </row>
    <row r="27" spans="2:23" ht="15" customHeight="1" x14ac:dyDescent="0.45">
      <c r="L27" s="9">
        <v>23</v>
      </c>
      <c r="M27" s="19">
        <f t="shared" ca="1" si="7"/>
        <v>86.083630741237954</v>
      </c>
      <c r="N27" s="10">
        <f t="shared" ca="1" si="0"/>
        <v>0.47736294086817055</v>
      </c>
      <c r="O27" s="10">
        <f t="shared" ca="1" si="1"/>
        <v>4.2291746684692537</v>
      </c>
      <c r="P27" s="19">
        <f t="shared" ca="1" si="8"/>
        <v>104.7460174468239</v>
      </c>
      <c r="Q27" s="10">
        <f t="shared" ca="1" si="2"/>
        <v>0.73910168865169734</v>
      </c>
      <c r="R27" s="10">
        <f t="shared" ca="1" si="3"/>
        <v>5.748844586755979</v>
      </c>
      <c r="S27" s="19">
        <f t="shared" ca="1" si="9"/>
        <v>132.86670845278948</v>
      </c>
      <c r="T27" s="10">
        <f t="shared" ca="1" si="4"/>
        <v>0.98490900319103192</v>
      </c>
      <c r="U27" s="10">
        <f t="shared" ca="1" si="5"/>
        <v>4.6990914078099326</v>
      </c>
      <c r="V27" s="19">
        <f t="shared" ca="1" si="10"/>
        <v>137.56579986059941</v>
      </c>
      <c r="W27" s="19">
        <f t="shared" ca="1" si="6"/>
        <v>51.482169119361458</v>
      </c>
    </row>
    <row r="28" spans="2:23" ht="15" customHeight="1" x14ac:dyDescent="0.45">
      <c r="L28" s="9">
        <v>24</v>
      </c>
      <c r="M28" s="19">
        <f t="shared" ca="1" si="7"/>
        <v>88.589159121636328</v>
      </c>
      <c r="N28" s="10">
        <f t="shared" ca="1" si="0"/>
        <v>4.2325130964674607E-2</v>
      </c>
      <c r="O28" s="10">
        <f t="shared" ca="1" si="1"/>
        <v>3.3563360673493827</v>
      </c>
      <c r="P28" s="19">
        <f t="shared" ca="1" si="8"/>
        <v>108.10235351417329</v>
      </c>
      <c r="Q28" s="10">
        <f t="shared" ca="1" si="2"/>
        <v>0.85064931906603058</v>
      </c>
      <c r="R28" s="10">
        <f t="shared" ca="1" si="3"/>
        <v>6.053372256056365</v>
      </c>
      <c r="S28" s="19">
        <f t="shared" ca="1" si="9"/>
        <v>138.92008070884586</v>
      </c>
      <c r="T28" s="10">
        <f t="shared" ca="1" si="4"/>
        <v>0.86050235852409163</v>
      </c>
      <c r="U28" s="10">
        <f t="shared" ca="1" si="5"/>
        <v>4.0851306930192433</v>
      </c>
      <c r="V28" s="19">
        <f t="shared" ca="1" si="10"/>
        <v>143.0052114018651</v>
      </c>
      <c r="W28" s="19">
        <f t="shared" ca="1" si="6"/>
        <v>54.416052280228769</v>
      </c>
    </row>
    <row r="29" spans="2:23" ht="15" customHeight="1" x14ac:dyDescent="0.45">
      <c r="L29" s="9">
        <v>25</v>
      </c>
      <c r="M29" s="19">
        <f t="shared" ca="1" si="7"/>
        <v>92.22966645749635</v>
      </c>
      <c r="N29" s="10">
        <f t="shared" ca="1" si="0"/>
        <v>0.24530502138618604</v>
      </c>
      <c r="O29" s="10">
        <f t="shared" ca="1" si="1"/>
        <v>3.8578549202275161</v>
      </c>
      <c r="P29" s="19">
        <f t="shared" ca="1" si="8"/>
        <v>111.9602084344008</v>
      </c>
      <c r="Q29" s="10">
        <f t="shared" ca="1" si="2"/>
        <v>0.97050933141485796</v>
      </c>
      <c r="R29" s="10">
        <f t="shared" ca="1" si="3"/>
        <v>6.5793528657997866</v>
      </c>
      <c r="S29" s="19">
        <f t="shared" ca="1" si="9"/>
        <v>145.49943357464565</v>
      </c>
      <c r="T29" s="10">
        <f t="shared" ca="1" si="4"/>
        <v>0.67275042356845438</v>
      </c>
      <c r="U29" s="10">
        <f t="shared" ca="1" si="5"/>
        <v>3.5987514643756899</v>
      </c>
      <c r="V29" s="19">
        <f t="shared" ca="1" si="10"/>
        <v>149.09818503902133</v>
      </c>
      <c r="W29" s="19">
        <f t="shared" ca="1" si="6"/>
        <v>56.868518581524981</v>
      </c>
    </row>
    <row r="30" spans="2:23" ht="15" customHeight="1" x14ac:dyDescent="0.45">
      <c r="L30" s="9">
        <v>26</v>
      </c>
      <c r="M30" s="19">
        <f t="shared" ca="1" si="7"/>
        <v>101.45854378653979</v>
      </c>
      <c r="N30" s="10">
        <f t="shared" ca="1" si="0"/>
        <v>0.23597777809898224</v>
      </c>
      <c r="O30" s="10">
        <f t="shared" ca="1" si="1"/>
        <v>3.8413877431344878</v>
      </c>
      <c r="P30" s="19">
        <f t="shared" ca="1" si="8"/>
        <v>115.80159617753529</v>
      </c>
      <c r="Q30" s="10">
        <f t="shared" ca="1" si="2"/>
        <v>0.295403161460426</v>
      </c>
      <c r="R30" s="10">
        <f t="shared" ca="1" si="3"/>
        <v>4.9413870003252001</v>
      </c>
      <c r="S30" s="19">
        <f t="shared" ca="1" si="9"/>
        <v>150.44082057497084</v>
      </c>
      <c r="T30" s="10">
        <f t="shared" ca="1" si="4"/>
        <v>0.8401660191529241</v>
      </c>
      <c r="U30" s="10">
        <f t="shared" ca="1" si="5"/>
        <v>4.020712562583153</v>
      </c>
      <c r="V30" s="19">
        <f t="shared" ca="1" si="10"/>
        <v>154.461533137554</v>
      </c>
      <c r="W30" s="19">
        <f t="shared" ca="1" si="6"/>
        <v>53.002989351014207</v>
      </c>
    </row>
    <row r="31" spans="2:23" ht="15" customHeight="1" x14ac:dyDescent="0.45">
      <c r="L31" s="9">
        <v>27</v>
      </c>
      <c r="M31" s="19">
        <f t="shared" ca="1" si="7"/>
        <v>102.66678766378706</v>
      </c>
      <c r="N31" s="10">
        <f t="shared" ca="1" si="0"/>
        <v>0.78447788853974776</v>
      </c>
      <c r="O31" s="10">
        <f t="shared" ca="1" si="1"/>
        <v>4.8628400865482844</v>
      </c>
      <c r="P31" s="19">
        <f t="shared" ca="1" si="8"/>
        <v>120.66443626408358</v>
      </c>
      <c r="Q31" s="10">
        <f t="shared" ca="1" si="2"/>
        <v>0.73213014732049253</v>
      </c>
      <c r="R31" s="10">
        <f t="shared" ca="1" si="3"/>
        <v>5.7322385413347492</v>
      </c>
      <c r="S31" s="19">
        <f t="shared" ca="1" si="9"/>
        <v>156.17305911630558</v>
      </c>
      <c r="T31" s="10">
        <f t="shared" ca="1" si="4"/>
        <v>0.57511675798238149</v>
      </c>
      <c r="U31" s="10">
        <f t="shared" ca="1" si="5"/>
        <v>3.4033474228543925</v>
      </c>
      <c r="V31" s="19">
        <f t="shared" ca="1" si="10"/>
        <v>159.57640653915996</v>
      </c>
      <c r="W31" s="19">
        <f t="shared" ca="1" si="6"/>
        <v>56.9096188753729</v>
      </c>
    </row>
    <row r="32" spans="2:23" ht="15" customHeight="1" x14ac:dyDescent="0.45">
      <c r="L32" s="9">
        <v>28</v>
      </c>
      <c r="M32" s="19">
        <f t="shared" ca="1" si="7"/>
        <v>103.36998721543969</v>
      </c>
      <c r="N32" s="10">
        <f t="shared" ca="1" si="0"/>
        <v>0.29256412886881644</v>
      </c>
      <c r="O32" s="10">
        <f t="shared" ca="1" si="1"/>
        <v>3.9368523825056161</v>
      </c>
      <c r="P32" s="19">
        <f t="shared" ca="1" si="8"/>
        <v>124.6012886465892</v>
      </c>
      <c r="Q32" s="10">
        <f t="shared" ca="1" si="2"/>
        <v>0.64790082044704256</v>
      </c>
      <c r="R32" s="10">
        <f t="shared" ca="1" si="3"/>
        <v>5.5465231074015158</v>
      </c>
      <c r="S32" s="19">
        <f t="shared" ca="1" si="9"/>
        <v>161.71958222370711</v>
      </c>
      <c r="T32" s="10">
        <f t="shared" ca="1" si="4"/>
        <v>0.5625761506779402</v>
      </c>
      <c r="U32" s="10">
        <f t="shared" ca="1" si="5"/>
        <v>3.3799558351907937</v>
      </c>
      <c r="V32" s="19">
        <f t="shared" ca="1" si="10"/>
        <v>165.09953805889791</v>
      </c>
      <c r="W32" s="19">
        <f t="shared" ca="1" si="6"/>
        <v>61.729550843458213</v>
      </c>
    </row>
    <row r="33" spans="12:23" ht="15" customHeight="1" x14ac:dyDescent="0.45">
      <c r="L33" s="9">
        <v>29</v>
      </c>
      <c r="M33" s="19">
        <f t="shared" ca="1" si="7"/>
        <v>104.48362346567546</v>
      </c>
      <c r="N33" s="10">
        <f t="shared" ca="1" si="0"/>
        <v>0.97270935943830861</v>
      </c>
      <c r="O33" s="10">
        <f t="shared" ca="1" si="1"/>
        <v>5.5953472558227881</v>
      </c>
      <c r="P33" s="19">
        <f t="shared" ca="1" si="8"/>
        <v>130.196635902412</v>
      </c>
      <c r="Q33" s="10">
        <f t="shared" ca="1" si="2"/>
        <v>8.4725640870264241E-2</v>
      </c>
      <c r="R33" s="10">
        <f t="shared" ca="1" si="3"/>
        <v>4.5041596201708272</v>
      </c>
      <c r="S33" s="19">
        <f t="shared" ca="1" si="9"/>
        <v>166.22374184387795</v>
      </c>
      <c r="T33" s="10">
        <f t="shared" ca="1" si="4"/>
        <v>7.3188669810629658E-2</v>
      </c>
      <c r="U33" s="10">
        <f t="shared" ca="1" si="5"/>
        <v>2.4685787120985001</v>
      </c>
      <c r="V33" s="19">
        <f t="shared" ca="1" si="10"/>
        <v>168.69232055597644</v>
      </c>
      <c r="W33" s="19">
        <f t="shared" ca="1" si="6"/>
        <v>64.208697090300973</v>
      </c>
    </row>
    <row r="34" spans="12:23" ht="15" customHeight="1" x14ac:dyDescent="0.45">
      <c r="L34" s="9">
        <v>30</v>
      </c>
      <c r="M34" s="19">
        <f t="shared" ca="1" si="7"/>
        <v>110.24381246004958</v>
      </c>
      <c r="N34" s="10">
        <f t="shared" ca="1" si="0"/>
        <v>0.63239413818920032</v>
      </c>
      <c r="O34" s="10">
        <f t="shared" ca="1" si="1"/>
        <v>4.5148619017529725</v>
      </c>
      <c r="P34" s="19">
        <f t="shared" ca="1" si="8"/>
        <v>134.71149780416496</v>
      </c>
      <c r="Q34" s="10">
        <f t="shared" ca="1" si="2"/>
        <v>0.29525412318978927</v>
      </c>
      <c r="R34" s="10">
        <f t="shared" ca="1" si="3"/>
        <v>4.9411494937412268</v>
      </c>
      <c r="S34" s="19">
        <f t="shared" ca="1" si="9"/>
        <v>171.16489133761917</v>
      </c>
      <c r="T34" s="10">
        <f t="shared" ca="1" si="4"/>
        <v>0.11229373407689058</v>
      </c>
      <c r="U34" s="10">
        <f t="shared" ca="1" si="5"/>
        <v>2.5804146812673432</v>
      </c>
      <c r="V34" s="19">
        <f t="shared" ca="1" si="10"/>
        <v>173.74530601888651</v>
      </c>
      <c r="W34" s="19">
        <f t="shared" ca="1" si="6"/>
        <v>63.501493558836927</v>
      </c>
    </row>
    <row r="35" spans="12:23" ht="15" customHeight="1" x14ac:dyDescent="0.45">
      <c r="L35" s="9">
        <v>31</v>
      </c>
      <c r="M35" s="19">
        <f t="shared" ca="1" si="7"/>
        <v>110.24647392122377</v>
      </c>
      <c r="N35" s="10">
        <f t="shared" ca="1" si="0"/>
        <v>0.89004939057966082</v>
      </c>
      <c r="O35" s="10">
        <f t="shared" ca="1" si="1"/>
        <v>5.1877785668168839</v>
      </c>
      <c r="P35" s="19">
        <f t="shared" ca="1" si="8"/>
        <v>139.89927637098185</v>
      </c>
      <c r="Q35" s="10">
        <f t="shared" ca="1" si="2"/>
        <v>0.99054062693940947</v>
      </c>
      <c r="R35" s="10">
        <f t="shared" ca="1" si="3"/>
        <v>6.7617643218081236</v>
      </c>
      <c r="S35" s="19">
        <f t="shared" ca="1" si="9"/>
        <v>177.9266556594273</v>
      </c>
      <c r="T35" s="10">
        <f t="shared" ca="1" si="4"/>
        <v>0.32506625438634806</v>
      </c>
      <c r="U35" s="10">
        <f t="shared" ca="1" si="5"/>
        <v>2.9875215254155445</v>
      </c>
      <c r="V35" s="19">
        <f t="shared" ca="1" si="10"/>
        <v>180.91417718484283</v>
      </c>
      <c r="W35" s="19">
        <f t="shared" ca="1" si="6"/>
        <v>70.66770326361906</v>
      </c>
    </row>
    <row r="36" spans="12:23" ht="15" customHeight="1" x14ac:dyDescent="0.45">
      <c r="L36" s="9">
        <v>32</v>
      </c>
      <c r="M36" s="19">
        <f t="shared" ca="1" si="7"/>
        <v>114.28249637843425</v>
      </c>
      <c r="N36" s="10">
        <f t="shared" ca="1" si="0"/>
        <v>0.61541366200345904</v>
      </c>
      <c r="O36" s="10">
        <f t="shared" ca="1" si="1"/>
        <v>4.4809483129336103</v>
      </c>
      <c r="P36" s="19">
        <f t="shared" ca="1" si="8"/>
        <v>144.38022468391546</v>
      </c>
      <c r="Q36" s="10">
        <f t="shared" ca="1" si="2"/>
        <v>0.31839416740138682</v>
      </c>
      <c r="R36" s="10">
        <f t="shared" ca="1" si="3"/>
        <v>4.9773343860747765</v>
      </c>
      <c r="S36" s="19">
        <f t="shared" ca="1" si="9"/>
        <v>182.90399004550207</v>
      </c>
      <c r="T36" s="10">
        <f t="shared" ca="1" si="4"/>
        <v>0.78032665003607304</v>
      </c>
      <c r="U36" s="10">
        <f t="shared" ca="1" si="5"/>
        <v>3.8519407246210839</v>
      </c>
      <c r="V36" s="19">
        <f t="shared" ca="1" si="10"/>
        <v>186.75593077012314</v>
      </c>
      <c r="W36" s="19">
        <f t="shared" ca="1" si="6"/>
        <v>72.473434391688897</v>
      </c>
    </row>
    <row r="37" spans="12:23" ht="15" customHeight="1" x14ac:dyDescent="0.45">
      <c r="L37" s="9">
        <v>33</v>
      </c>
      <c r="M37" s="19">
        <f t="shared" ca="1" si="7"/>
        <v>116.76756258472852</v>
      </c>
      <c r="N37" s="10">
        <f t="shared" ca="1" si="0"/>
        <v>0.2670891373056562</v>
      </c>
      <c r="O37" s="10">
        <f t="shared" ca="1" si="1"/>
        <v>3.8951354154076179</v>
      </c>
      <c r="P37" s="19">
        <f t="shared" ca="1" si="8"/>
        <v>148.27536009932308</v>
      </c>
      <c r="Q37" s="10">
        <f t="shared" ca="1" si="2"/>
        <v>0.86393683125086684</v>
      </c>
      <c r="R37" s="10">
        <f t="shared" ca="1" si="3"/>
        <v>6.0964630541617026</v>
      </c>
      <c r="S37" s="19">
        <f t="shared" ca="1" si="9"/>
        <v>189.00045309966379</v>
      </c>
      <c r="T37" s="10">
        <f t="shared" ca="1" si="4"/>
        <v>0.74189626494137173</v>
      </c>
      <c r="U37" s="10">
        <f t="shared" ca="1" si="5"/>
        <v>3.7555634165005554</v>
      </c>
      <c r="V37" s="19">
        <f t="shared" ca="1" si="10"/>
        <v>192.75601651616435</v>
      </c>
      <c r="W37" s="19">
        <f t="shared" ca="1" si="6"/>
        <v>75.988453931435828</v>
      </c>
    </row>
    <row r="38" spans="12:23" ht="15" customHeight="1" x14ac:dyDescent="0.45">
      <c r="L38" s="9">
        <v>34</v>
      </c>
      <c r="M38" s="19">
        <f t="shared" ca="1" si="7"/>
        <v>128.37643798978584</v>
      </c>
      <c r="N38" s="10">
        <f t="shared" ca="1" si="0"/>
        <v>7.5632059685779907E-2</v>
      </c>
      <c r="O38" s="10">
        <f t="shared" ca="1" si="1"/>
        <v>3.4763362038070795</v>
      </c>
      <c r="P38" s="19">
        <f t="shared" ca="1" si="8"/>
        <v>151.75169630313016</v>
      </c>
      <c r="Q38" s="10">
        <f t="shared" ca="1" si="2"/>
        <v>0.49608639212890937</v>
      </c>
      <c r="R38" s="10">
        <f t="shared" ca="1" si="3"/>
        <v>5.2611838374265831</v>
      </c>
      <c r="S38" s="19">
        <f t="shared" ca="1" si="9"/>
        <v>194.26163693709037</v>
      </c>
      <c r="T38" s="10">
        <f t="shared" ca="1" si="4"/>
        <v>0.46045937636443546</v>
      </c>
      <c r="U38" s="10">
        <f t="shared" ca="1" si="5"/>
        <v>3.2007657901725559</v>
      </c>
      <c r="V38" s="19">
        <f t="shared" ca="1" si="10"/>
        <v>197.46240272726294</v>
      </c>
      <c r="W38" s="19">
        <f t="shared" ca="1" si="6"/>
        <v>69.085964737477099</v>
      </c>
    </row>
    <row r="39" spans="12:23" ht="15" customHeight="1" x14ac:dyDescent="0.45">
      <c r="L39" s="9">
        <v>35</v>
      </c>
      <c r="M39" s="19">
        <f t="shared" ca="1" si="7"/>
        <v>128.74092631398671</v>
      </c>
      <c r="N39" s="10">
        <f t="shared" ca="1" si="0"/>
        <v>0.26814875445082142</v>
      </c>
      <c r="O39" s="10">
        <f t="shared" ca="1" si="1"/>
        <v>3.8969092837921036</v>
      </c>
      <c r="P39" s="19">
        <f t="shared" ca="1" si="8"/>
        <v>155.64860558692226</v>
      </c>
      <c r="Q39" s="10">
        <f t="shared" ca="1" si="2"/>
        <v>0.22401572616929322</v>
      </c>
      <c r="R39" s="10">
        <f t="shared" ca="1" si="3"/>
        <v>4.8197848367150247</v>
      </c>
      <c r="S39" s="19">
        <f t="shared" ca="1" si="9"/>
        <v>199.0814217738054</v>
      </c>
      <c r="T39" s="10">
        <f t="shared" ca="1" si="4"/>
        <v>0.43196600358324944</v>
      </c>
      <c r="U39" s="10">
        <f t="shared" ca="1" si="5"/>
        <v>3.1538678328731438</v>
      </c>
      <c r="V39" s="19">
        <f t="shared" ca="1" si="10"/>
        <v>202.23528960667855</v>
      </c>
      <c r="W39" s="19">
        <f t="shared" ca="1" si="6"/>
        <v>73.494363292691844</v>
      </c>
    </row>
    <row r="40" spans="12:23" ht="15" customHeight="1" x14ac:dyDescent="0.45">
      <c r="L40" s="9">
        <v>36</v>
      </c>
      <c r="M40" s="19">
        <f t="shared" ca="1" si="7"/>
        <v>130.74755528726052</v>
      </c>
      <c r="N40" s="10">
        <f t="shared" ca="1" si="0"/>
        <v>0.69724432220700205</v>
      </c>
      <c r="O40" s="10">
        <f t="shared" ca="1" si="1"/>
        <v>4.6522114161494068</v>
      </c>
      <c r="P40" s="19">
        <f t="shared" ca="1" si="8"/>
        <v>160.30081700307167</v>
      </c>
      <c r="Q40" s="10">
        <f t="shared" ca="1" si="2"/>
        <v>9.0991091647623534E-2</v>
      </c>
      <c r="R40" s="10">
        <f t="shared" ca="1" si="3"/>
        <v>4.5224684439685046</v>
      </c>
      <c r="S40" s="19">
        <f t="shared" ca="1" si="9"/>
        <v>203.60389021777391</v>
      </c>
      <c r="T40" s="10">
        <f t="shared" ca="1" si="4"/>
        <v>0.79114524337481673</v>
      </c>
      <c r="U40" s="10">
        <f t="shared" ca="1" si="5"/>
        <v>3.8805677600894732</v>
      </c>
      <c r="V40" s="19">
        <f t="shared" ca="1" si="10"/>
        <v>207.48445797786337</v>
      </c>
      <c r="W40" s="19">
        <f t="shared" ca="1" si="6"/>
        <v>76.736902690602847</v>
      </c>
    </row>
    <row r="41" spans="12:23" ht="15" customHeight="1" x14ac:dyDescent="0.45">
      <c r="L41" s="9">
        <v>37</v>
      </c>
      <c r="M41" s="19">
        <f t="shared" ca="1" si="7"/>
        <v>133.10728035167813</v>
      </c>
      <c r="N41" s="10">
        <f t="shared" ca="1" si="0"/>
        <v>0.72346837766274541</v>
      </c>
      <c r="O41" s="10">
        <f t="shared" ca="1" si="1"/>
        <v>4.7119046098896531</v>
      </c>
      <c r="P41" s="19">
        <f t="shared" ca="1" si="8"/>
        <v>165.01272161296131</v>
      </c>
      <c r="Q41" s="10">
        <f t="shared" ca="1" si="2"/>
        <v>0.72631348507688731</v>
      </c>
      <c r="R41" s="10">
        <f t="shared" ca="1" si="3"/>
        <v>5.7185480541437865</v>
      </c>
      <c r="S41" s="19">
        <f t="shared" ca="1" si="9"/>
        <v>209.32243827191769</v>
      </c>
      <c r="T41" s="10">
        <f t="shared" ca="1" si="4"/>
        <v>0.34447197892526593</v>
      </c>
      <c r="U41" s="10">
        <f t="shared" ca="1" si="5"/>
        <v>3.0167783466166966</v>
      </c>
      <c r="V41" s="19">
        <f t="shared" ca="1" si="10"/>
        <v>212.33921661853438</v>
      </c>
      <c r="W41" s="19">
        <f t="shared" ca="1" si="6"/>
        <v>79.231936266856252</v>
      </c>
    </row>
    <row r="42" spans="12:23" ht="15" customHeight="1" x14ac:dyDescent="0.45">
      <c r="L42" s="9">
        <v>38</v>
      </c>
      <c r="M42" s="19">
        <f t="shared" ca="1" si="7"/>
        <v>137.35197591461929</v>
      </c>
      <c r="N42" s="10">
        <f t="shared" ca="1" si="0"/>
        <v>0.17469413268208467</v>
      </c>
      <c r="O42" s="10">
        <f t="shared" ca="1" si="1"/>
        <v>3.7239353548807062</v>
      </c>
      <c r="P42" s="19">
        <f t="shared" ca="1" si="8"/>
        <v>168.73665696784201</v>
      </c>
      <c r="Q42" s="10">
        <f t="shared" ca="1" si="2"/>
        <v>0.46363551219308419</v>
      </c>
      <c r="R42" s="10">
        <f t="shared" ca="1" si="3"/>
        <v>5.2060694197261999</v>
      </c>
      <c r="S42" s="19">
        <f t="shared" ca="1" si="9"/>
        <v>214.52850769164388</v>
      </c>
      <c r="T42" s="10">
        <f t="shared" ca="1" si="4"/>
        <v>3.3556766861574272E-2</v>
      </c>
      <c r="U42" s="10">
        <f t="shared" ca="1" si="5"/>
        <v>2.3172858342011549</v>
      </c>
      <c r="V42" s="19">
        <f t="shared" ca="1" si="10"/>
        <v>216.84579352584504</v>
      </c>
      <c r="W42" s="19">
        <f t="shared" ca="1" si="6"/>
        <v>79.493817611225751</v>
      </c>
    </row>
    <row r="43" spans="12:23" ht="15" customHeight="1" x14ac:dyDescent="0.45">
      <c r="L43" s="9">
        <v>39</v>
      </c>
      <c r="M43" s="19">
        <f t="shared" ca="1" si="7"/>
        <v>138.1842854327524</v>
      </c>
      <c r="N43" s="10">
        <f t="shared" ca="1" si="0"/>
        <v>0.34743079431928436</v>
      </c>
      <c r="O43" s="10">
        <f t="shared" ca="1" si="1"/>
        <v>4.0212591796588688</v>
      </c>
      <c r="P43" s="19">
        <f t="shared" ca="1" si="8"/>
        <v>172.75791614750088</v>
      </c>
      <c r="Q43" s="10">
        <f t="shared" ca="1" si="2"/>
        <v>0.19155673752754532</v>
      </c>
      <c r="R43" s="10">
        <f t="shared" ca="1" si="3"/>
        <v>4.758070057832807</v>
      </c>
      <c r="S43" s="19">
        <f t="shared" ca="1" si="9"/>
        <v>219.28657774947669</v>
      </c>
      <c r="T43" s="10">
        <f t="shared" ca="1" si="4"/>
        <v>0.68165480181460414</v>
      </c>
      <c r="U43" s="10">
        <f t="shared" ca="1" si="5"/>
        <v>3.6179467488145129</v>
      </c>
      <c r="V43" s="19">
        <f t="shared" ca="1" si="10"/>
        <v>222.90452449829121</v>
      </c>
      <c r="W43" s="19">
        <f t="shared" ca="1" si="6"/>
        <v>84.720239065538806</v>
      </c>
    </row>
    <row r="44" spans="12:23" ht="15" customHeight="1" x14ac:dyDescent="0.45">
      <c r="L44" s="9">
        <v>40</v>
      </c>
      <c r="M44" s="19">
        <f t="shared" ca="1" si="7"/>
        <v>140.15956564427151</v>
      </c>
      <c r="N44" s="10">
        <f t="shared" ca="1" si="0"/>
        <v>0.24280483824187549</v>
      </c>
      <c r="O44" s="10">
        <f t="shared" ca="1" si="1"/>
        <v>3.8534720351163396</v>
      </c>
      <c r="P44" s="19">
        <f t="shared" ca="1" si="8"/>
        <v>176.61138818261722</v>
      </c>
      <c r="Q44" s="10">
        <f t="shared" ca="1" si="2"/>
        <v>0.98154624681865643</v>
      </c>
      <c r="R44" s="10">
        <f t="shared" ca="1" si="3"/>
        <v>6.6672500652320705</v>
      </c>
      <c r="S44" s="19">
        <f t="shared" ca="1" si="9"/>
        <v>225.95382781470877</v>
      </c>
      <c r="T44" s="10">
        <f t="shared" ca="1" si="4"/>
        <v>0.76428838348410766</v>
      </c>
      <c r="U44" s="10">
        <f t="shared" ca="1" si="5"/>
        <v>3.8107692826472426</v>
      </c>
      <c r="V44" s="19">
        <f t="shared" ca="1" si="10"/>
        <v>229.76459709735602</v>
      </c>
      <c r="W44" s="19">
        <f t="shared" ca="1" si="6"/>
        <v>89.605031453084507</v>
      </c>
    </row>
    <row r="45" spans="12:23" ht="15" customHeight="1" x14ac:dyDescent="0.45">
      <c r="L45" s="9">
        <v>41</v>
      </c>
      <c r="M45" s="19">
        <f t="shared" ca="1" si="7"/>
        <v>142.61268379262947</v>
      </c>
      <c r="N45" s="10">
        <f t="shared" ca="1" si="0"/>
        <v>0.5854038359020487</v>
      </c>
      <c r="O45" s="10">
        <f t="shared" ca="1" si="1"/>
        <v>4.4227945648750424</v>
      </c>
      <c r="P45" s="19">
        <f t="shared" ca="1" si="8"/>
        <v>181.03418274749225</v>
      </c>
      <c r="Q45" s="10">
        <f t="shared" ca="1" si="2"/>
        <v>0.83220802189249898</v>
      </c>
      <c r="R45" s="10">
        <f t="shared" ca="1" si="3"/>
        <v>5.9966297449869232</v>
      </c>
      <c r="S45" s="19">
        <f t="shared" ca="1" si="9"/>
        <v>231.95045755969571</v>
      </c>
      <c r="T45" s="10">
        <f t="shared" ca="1" si="4"/>
        <v>0.86062071738570278</v>
      </c>
      <c r="U45" s="10">
        <f t="shared" ca="1" si="5"/>
        <v>4.0855188926578183</v>
      </c>
      <c r="V45" s="19">
        <f t="shared" ca="1" si="10"/>
        <v>236.03597645235354</v>
      </c>
      <c r="W45" s="19">
        <f t="shared" ca="1" si="6"/>
        <v>93.423292659724069</v>
      </c>
    </row>
    <row r="46" spans="12:23" ht="15" customHeight="1" x14ac:dyDescent="0.45">
      <c r="L46" s="9">
        <v>42</v>
      </c>
      <c r="M46" s="19">
        <f t="shared" ca="1" si="7"/>
        <v>146.02303977617922</v>
      </c>
      <c r="N46" s="10">
        <f t="shared" ca="1" si="0"/>
        <v>0.56093431726536935</v>
      </c>
      <c r="O46" s="10">
        <f t="shared" ca="1" si="1"/>
        <v>4.3769183334139399</v>
      </c>
      <c r="P46" s="19">
        <f t="shared" ca="1" si="8"/>
        <v>185.41110108090618</v>
      </c>
      <c r="Q46" s="10">
        <f t="shared" ca="1" si="2"/>
        <v>0.87713708900822196</v>
      </c>
      <c r="R46" s="10">
        <f t="shared" ca="1" si="3"/>
        <v>6.1414096052536644</v>
      </c>
      <c r="S46" s="19">
        <f t="shared" ca="1" si="9"/>
        <v>238.09186716494938</v>
      </c>
      <c r="T46" s="10">
        <f t="shared" ca="1" si="4"/>
        <v>8.9935822911052732E-2</v>
      </c>
      <c r="U46" s="10">
        <f t="shared" ca="1" si="5"/>
        <v>2.5194299459341538</v>
      </c>
      <c r="V46" s="19">
        <f t="shared" ca="1" si="10"/>
        <v>240.61129711088353</v>
      </c>
      <c r="W46" s="19">
        <f t="shared" ca="1" si="6"/>
        <v>94.588257334704309</v>
      </c>
    </row>
    <row r="47" spans="12:23" ht="15" customHeight="1" x14ac:dyDescent="0.45">
      <c r="L47" s="9">
        <v>43</v>
      </c>
      <c r="M47" s="19">
        <f t="shared" ca="1" si="7"/>
        <v>152.60122190795184</v>
      </c>
      <c r="N47" s="10">
        <f t="shared" ca="1" si="0"/>
        <v>0.81198499858149209</v>
      </c>
      <c r="O47" s="10">
        <f t="shared" ca="1" si="1"/>
        <v>4.9378841830991087</v>
      </c>
      <c r="P47" s="19">
        <f t="shared" ca="1" si="8"/>
        <v>190.34898526400528</v>
      </c>
      <c r="Q47" s="10">
        <f t="shared" ca="1" si="2"/>
        <v>1.5488377602582371E-2</v>
      </c>
      <c r="R47" s="10">
        <f t="shared" ca="1" si="3"/>
        <v>4.2155577250013252</v>
      </c>
      <c r="S47" s="19">
        <f t="shared" ca="1" si="9"/>
        <v>242.30742488995071</v>
      </c>
      <c r="T47" s="10">
        <f t="shared" ca="1" si="4"/>
        <v>0.3430830907166651</v>
      </c>
      <c r="U47" s="10">
        <f t="shared" ca="1" si="5"/>
        <v>3.014678500670481</v>
      </c>
      <c r="V47" s="19">
        <f t="shared" ca="1" si="10"/>
        <v>245.32210339062118</v>
      </c>
      <c r="W47" s="19">
        <f t="shared" ca="1" si="6"/>
        <v>92.720881482669341</v>
      </c>
    </row>
    <row r="48" spans="12:23" ht="15" customHeight="1" x14ac:dyDescent="0.45">
      <c r="L48" s="9">
        <v>44</v>
      </c>
      <c r="M48" s="19">
        <f t="shared" ca="1" si="7"/>
        <v>153.05674913322358</v>
      </c>
      <c r="N48" s="10">
        <f t="shared" ca="1" si="0"/>
        <v>0.69869209700362434</v>
      </c>
      <c r="O48" s="10">
        <f t="shared" ca="1" si="1"/>
        <v>4.6554378340968192</v>
      </c>
      <c r="P48" s="19">
        <f t="shared" ca="1" si="8"/>
        <v>195.00442309810211</v>
      </c>
      <c r="Q48" s="10">
        <f t="shared" ca="1" si="2"/>
        <v>0.3019081384246397</v>
      </c>
      <c r="R48" s="10">
        <f t="shared" ca="1" si="3"/>
        <v>4.951695547574916</v>
      </c>
      <c r="S48" s="19">
        <f t="shared" ca="1" si="9"/>
        <v>247.25912043752564</v>
      </c>
      <c r="T48" s="10">
        <f t="shared" ca="1" si="4"/>
        <v>4.0206766582991715E-2</v>
      </c>
      <c r="U48" s="10">
        <f t="shared" ca="1" si="5"/>
        <v>2.3473043330408867</v>
      </c>
      <c r="V48" s="19">
        <f t="shared" ca="1" si="10"/>
        <v>249.60642477056652</v>
      </c>
      <c r="W48" s="19">
        <f t="shared" ca="1" si="6"/>
        <v>96.549675637342943</v>
      </c>
    </row>
    <row r="49" spans="12:23" ht="15" customHeight="1" x14ac:dyDescent="0.45">
      <c r="L49" s="9">
        <v>45</v>
      </c>
      <c r="M49" s="19">
        <f t="shared" ca="1" si="7"/>
        <v>156.81245802152239</v>
      </c>
      <c r="N49" s="10">
        <f t="shared" ca="1" si="0"/>
        <v>0.31873325795581731</v>
      </c>
      <c r="O49" s="10">
        <f t="shared" ca="1" si="1"/>
        <v>3.9778546793197096</v>
      </c>
      <c r="P49" s="19">
        <f t="shared" ca="1" si="8"/>
        <v>198.98227777742181</v>
      </c>
      <c r="Q49" s="10">
        <f t="shared" ca="1" si="2"/>
        <v>0.65930279944319881</v>
      </c>
      <c r="R49" s="10">
        <f t="shared" ca="1" si="3"/>
        <v>5.5702506501694753</v>
      </c>
      <c r="S49" s="19">
        <f t="shared" ca="1" si="9"/>
        <v>252.82937108769511</v>
      </c>
      <c r="T49" s="10">
        <f t="shared" ca="1" si="4"/>
        <v>0.39936604058101233</v>
      </c>
      <c r="U49" s="10">
        <f t="shared" ca="1" si="5"/>
        <v>3.1016312906829908</v>
      </c>
      <c r="V49" s="19">
        <f t="shared" ca="1" si="10"/>
        <v>255.93100237837811</v>
      </c>
      <c r="W49" s="19">
        <f t="shared" ca="1" si="6"/>
        <v>99.118544356855722</v>
      </c>
    </row>
    <row r="50" spans="12:23" ht="15" customHeight="1" x14ac:dyDescent="0.45">
      <c r="L50" s="9">
        <v>46</v>
      </c>
      <c r="M50" s="19">
        <f t="shared" ca="1" si="7"/>
        <v>162.88660009775595</v>
      </c>
      <c r="N50" s="10">
        <f t="shared" ca="1" si="0"/>
        <v>0.23767540297214818</v>
      </c>
      <c r="O50" s="10">
        <f t="shared" ca="1" si="1"/>
        <v>3.8444087925385695</v>
      </c>
      <c r="P50" s="19">
        <f t="shared" ca="1" si="8"/>
        <v>202.82668656996037</v>
      </c>
      <c r="Q50" s="10">
        <f t="shared" ca="1" si="2"/>
        <v>0.719624425994564</v>
      </c>
      <c r="R50" s="10">
        <f t="shared" ca="1" si="3"/>
        <v>5.7029828667158569</v>
      </c>
      <c r="S50" s="19">
        <f t="shared" ca="1" si="9"/>
        <v>258.53235395441095</v>
      </c>
      <c r="T50" s="10">
        <f t="shared" ca="1" si="4"/>
        <v>0.65634080947574835</v>
      </c>
      <c r="U50" s="10">
        <f t="shared" ca="1" si="5"/>
        <v>3.5640490457033325</v>
      </c>
      <c r="V50" s="19">
        <f t="shared" ca="1" si="10"/>
        <v>262.09640300011426</v>
      </c>
      <c r="W50" s="19">
        <f t="shared" ca="1" si="6"/>
        <v>99.209802902358319</v>
      </c>
    </row>
    <row r="51" spans="12:23" ht="15" customHeight="1" x14ac:dyDescent="0.45">
      <c r="L51" s="9">
        <v>47</v>
      </c>
      <c r="M51" s="19">
        <f t="shared" ca="1" si="7"/>
        <v>166.50549385035555</v>
      </c>
      <c r="N51" s="10">
        <f t="shared" ca="1" si="0"/>
        <v>0.90318959260832643</v>
      </c>
      <c r="O51" s="10">
        <f t="shared" ca="1" si="1"/>
        <v>5.2378566772909174</v>
      </c>
      <c r="P51" s="19">
        <f t="shared" ca="1" si="8"/>
        <v>208.06454324725129</v>
      </c>
      <c r="Q51" s="10">
        <f t="shared" ca="1" si="2"/>
        <v>0.73480013800367228</v>
      </c>
      <c r="R51" s="10">
        <f t="shared" ca="1" si="3"/>
        <v>5.738572565710589</v>
      </c>
      <c r="S51" s="19">
        <f t="shared" ca="1" si="9"/>
        <v>264.27092652012152</v>
      </c>
      <c r="T51" s="10">
        <f t="shared" ca="1" si="4"/>
        <v>0.96649434096819919</v>
      </c>
      <c r="U51" s="10">
        <f t="shared" ca="1" si="5"/>
        <v>4.5516318987809186</v>
      </c>
      <c r="V51" s="19">
        <f t="shared" ca="1" si="10"/>
        <v>268.82255841890242</v>
      </c>
      <c r="W51" s="19">
        <f t="shared" ca="1" si="6"/>
        <v>102.31706456854687</v>
      </c>
    </row>
    <row r="52" spans="12:23" ht="15" customHeight="1" x14ac:dyDescent="0.45">
      <c r="L52" s="9">
        <v>48</v>
      </c>
      <c r="M52" s="19">
        <f t="shared" ca="1" si="7"/>
        <v>167.46492904601681</v>
      </c>
      <c r="N52" s="10">
        <f t="shared" ca="1" si="0"/>
        <v>0.42220487510331006</v>
      </c>
      <c r="O52" s="10">
        <f t="shared" ca="1" si="1"/>
        <v>4.1380733770150506</v>
      </c>
      <c r="P52" s="19">
        <f t="shared" ca="1" si="8"/>
        <v>212.20261662426634</v>
      </c>
      <c r="Q52" s="10">
        <f t="shared" ca="1" si="2"/>
        <v>0.84078536085190081</v>
      </c>
      <c r="R52" s="10">
        <f t="shared" ca="1" si="3"/>
        <v>6.0226117276698092</v>
      </c>
      <c r="S52" s="19">
        <f t="shared" ca="1" si="9"/>
        <v>270.29353824779133</v>
      </c>
      <c r="T52" s="10">
        <f t="shared" ca="1" si="4"/>
        <v>0.42747939556810766</v>
      </c>
      <c r="U52" s="10">
        <f t="shared" ca="1" si="5"/>
        <v>3.1465913492725481</v>
      </c>
      <c r="V52" s="19">
        <f t="shared" ca="1" si="10"/>
        <v>273.4401295970639</v>
      </c>
      <c r="W52" s="19">
        <f t="shared" ca="1" si="6"/>
        <v>105.9752005510471</v>
      </c>
    </row>
    <row r="53" spans="12:23" ht="15" customHeight="1" x14ac:dyDescent="0.45">
      <c r="L53" s="9">
        <v>49</v>
      </c>
      <c r="M53" s="19">
        <f t="shared" ca="1" si="7"/>
        <v>169.7259004989896</v>
      </c>
      <c r="N53" s="10">
        <f t="shared" ca="1" si="0"/>
        <v>0.81113356951930504</v>
      </c>
      <c r="O53" s="10">
        <f t="shared" ca="1" si="1"/>
        <v>4.9354819950399289</v>
      </c>
      <c r="P53" s="19">
        <f t="shared" ca="1" si="8"/>
        <v>217.13809861930628</v>
      </c>
      <c r="Q53" s="10">
        <f t="shared" ca="1" si="2"/>
        <v>0.35101825524662922</v>
      </c>
      <c r="R53" s="10">
        <f t="shared" ca="1" si="3"/>
        <v>5.0267056812223307</v>
      </c>
      <c r="S53" s="19">
        <f t="shared" ca="1" si="9"/>
        <v>275.32024392901366</v>
      </c>
      <c r="T53" s="10">
        <f t="shared" ca="1" si="4"/>
        <v>0.38579349480605774</v>
      </c>
      <c r="U53" s="10">
        <f t="shared" ca="1" si="5"/>
        <v>3.0803023594420775</v>
      </c>
      <c r="V53" s="19">
        <f t="shared" ca="1" si="10"/>
        <v>278.40054628845576</v>
      </c>
      <c r="W53" s="19">
        <f t="shared" ca="1" si="6"/>
        <v>108.67464578946615</v>
      </c>
    </row>
    <row r="54" spans="12:23" ht="15" customHeight="1" x14ac:dyDescent="0.45">
      <c r="L54" s="9">
        <v>50</v>
      </c>
      <c r="M54" s="19">
        <f t="shared" ca="1" si="7"/>
        <v>173.28774403277166</v>
      </c>
      <c r="N54" s="10">
        <f t="shared" ca="1" si="0"/>
        <v>0.61827848850972433</v>
      </c>
      <c r="O54" s="10">
        <f t="shared" ca="1" si="1"/>
        <v>4.4866166814248105</v>
      </c>
      <c r="P54" s="19">
        <f t="shared" ca="1" si="8"/>
        <v>221.62471530073108</v>
      </c>
      <c r="Q54" s="10">
        <f t="shared" ca="1" si="2"/>
        <v>0.64704532483804977</v>
      </c>
      <c r="R54" s="10">
        <f t="shared" ca="1" si="3"/>
        <v>5.5447584217829329</v>
      </c>
      <c r="S54" s="19">
        <f t="shared" ca="1" si="9"/>
        <v>280.8650023507966</v>
      </c>
      <c r="T54" s="10">
        <f t="shared" ca="1" si="4"/>
        <v>0.7444677855018017</v>
      </c>
      <c r="U54" s="10">
        <f t="shared" ca="1" si="5"/>
        <v>3.7617781753703459</v>
      </c>
      <c r="V54" s="19">
        <f t="shared" ca="1" si="10"/>
        <v>284.62678052616695</v>
      </c>
      <c r="W54" s="19">
        <f t="shared" ca="1" si="6"/>
        <v>111.3390364933953</v>
      </c>
    </row>
    <row r="55" spans="12:23" ht="15" customHeight="1" x14ac:dyDescent="0.45">
      <c r="L55" s="9">
        <v>51</v>
      </c>
      <c r="M55" s="19">
        <f t="shared" ca="1" si="7"/>
        <v>178.14712406447833</v>
      </c>
      <c r="N55" s="10">
        <f t="shared" ca="1" si="0"/>
        <v>0.6347559576138283</v>
      </c>
      <c r="O55" s="10">
        <f t="shared" ca="1" si="1"/>
        <v>4.5196404982852876</v>
      </c>
      <c r="P55" s="19">
        <f t="shared" ca="1" si="8"/>
        <v>226.14435579901638</v>
      </c>
      <c r="Q55" s="10">
        <f t="shared" ca="1" si="2"/>
        <v>0.17184963718746471</v>
      </c>
      <c r="R55" s="10">
        <f t="shared" ca="1" si="3"/>
        <v>4.7180173476751062</v>
      </c>
      <c r="S55" s="19">
        <f t="shared" ca="1" si="9"/>
        <v>285.58301969847173</v>
      </c>
      <c r="T55" s="10">
        <f t="shared" ca="1" si="4"/>
        <v>0.43707687046050903</v>
      </c>
      <c r="U55" s="10">
        <f t="shared" ca="1" si="5"/>
        <v>3.1621918551608967</v>
      </c>
      <c r="V55" s="19">
        <f t="shared" ca="1" si="10"/>
        <v>288.7452115536326</v>
      </c>
      <c r="W55" s="19">
        <f t="shared" ca="1" si="6"/>
        <v>110.59808748915427</v>
      </c>
    </row>
    <row r="56" spans="12:23" ht="15" customHeight="1" x14ac:dyDescent="0.45">
      <c r="L56" s="9">
        <v>52</v>
      </c>
      <c r="M56" s="19">
        <f t="shared" ca="1" si="7"/>
        <v>182.70660191373412</v>
      </c>
      <c r="N56" s="10">
        <f t="shared" ca="1" si="0"/>
        <v>7.0054151219197114E-2</v>
      </c>
      <c r="O56" s="10">
        <f t="shared" ca="1" si="1"/>
        <v>3.4584347867009999</v>
      </c>
      <c r="P56" s="19">
        <f t="shared" ca="1" si="8"/>
        <v>229.60279058571737</v>
      </c>
      <c r="Q56" s="10">
        <f t="shared" ca="1" si="2"/>
        <v>0.3151525601362547</v>
      </c>
      <c r="R56" s="10">
        <f t="shared" ca="1" si="3"/>
        <v>4.972346481666265</v>
      </c>
      <c r="S56" s="19">
        <f t="shared" ca="1" si="9"/>
        <v>290.55536618013798</v>
      </c>
      <c r="T56" s="10">
        <f t="shared" ca="1" si="4"/>
        <v>0.45296675215012283</v>
      </c>
      <c r="U56" s="10">
        <f t="shared" ca="1" si="5"/>
        <v>3.1883158423446809</v>
      </c>
      <c r="V56" s="19">
        <f t="shared" ca="1" si="10"/>
        <v>293.74368202248269</v>
      </c>
      <c r="W56" s="19">
        <f t="shared" ca="1" si="6"/>
        <v>111.03708010874857</v>
      </c>
    </row>
    <row r="57" spans="12:23" ht="15" customHeight="1" x14ac:dyDescent="0.45">
      <c r="L57" s="9">
        <v>53</v>
      </c>
      <c r="M57" s="19">
        <f t="shared" ca="1" si="7"/>
        <v>194.97408133590966</v>
      </c>
      <c r="N57" s="10">
        <f t="shared" ca="1" si="0"/>
        <v>0.2824354950834741</v>
      </c>
      <c r="O57" s="10">
        <f t="shared" ca="1" si="1"/>
        <v>3.9204925231909398</v>
      </c>
      <c r="P57" s="19">
        <f t="shared" ca="1" si="8"/>
        <v>233.52328310890832</v>
      </c>
      <c r="Q57" s="10">
        <f t="shared" ca="1" si="2"/>
        <v>9.6984000092533162E-2</v>
      </c>
      <c r="R57" s="10">
        <f t="shared" ca="1" si="3"/>
        <v>4.5393996665531038</v>
      </c>
      <c r="S57" s="19">
        <f t="shared" ca="1" si="9"/>
        <v>295.09476584669108</v>
      </c>
      <c r="T57" s="10">
        <f t="shared" ca="1" si="4"/>
        <v>0.63793140712917773</v>
      </c>
      <c r="U57" s="10">
        <f t="shared" ca="1" si="5"/>
        <v>3.5260897051635287</v>
      </c>
      <c r="V57" s="19">
        <f t="shared" ca="1" si="10"/>
        <v>298.62085555185462</v>
      </c>
      <c r="W57" s="19">
        <f t="shared" ca="1" si="6"/>
        <v>103.64677421594496</v>
      </c>
    </row>
    <row r="58" spans="12:23" ht="15" customHeight="1" x14ac:dyDescent="0.45">
      <c r="L58" s="9">
        <v>54</v>
      </c>
      <c r="M58" s="19">
        <f t="shared" ca="1" si="7"/>
        <v>206.48486459533186</v>
      </c>
      <c r="N58" s="10">
        <f t="shared" ca="1" si="0"/>
        <v>9.4754377399149381E-2</v>
      </c>
      <c r="O58" s="10">
        <f t="shared" ca="1" si="1"/>
        <v>3.5331633260056887</v>
      </c>
      <c r="P58" s="19">
        <f t="shared" ca="1" si="8"/>
        <v>237.05644643491399</v>
      </c>
      <c r="Q58" s="10">
        <f t="shared" ca="1" si="2"/>
        <v>0.90530830164919174</v>
      </c>
      <c r="R58" s="10">
        <f t="shared" ca="1" si="3"/>
        <v>6.2462426185403892</v>
      </c>
      <c r="S58" s="19">
        <f t="shared" ca="1" si="9"/>
        <v>301.34100846523148</v>
      </c>
      <c r="T58" s="10">
        <f t="shared" ca="1" si="4"/>
        <v>0.27953193707386759</v>
      </c>
      <c r="U58" s="10">
        <f t="shared" ca="1" si="5"/>
        <v>2.915748770799941</v>
      </c>
      <c r="V58" s="19">
        <f t="shared" ca="1" si="10"/>
        <v>304.25675723603143</v>
      </c>
      <c r="W58" s="19">
        <f t="shared" ca="1" si="6"/>
        <v>97.771892640699576</v>
      </c>
    </row>
    <row r="59" spans="12:23" ht="15" customHeight="1" x14ac:dyDescent="0.45">
      <c r="L59" s="9">
        <v>55</v>
      </c>
      <c r="M59" s="19">
        <f t="shared" ca="1" si="7"/>
        <v>209.11044566131028</v>
      </c>
      <c r="N59" s="10">
        <f t="shared" ca="1" si="0"/>
        <v>8.7235894966940286E-2</v>
      </c>
      <c r="O59" s="10">
        <f t="shared" ca="1" si="1"/>
        <v>3.5115737335915722</v>
      </c>
      <c r="P59" s="19">
        <f t="shared" ca="1" si="8"/>
        <v>240.56802016850557</v>
      </c>
      <c r="Q59" s="10">
        <f t="shared" ca="1" si="2"/>
        <v>0.77954992671585943</v>
      </c>
      <c r="R59" s="10">
        <f t="shared" ca="1" si="3"/>
        <v>5.8499128556040443</v>
      </c>
      <c r="S59" s="19">
        <f t="shared" ca="1" si="9"/>
        <v>307.19092132083551</v>
      </c>
      <c r="T59" s="10">
        <f t="shared" ca="1" si="4"/>
        <v>0.58790238651000692</v>
      </c>
      <c r="U59" s="10">
        <f t="shared" ca="1" si="5"/>
        <v>3.4275542359305495</v>
      </c>
      <c r="V59" s="19">
        <f t="shared" ca="1" si="10"/>
        <v>310.61847555676604</v>
      </c>
      <c r="W59" s="19">
        <f t="shared" ca="1" si="6"/>
        <v>101.50802989545576</v>
      </c>
    </row>
    <row r="60" spans="12:23" ht="15" customHeight="1" x14ac:dyDescent="0.45">
      <c r="L60" s="9">
        <v>56</v>
      </c>
      <c r="M60" s="19">
        <f t="shared" ca="1" si="7"/>
        <v>213.79679138370309</v>
      </c>
      <c r="N60" s="10">
        <f t="shared" ca="1" si="0"/>
        <v>0.12819477597326112</v>
      </c>
      <c r="O60" s="10">
        <f t="shared" ca="1" si="1"/>
        <v>3.6201486337320943</v>
      </c>
      <c r="P60" s="19">
        <f t="shared" ca="1" si="8"/>
        <v>244.18816880223767</v>
      </c>
      <c r="Q60" s="10">
        <f t="shared" ca="1" si="2"/>
        <v>0.4798163185097819</v>
      </c>
      <c r="R60" s="10">
        <f t="shared" ca="1" si="3"/>
        <v>5.2333358867794626</v>
      </c>
      <c r="S60" s="19">
        <f t="shared" ca="1" si="9"/>
        <v>312.42425720761497</v>
      </c>
      <c r="T60" s="10">
        <f t="shared" ca="1" si="4"/>
        <v>0.34939974459905965</v>
      </c>
      <c r="U60" s="10">
        <f t="shared" ca="1" si="5"/>
        <v>3.0242465911947303</v>
      </c>
      <c r="V60" s="19">
        <f t="shared" ca="1" si="10"/>
        <v>315.44850379880972</v>
      </c>
      <c r="W60" s="19">
        <f t="shared" ca="1" si="6"/>
        <v>101.65171241510663</v>
      </c>
    </row>
    <row r="61" spans="12:23" ht="15" customHeight="1" x14ac:dyDescent="0.45">
      <c r="L61" s="9">
        <v>57</v>
      </c>
      <c r="M61" s="19">
        <f t="shared" ca="1" si="7"/>
        <v>215.15883936623854</v>
      </c>
      <c r="N61" s="10">
        <f t="shared" ca="1" si="0"/>
        <v>0.9310066230489662</v>
      </c>
      <c r="O61" s="10">
        <f t="shared" ca="1" si="1"/>
        <v>5.3566025631802665</v>
      </c>
      <c r="P61" s="19">
        <f t="shared" ca="1" si="8"/>
        <v>249.54477136541794</v>
      </c>
      <c r="Q61" s="10">
        <f t="shared" ca="1" si="2"/>
        <v>0.482895198078098</v>
      </c>
      <c r="R61" s="10">
        <f t="shared" ca="1" si="3"/>
        <v>5.238571939722938</v>
      </c>
      <c r="S61" s="19">
        <f t="shared" ca="1" si="9"/>
        <v>317.6628291473379</v>
      </c>
      <c r="T61" s="10">
        <f t="shared" ca="1" si="4"/>
        <v>0.69551899290119379</v>
      </c>
      <c r="U61" s="10">
        <f t="shared" ca="1" si="5"/>
        <v>3.6483765159657677</v>
      </c>
      <c r="V61" s="19">
        <f t="shared" ca="1" si="10"/>
        <v>321.31120566330367</v>
      </c>
      <c r="W61" s="19">
        <f t="shared" ca="1" si="6"/>
        <v>106.15236629706513</v>
      </c>
    </row>
    <row r="62" spans="12:23" ht="15" customHeight="1" x14ac:dyDescent="0.45">
      <c r="L62" s="9">
        <v>58</v>
      </c>
      <c r="M62" s="19">
        <f t="shared" ca="1" si="7"/>
        <v>218.91420753585905</v>
      </c>
      <c r="N62" s="10">
        <f t="shared" ca="1" si="0"/>
        <v>0.91377761916011757</v>
      </c>
      <c r="O62" s="10">
        <f t="shared" ca="1" si="1"/>
        <v>5.2807404605851271</v>
      </c>
      <c r="P62" s="19">
        <f t="shared" ca="1" si="8"/>
        <v>254.82551182600307</v>
      </c>
      <c r="Q62" s="10">
        <f t="shared" ca="1" si="2"/>
        <v>7.7984700518684891E-2</v>
      </c>
      <c r="R62" s="10">
        <f t="shared" ca="1" si="3"/>
        <v>4.4836880208936902</v>
      </c>
      <c r="S62" s="19">
        <f t="shared" ca="1" si="9"/>
        <v>322.14651716823158</v>
      </c>
      <c r="T62" s="10">
        <f t="shared" ca="1" si="4"/>
        <v>0.94641455454555001</v>
      </c>
      <c r="U62" s="10">
        <f t="shared" ca="1" si="5"/>
        <v>4.4329791249639037</v>
      </c>
      <c r="V62" s="19">
        <f t="shared" ca="1" si="10"/>
        <v>326.57949629319546</v>
      </c>
      <c r="W62" s="19">
        <f t="shared" ca="1" si="6"/>
        <v>107.66528875733641</v>
      </c>
    </row>
    <row r="63" spans="12:23" ht="15" customHeight="1" x14ac:dyDescent="0.45">
      <c r="L63" s="9">
        <v>59</v>
      </c>
      <c r="M63" s="19">
        <f t="shared" ca="1" si="7"/>
        <v>223.88033125318492</v>
      </c>
      <c r="N63" s="10">
        <f t="shared" ca="1" si="0"/>
        <v>0.18111081147053665</v>
      </c>
      <c r="O63" s="10">
        <f t="shared" ca="1" si="1"/>
        <v>3.7371108698232649</v>
      </c>
      <c r="P63" s="19">
        <f t="shared" ca="1" si="8"/>
        <v>258.56262269582635</v>
      </c>
      <c r="Q63" s="10">
        <f t="shared" ca="1" si="2"/>
        <v>0.70646160304822914</v>
      </c>
      <c r="R63" s="10">
        <f t="shared" ca="1" si="3"/>
        <v>5.672886447318608</v>
      </c>
      <c r="S63" s="19">
        <f t="shared" ca="1" si="9"/>
        <v>327.81940361555019</v>
      </c>
      <c r="T63" s="10">
        <f t="shared" ca="1" si="4"/>
        <v>0.44930084969363493</v>
      </c>
      <c r="U63" s="10">
        <f t="shared" ca="1" si="5"/>
        <v>3.1822555455075126</v>
      </c>
      <c r="V63" s="19">
        <f t="shared" ca="1" si="10"/>
        <v>331.00165916105772</v>
      </c>
      <c r="W63" s="19">
        <f t="shared" ca="1" si="6"/>
        <v>107.1213279078728</v>
      </c>
    </row>
    <row r="64" spans="12:23" ht="15" customHeight="1" x14ac:dyDescent="0.45">
      <c r="L64" s="9">
        <v>60</v>
      </c>
      <c r="M64" s="19">
        <f t="shared" ca="1" si="7"/>
        <v>226.05628628229223</v>
      </c>
      <c r="N64" s="10">
        <f t="shared" ca="1" si="0"/>
        <v>0.44676921693463389</v>
      </c>
      <c r="O64" s="10">
        <f t="shared" ca="1" si="1"/>
        <v>4.1780821373090946</v>
      </c>
      <c r="P64" s="19">
        <f t="shared" ca="1" si="8"/>
        <v>262.74070483313545</v>
      </c>
      <c r="Q64" s="10">
        <f t="shared" ca="1" si="2"/>
        <v>0.28387124191503299</v>
      </c>
      <c r="R64" s="10">
        <f t="shared" ca="1" si="3"/>
        <v>4.9228291964091184</v>
      </c>
      <c r="S64" s="19">
        <f t="shared" ca="1" si="9"/>
        <v>332.7422328119593</v>
      </c>
      <c r="T64" s="10">
        <f t="shared" ca="1" si="4"/>
        <v>0.98056172468293512</v>
      </c>
      <c r="U64" s="10">
        <f t="shared" ca="1" si="5"/>
        <v>4.6584891628331695</v>
      </c>
      <c r="V64" s="19">
        <f t="shared" ca="1" si="10"/>
        <v>337.40072197479248</v>
      </c>
      <c r="W64" s="19">
        <f t="shared" ca="1" si="6"/>
        <v>111.34443569250024</v>
      </c>
    </row>
    <row r="65" spans="12:23" ht="15" customHeight="1" x14ac:dyDescent="0.45">
      <c r="L65" s="9">
        <v>61</v>
      </c>
      <c r="M65" s="19">
        <f t="shared" ca="1" si="7"/>
        <v>227.77025005638129</v>
      </c>
      <c r="N65" s="10">
        <f t="shared" ca="1" si="0"/>
        <v>0.35443205909889375</v>
      </c>
      <c r="O65" s="10">
        <f t="shared" ca="1" si="1"/>
        <v>4.0319025315278116</v>
      </c>
      <c r="P65" s="19">
        <f t="shared" ca="1" si="8"/>
        <v>266.77260736466326</v>
      </c>
      <c r="Q65" s="10">
        <f t="shared" ca="1" si="2"/>
        <v>9.8746866198485161E-2</v>
      </c>
      <c r="R65" s="10">
        <f t="shared" ca="1" si="3"/>
        <v>4.5442798899421657</v>
      </c>
      <c r="S65" s="19">
        <f t="shared" ca="1" si="9"/>
        <v>337.28651270190147</v>
      </c>
      <c r="T65" s="10">
        <f t="shared" ca="1" si="4"/>
        <v>0.78545882518427657</v>
      </c>
      <c r="U65" s="10">
        <f t="shared" ca="1" si="5"/>
        <v>3.8654308972590781</v>
      </c>
      <c r="V65" s="19">
        <f t="shared" ca="1" si="10"/>
        <v>341.26615287205158</v>
      </c>
      <c r="W65" s="19">
        <f t="shared" ca="1" si="6"/>
        <v>113.49590281567029</v>
      </c>
    </row>
    <row r="66" spans="12:23" ht="15" customHeight="1" x14ac:dyDescent="0.45">
      <c r="L66" s="9">
        <v>62</v>
      </c>
      <c r="M66" s="19">
        <f t="shared" ca="1" si="7"/>
        <v>229.1828617000242</v>
      </c>
      <c r="N66" s="10">
        <f t="shared" ca="1" si="0"/>
        <v>0.58353547573809839</v>
      </c>
      <c r="O66" s="10">
        <f t="shared" ca="1" si="1"/>
        <v>4.4192447546911602</v>
      </c>
      <c r="P66" s="19">
        <f t="shared" ca="1" si="8"/>
        <v>271.19185211935439</v>
      </c>
      <c r="Q66" s="10">
        <f t="shared" ca="1" si="2"/>
        <v>0.940918319245725</v>
      </c>
      <c r="R66" s="10">
        <f t="shared" ca="1" si="3"/>
        <v>6.4046093009412646</v>
      </c>
      <c r="S66" s="19">
        <f t="shared" ca="1" si="9"/>
        <v>343.69112200284275</v>
      </c>
      <c r="T66" s="10">
        <f t="shared" ca="1" si="4"/>
        <v>0.57439350163502134</v>
      </c>
      <c r="U66" s="10">
        <f t="shared" ca="1" si="5"/>
        <v>3.4019890519180187</v>
      </c>
      <c r="V66" s="19">
        <f t="shared" ca="1" si="10"/>
        <v>347.09311105476075</v>
      </c>
      <c r="W66" s="19">
        <f t="shared" ca="1" si="6"/>
        <v>117.91024935473655</v>
      </c>
    </row>
    <row r="67" spans="12:23" ht="15" customHeight="1" x14ac:dyDescent="0.45">
      <c r="L67" s="9">
        <v>63</v>
      </c>
      <c r="M67" s="19">
        <f t="shared" ca="1" si="7"/>
        <v>240.39052390627558</v>
      </c>
      <c r="N67" s="10">
        <f t="shared" ca="1" si="0"/>
        <v>8.1105618534688562E-2</v>
      </c>
      <c r="O67" s="10">
        <f t="shared" ca="1" si="1"/>
        <v>3.4932715840224993</v>
      </c>
      <c r="P67" s="19">
        <f t="shared" ca="1" si="8"/>
        <v>274.68512370337692</v>
      </c>
      <c r="Q67" s="10">
        <f t="shared" ca="1" si="2"/>
        <v>0.99921751610224741</v>
      </c>
      <c r="R67" s="10">
        <f t="shared" ca="1" si="3"/>
        <v>6.9314806349524778</v>
      </c>
      <c r="S67" s="19">
        <f t="shared" ca="1" si="9"/>
        <v>350.62260263779524</v>
      </c>
      <c r="T67" s="10">
        <f t="shared" ca="1" si="4"/>
        <v>0.40411555174283709</v>
      </c>
      <c r="U67" s="10">
        <f t="shared" ca="1" si="5"/>
        <v>3.1091518597351673</v>
      </c>
      <c r="V67" s="19">
        <f t="shared" ca="1" si="10"/>
        <v>353.7317544975304</v>
      </c>
      <c r="W67" s="19">
        <f t="shared" ca="1" si="6"/>
        <v>113.34123059125483</v>
      </c>
    </row>
    <row r="68" spans="12:23" ht="15" customHeight="1" x14ac:dyDescent="0.45">
      <c r="L68" s="9">
        <v>64</v>
      </c>
      <c r="M68" s="19">
        <f t="shared" ca="1" si="7"/>
        <v>248.87617692360587</v>
      </c>
      <c r="N68" s="10">
        <f t="shared" ca="1" si="0"/>
        <v>0.46457474293746048</v>
      </c>
      <c r="O68" s="10">
        <f t="shared" ca="1" si="1"/>
        <v>4.207640788687927</v>
      </c>
      <c r="P68" s="19">
        <f t="shared" ca="1" si="8"/>
        <v>278.89276449206483</v>
      </c>
      <c r="Q68" s="10">
        <f t="shared" ca="1" si="2"/>
        <v>0.22503995997832338</v>
      </c>
      <c r="R68" s="10">
        <f t="shared" ca="1" si="3"/>
        <v>4.8216567896238489</v>
      </c>
      <c r="S68" s="19">
        <f t="shared" ca="1" si="9"/>
        <v>355.44425942741907</v>
      </c>
      <c r="T68" s="10">
        <f t="shared" ca="1" si="4"/>
        <v>0.88079077302398112</v>
      </c>
      <c r="U68" s="10">
        <f t="shared" ca="1" si="5"/>
        <v>4.154272288584492</v>
      </c>
      <c r="V68" s="19">
        <f t="shared" ca="1" si="10"/>
        <v>359.59853171600355</v>
      </c>
      <c r="W68" s="19">
        <f t="shared" ca="1" si="6"/>
        <v>110.72235479239768</v>
      </c>
    </row>
    <row r="69" spans="12:23" ht="15" customHeight="1" x14ac:dyDescent="0.45">
      <c r="L69" s="9">
        <v>65</v>
      </c>
      <c r="M69" s="19">
        <f t="shared" ca="1" si="7"/>
        <v>250.53571812363552</v>
      </c>
      <c r="N69" s="10">
        <f t="shared" ref="N69:N132" ca="1" si="11">RAND()</f>
        <v>0.17162846325020342</v>
      </c>
      <c r="O69" s="10">
        <f t="shared" ref="O69:O132" ca="1" si="12">IF(N69&lt;$F$8,$C$8+SQRT(N69*($E$8-$C$8)*($D$8-$C$8)),$E$8-SQRT((1-N69)*($E$8-$C$8)*($E$8-$D$8)))</f>
        <v>3.7175551475326549</v>
      </c>
      <c r="P69" s="19">
        <f t="shared" ca="1" si="8"/>
        <v>282.61031963959749</v>
      </c>
      <c r="Q69" s="10">
        <f t="shared" ref="Q69:Q132" ca="1" si="13">RAND()</f>
        <v>0.48632402581427836</v>
      </c>
      <c r="R69" s="10">
        <f t="shared" ref="R69:R132" ca="1" si="14">IF(Q69&lt;$F$9,$C$9+SQRT(Q69*($E$9-$C$9)*($D$9-$C$9)),$E$9-SQRT((1-Q69)*($E$9-$C$9)*($E$9-$D$9)))</f>
        <v>5.2444215069914044</v>
      </c>
      <c r="S69" s="19">
        <f t="shared" ca="1" si="9"/>
        <v>360.68868093441046</v>
      </c>
      <c r="T69" s="10">
        <f t="shared" ref="T69:T132" ca="1" si="15">RAND()</f>
        <v>0.53820597762387412</v>
      </c>
      <c r="U69" s="10">
        <f t="shared" ref="U69:U132" ca="1" si="16">IF(T69&lt;$F$10,$C$10+SQRT(T69*($E$10-$C$10)*($D$10-$C$10)),$E$10-SQRT((1-T69)*($E$10-$C$10)*($E$10-$D$10)))</f>
        <v>3.3354387562313139</v>
      </c>
      <c r="V69" s="19">
        <f t="shared" ca="1" si="10"/>
        <v>364.02411969064178</v>
      </c>
      <c r="W69" s="19">
        <f t="shared" ref="W69:W132" ca="1" si="17">V69-M69</f>
        <v>113.48840156700626</v>
      </c>
    </row>
    <row r="70" spans="12:23" ht="15" customHeight="1" x14ac:dyDescent="0.45">
      <c r="L70" s="9">
        <v>66</v>
      </c>
      <c r="M70" s="19">
        <f t="shared" ref="M70:M133" ca="1" si="18">M69-$C$5*LN(1-RAND())</f>
        <v>252.71474791244859</v>
      </c>
      <c r="N70" s="10">
        <f t="shared" ca="1" si="11"/>
        <v>0.6754177914382119</v>
      </c>
      <c r="O70" s="10">
        <f t="shared" ca="1" si="12"/>
        <v>4.6044738442541719</v>
      </c>
      <c r="P70" s="19">
        <f t="shared" ref="P70:P133" ca="1" si="19">MAX(M70,P69)+O70</f>
        <v>287.21479348385168</v>
      </c>
      <c r="Q70" s="10">
        <f t="shared" ca="1" si="13"/>
        <v>0.33801968660747816</v>
      </c>
      <c r="R70" s="10">
        <f t="shared" ca="1" si="14"/>
        <v>5.0070419270955222</v>
      </c>
      <c r="S70" s="19">
        <f t="shared" ref="S70:S133" ca="1" si="20">MAX(P70,S69)+R70</f>
        <v>365.695722861506</v>
      </c>
      <c r="T70" s="10">
        <f t="shared" ca="1" si="15"/>
        <v>0.70847359083440009</v>
      </c>
      <c r="U70" s="10">
        <f t="shared" ca="1" si="16"/>
        <v>3.6774424568308568</v>
      </c>
      <c r="V70" s="19">
        <f t="shared" ref="V70:V133" ca="1" si="21">MAX(S70,V69)+U70</f>
        <v>369.37316531833687</v>
      </c>
      <c r="W70" s="19">
        <f t="shared" ca="1" si="17"/>
        <v>116.65841740588829</v>
      </c>
    </row>
    <row r="71" spans="12:23" ht="15" customHeight="1" x14ac:dyDescent="0.45">
      <c r="L71" s="9">
        <v>67</v>
      </c>
      <c r="M71" s="19">
        <f t="shared" ca="1" si="18"/>
        <v>257.06644537886103</v>
      </c>
      <c r="N71" s="10">
        <f t="shared" ca="1" si="11"/>
        <v>0.55229940488229778</v>
      </c>
      <c r="O71" s="10">
        <f t="shared" ca="1" si="12"/>
        <v>4.3610358238490345</v>
      </c>
      <c r="P71" s="19">
        <f t="shared" ca="1" si="19"/>
        <v>291.5758293077007</v>
      </c>
      <c r="Q71" s="10">
        <f t="shared" ca="1" si="13"/>
        <v>0.92070285576195554</v>
      </c>
      <c r="R71" s="10">
        <f t="shared" ca="1" si="14"/>
        <v>6.3102298459426747</v>
      </c>
      <c r="S71" s="19">
        <f t="shared" ca="1" si="20"/>
        <v>372.00595270744867</v>
      </c>
      <c r="T71" s="10">
        <f t="shared" ca="1" si="15"/>
        <v>0.99053198634150952</v>
      </c>
      <c r="U71" s="10">
        <f t="shared" ca="1" si="16"/>
        <v>4.7616555392904152</v>
      </c>
      <c r="V71" s="19">
        <f t="shared" ca="1" si="21"/>
        <v>376.76760824673909</v>
      </c>
      <c r="W71" s="19">
        <f t="shared" ca="1" si="17"/>
        <v>119.70116286787805</v>
      </c>
    </row>
    <row r="72" spans="12:23" ht="15" customHeight="1" x14ac:dyDescent="0.45">
      <c r="L72" s="9">
        <v>68</v>
      </c>
      <c r="M72" s="19">
        <f t="shared" ca="1" si="18"/>
        <v>272.23471638220428</v>
      </c>
      <c r="N72" s="10">
        <f t="shared" ca="1" si="11"/>
        <v>0.77333880479571226</v>
      </c>
      <c r="O72" s="10">
        <f t="shared" ca="1" si="12"/>
        <v>4.8338236963367303</v>
      </c>
      <c r="P72" s="19">
        <f t="shared" ca="1" si="19"/>
        <v>296.40965300403741</v>
      </c>
      <c r="Q72" s="10">
        <f t="shared" ca="1" si="13"/>
        <v>7.4371493765437946E-2</v>
      </c>
      <c r="R72" s="10">
        <f t="shared" ca="1" si="14"/>
        <v>4.4723499563843676</v>
      </c>
      <c r="S72" s="19">
        <f t="shared" ca="1" si="20"/>
        <v>376.47830266383306</v>
      </c>
      <c r="T72" s="10">
        <f t="shared" ca="1" si="15"/>
        <v>0.80540098774544144</v>
      </c>
      <c r="U72" s="10">
        <f t="shared" ca="1" si="16"/>
        <v>3.9194473295913097</v>
      </c>
      <c r="V72" s="19">
        <f t="shared" ca="1" si="21"/>
        <v>380.68705557633041</v>
      </c>
      <c r="W72" s="19">
        <f t="shared" ca="1" si="17"/>
        <v>108.45233919412613</v>
      </c>
    </row>
    <row r="73" spans="12:23" ht="15" customHeight="1" x14ac:dyDescent="0.45">
      <c r="L73" s="9">
        <v>69</v>
      </c>
      <c r="M73" s="19">
        <f t="shared" ca="1" si="18"/>
        <v>278.16016391827861</v>
      </c>
      <c r="N73" s="10">
        <f t="shared" ca="1" si="11"/>
        <v>0.87247880831291846</v>
      </c>
      <c r="O73" s="10">
        <f t="shared" ca="1" si="12"/>
        <v>5.1252845319062379</v>
      </c>
      <c r="P73" s="19">
        <f t="shared" ca="1" si="19"/>
        <v>301.53493753594364</v>
      </c>
      <c r="Q73" s="10">
        <f t="shared" ca="1" si="13"/>
        <v>0.43511343158971982</v>
      </c>
      <c r="R73" s="10">
        <f t="shared" ca="1" si="14"/>
        <v>5.1589895680736406</v>
      </c>
      <c r="S73" s="19">
        <f t="shared" ca="1" si="20"/>
        <v>381.63729223190671</v>
      </c>
      <c r="T73" s="10">
        <f t="shared" ca="1" si="15"/>
        <v>0.78346219747627766</v>
      </c>
      <c r="U73" s="10">
        <f t="shared" ca="1" si="16"/>
        <v>3.8601636893209914</v>
      </c>
      <c r="V73" s="19">
        <f t="shared" ca="1" si="21"/>
        <v>385.4974559212277</v>
      </c>
      <c r="W73" s="19">
        <f t="shared" ca="1" si="17"/>
        <v>107.33729200294908</v>
      </c>
    </row>
    <row r="74" spans="12:23" ht="15" customHeight="1" x14ac:dyDescent="0.45">
      <c r="L74" s="9">
        <v>70</v>
      </c>
      <c r="M74" s="19">
        <f t="shared" ca="1" si="18"/>
        <v>289.25076576170108</v>
      </c>
      <c r="N74" s="10">
        <f t="shared" ca="1" si="11"/>
        <v>0.27252015865531121</v>
      </c>
      <c r="O74" s="10">
        <f t="shared" ca="1" si="12"/>
        <v>3.9041905086683522</v>
      </c>
      <c r="P74" s="19">
        <f t="shared" ca="1" si="19"/>
        <v>305.439128044612</v>
      </c>
      <c r="Q74" s="10">
        <f t="shared" ca="1" si="13"/>
        <v>0.66547067623976042</v>
      </c>
      <c r="R74" s="10">
        <f t="shared" ca="1" si="14"/>
        <v>5.5832516304715796</v>
      </c>
      <c r="S74" s="19">
        <f t="shared" ca="1" si="20"/>
        <v>387.22054386237829</v>
      </c>
      <c r="T74" s="10">
        <f t="shared" ca="1" si="15"/>
        <v>0.86878101221866921</v>
      </c>
      <c r="U74" s="10">
        <f t="shared" ca="1" si="16"/>
        <v>4.1126928791630348</v>
      </c>
      <c r="V74" s="19">
        <f t="shared" ca="1" si="21"/>
        <v>391.33323674154133</v>
      </c>
      <c r="W74" s="19">
        <f t="shared" ca="1" si="17"/>
        <v>102.08247097984025</v>
      </c>
    </row>
    <row r="75" spans="12:23" ht="15" customHeight="1" x14ac:dyDescent="0.45">
      <c r="L75" s="9">
        <v>71</v>
      </c>
      <c r="M75" s="19">
        <f t="shared" ca="1" si="18"/>
        <v>291.12303148163016</v>
      </c>
      <c r="N75" s="10">
        <f t="shared" ca="1" si="11"/>
        <v>0.49956544623138888</v>
      </c>
      <c r="O75" s="10">
        <f t="shared" ca="1" si="12"/>
        <v>4.2671966866918609</v>
      </c>
      <c r="P75" s="19">
        <f t="shared" ca="1" si="19"/>
        <v>309.70632473130388</v>
      </c>
      <c r="Q75" s="10">
        <f t="shared" ca="1" si="13"/>
        <v>0.40698630883250353</v>
      </c>
      <c r="R75" s="10">
        <f t="shared" ca="1" si="14"/>
        <v>5.1137120720831142</v>
      </c>
      <c r="S75" s="19">
        <f t="shared" ca="1" si="20"/>
        <v>392.3342559344614</v>
      </c>
      <c r="T75" s="10">
        <f t="shared" ca="1" si="15"/>
        <v>0.59023921234457055</v>
      </c>
      <c r="U75" s="10">
        <f t="shared" ca="1" si="16"/>
        <v>3.4320189012833806</v>
      </c>
      <c r="V75" s="19">
        <f t="shared" ca="1" si="21"/>
        <v>395.76627483574475</v>
      </c>
      <c r="W75" s="19">
        <f t="shared" ca="1" si="17"/>
        <v>104.64324335411459</v>
      </c>
    </row>
    <row r="76" spans="12:23" ht="15" customHeight="1" x14ac:dyDescent="0.45">
      <c r="L76" s="9">
        <v>72</v>
      </c>
      <c r="M76" s="19">
        <f t="shared" ca="1" si="18"/>
        <v>295.53326344204118</v>
      </c>
      <c r="N76" s="10">
        <f t="shared" ca="1" si="11"/>
        <v>0.67125082875453401</v>
      </c>
      <c r="O76" s="10">
        <f t="shared" ca="1" si="12"/>
        <v>4.5955445797488634</v>
      </c>
      <c r="P76" s="19">
        <f t="shared" ca="1" si="19"/>
        <v>314.30186931105277</v>
      </c>
      <c r="Q76" s="10">
        <f t="shared" ca="1" si="13"/>
        <v>0.59804323463104025</v>
      </c>
      <c r="R76" s="10">
        <f t="shared" ca="1" si="14"/>
        <v>5.4470220245561247</v>
      </c>
      <c r="S76" s="19">
        <f t="shared" ca="1" si="20"/>
        <v>397.78127795901753</v>
      </c>
      <c r="T76" s="10">
        <f t="shared" ca="1" si="15"/>
        <v>0.88765733308641981</v>
      </c>
      <c r="U76" s="10">
        <f t="shared" ca="1" si="16"/>
        <v>4.1789908639476163</v>
      </c>
      <c r="V76" s="19">
        <f t="shared" ca="1" si="21"/>
        <v>401.96026882296513</v>
      </c>
      <c r="W76" s="19">
        <f t="shared" ca="1" si="17"/>
        <v>106.42700538092396</v>
      </c>
    </row>
    <row r="77" spans="12:23" ht="15" customHeight="1" x14ac:dyDescent="0.45">
      <c r="L77" s="9">
        <v>73</v>
      </c>
      <c r="M77" s="19">
        <f t="shared" ca="1" si="18"/>
        <v>297.9583192252839</v>
      </c>
      <c r="N77" s="10">
        <f t="shared" ca="1" si="11"/>
        <v>8.1205640211885477E-3</v>
      </c>
      <c r="O77" s="10">
        <f t="shared" ca="1" si="12"/>
        <v>3.1560823246353209</v>
      </c>
      <c r="P77" s="19">
        <f t="shared" ca="1" si="19"/>
        <v>317.45795163568812</v>
      </c>
      <c r="Q77" s="10">
        <f t="shared" ca="1" si="13"/>
        <v>0.66000935800967764</v>
      </c>
      <c r="R77" s="10">
        <f t="shared" ca="1" si="14"/>
        <v>5.5717339701785473</v>
      </c>
      <c r="S77" s="19">
        <f t="shared" ca="1" si="20"/>
        <v>403.3530119291961</v>
      </c>
      <c r="T77" s="10">
        <f t="shared" ca="1" si="15"/>
        <v>0.38582710554281019</v>
      </c>
      <c r="U77" s="10">
        <f t="shared" ca="1" si="16"/>
        <v>3.0803548852084304</v>
      </c>
      <c r="V77" s="19">
        <f t="shared" ca="1" si="21"/>
        <v>406.43336681440451</v>
      </c>
      <c r="W77" s="19">
        <f t="shared" ca="1" si="17"/>
        <v>108.47504758912061</v>
      </c>
    </row>
    <row r="78" spans="12:23" ht="15" customHeight="1" x14ac:dyDescent="0.45">
      <c r="L78" s="9">
        <v>74</v>
      </c>
      <c r="M78" s="19">
        <f t="shared" ca="1" si="18"/>
        <v>297.97710272818665</v>
      </c>
      <c r="N78" s="10">
        <f t="shared" ca="1" si="11"/>
        <v>0.59868213497340717</v>
      </c>
      <c r="O78" s="10">
        <f t="shared" ca="1" si="12"/>
        <v>4.4482567254344048</v>
      </c>
      <c r="P78" s="19">
        <f t="shared" ca="1" si="19"/>
        <v>321.90620836112254</v>
      </c>
      <c r="Q78" s="10">
        <f t="shared" ca="1" si="13"/>
        <v>0.17708066291450897</v>
      </c>
      <c r="R78" s="10">
        <f t="shared" ca="1" si="14"/>
        <v>4.728863491158342</v>
      </c>
      <c r="S78" s="19">
        <f t="shared" ca="1" si="20"/>
        <v>408.08187542035444</v>
      </c>
      <c r="T78" s="10">
        <f t="shared" ca="1" si="15"/>
        <v>0.91048008659626967</v>
      </c>
      <c r="U78" s="10">
        <f t="shared" ca="1" si="16"/>
        <v>4.2671156432134865</v>
      </c>
      <c r="V78" s="19">
        <f t="shared" ca="1" si="21"/>
        <v>412.34899106356795</v>
      </c>
      <c r="W78" s="19">
        <f t="shared" ca="1" si="17"/>
        <v>114.3718883353813</v>
      </c>
    </row>
    <row r="79" spans="12:23" ht="15" customHeight="1" x14ac:dyDescent="0.45">
      <c r="L79" s="9">
        <v>75</v>
      </c>
      <c r="M79" s="19">
        <f t="shared" ca="1" si="18"/>
        <v>300.95331626110726</v>
      </c>
      <c r="N79" s="10">
        <f t="shared" ca="1" si="11"/>
        <v>0.95928932984253035</v>
      </c>
      <c r="O79" s="10">
        <f t="shared" ca="1" si="12"/>
        <v>5.5057692634560071</v>
      </c>
      <c r="P79" s="19">
        <f t="shared" ca="1" si="19"/>
        <v>327.41197762457853</v>
      </c>
      <c r="Q79" s="10">
        <f t="shared" ca="1" si="13"/>
        <v>0.26251861563979939</v>
      </c>
      <c r="R79" s="10">
        <f t="shared" ca="1" si="14"/>
        <v>4.8874434330814545</v>
      </c>
      <c r="S79" s="19">
        <f t="shared" ca="1" si="20"/>
        <v>412.96931885343588</v>
      </c>
      <c r="T79" s="10">
        <f t="shared" ca="1" si="15"/>
        <v>0.79241255892887486</v>
      </c>
      <c r="U79" s="10">
        <f t="shared" ca="1" si="16"/>
        <v>3.8839692448562402</v>
      </c>
      <c r="V79" s="19">
        <f t="shared" ca="1" si="21"/>
        <v>416.85328809829213</v>
      </c>
      <c r="W79" s="19">
        <f t="shared" ca="1" si="17"/>
        <v>115.89997183718486</v>
      </c>
    </row>
    <row r="80" spans="12:23" ht="15" customHeight="1" x14ac:dyDescent="0.45">
      <c r="L80" s="9">
        <v>76</v>
      </c>
      <c r="M80" s="19">
        <f t="shared" ca="1" si="18"/>
        <v>308.9683001376979</v>
      </c>
      <c r="N80" s="10">
        <f t="shared" ca="1" si="11"/>
        <v>0.63101207805336368</v>
      </c>
      <c r="O80" s="10">
        <f t="shared" ca="1" si="12"/>
        <v>4.5120727397887297</v>
      </c>
      <c r="P80" s="19">
        <f t="shared" ca="1" si="19"/>
        <v>331.92405036436725</v>
      </c>
      <c r="Q80" s="10">
        <f t="shared" ca="1" si="13"/>
        <v>0.65784466463251901</v>
      </c>
      <c r="R80" s="10">
        <f t="shared" ca="1" si="14"/>
        <v>5.5671943564443618</v>
      </c>
      <c r="S80" s="19">
        <f t="shared" ca="1" si="20"/>
        <v>418.53651320988024</v>
      </c>
      <c r="T80" s="10">
        <f t="shared" ca="1" si="15"/>
        <v>0.98694500947595143</v>
      </c>
      <c r="U80" s="10">
        <f t="shared" ca="1" si="16"/>
        <v>4.7201251294876734</v>
      </c>
      <c r="V80" s="19">
        <f t="shared" ca="1" si="21"/>
        <v>423.2566383393679</v>
      </c>
      <c r="W80" s="19">
        <f t="shared" ca="1" si="17"/>
        <v>114.28833820167</v>
      </c>
    </row>
    <row r="81" spans="12:23" ht="15" customHeight="1" x14ac:dyDescent="0.45">
      <c r="L81" s="9">
        <v>77</v>
      </c>
      <c r="M81" s="19">
        <f t="shared" ca="1" si="18"/>
        <v>318.13497283736729</v>
      </c>
      <c r="N81" s="10">
        <f t="shared" ca="1" si="11"/>
        <v>0.30320788746500327</v>
      </c>
      <c r="O81" s="10">
        <f t="shared" ca="1" si="12"/>
        <v>3.953741926516293</v>
      </c>
      <c r="P81" s="19">
        <f t="shared" ca="1" si="19"/>
        <v>335.87779229088352</v>
      </c>
      <c r="Q81" s="10">
        <f t="shared" ca="1" si="13"/>
        <v>0.29711993409173532</v>
      </c>
      <c r="R81" s="10">
        <f t="shared" ca="1" si="14"/>
        <v>4.9441185318990435</v>
      </c>
      <c r="S81" s="19">
        <f t="shared" ca="1" si="20"/>
        <v>423.48063174177929</v>
      </c>
      <c r="T81" s="10">
        <f t="shared" ca="1" si="15"/>
        <v>0.8137288806686116</v>
      </c>
      <c r="U81" s="10">
        <f t="shared" ca="1" si="16"/>
        <v>3.9428213414997773</v>
      </c>
      <c r="V81" s="19">
        <f t="shared" ca="1" si="21"/>
        <v>427.42345308327907</v>
      </c>
      <c r="W81" s="19">
        <f t="shared" ca="1" si="17"/>
        <v>109.28848024591179</v>
      </c>
    </row>
    <row r="82" spans="12:23" ht="15" customHeight="1" x14ac:dyDescent="0.45">
      <c r="L82" s="9">
        <v>78</v>
      </c>
      <c r="M82" s="19">
        <f t="shared" ca="1" si="18"/>
        <v>322.84661158524517</v>
      </c>
      <c r="N82" s="10">
        <f t="shared" ca="1" si="11"/>
        <v>0.35351094173051878</v>
      </c>
      <c r="O82" s="10">
        <f t="shared" ca="1" si="12"/>
        <v>4.030498959224218</v>
      </c>
      <c r="P82" s="19">
        <f t="shared" ca="1" si="19"/>
        <v>339.90829125010771</v>
      </c>
      <c r="Q82" s="10">
        <f t="shared" ca="1" si="13"/>
        <v>0.61256669812425124</v>
      </c>
      <c r="R82" s="10">
        <f t="shared" ca="1" si="14"/>
        <v>5.4753361645088798</v>
      </c>
      <c r="S82" s="19">
        <f t="shared" ca="1" si="20"/>
        <v>428.95596790628815</v>
      </c>
      <c r="T82" s="10">
        <f t="shared" ca="1" si="15"/>
        <v>0.85684746019629787</v>
      </c>
      <c r="U82" s="10">
        <f t="shared" ca="1" si="16"/>
        <v>4.0732231990267493</v>
      </c>
      <c r="V82" s="19">
        <f t="shared" ca="1" si="21"/>
        <v>433.02919110531491</v>
      </c>
      <c r="W82" s="19">
        <f t="shared" ca="1" si="17"/>
        <v>110.18257952006974</v>
      </c>
    </row>
    <row r="83" spans="12:23" ht="15" customHeight="1" x14ac:dyDescent="0.45">
      <c r="L83" s="9">
        <v>79</v>
      </c>
      <c r="M83" s="19">
        <f t="shared" ca="1" si="18"/>
        <v>331.24391932703998</v>
      </c>
      <c r="N83" s="10">
        <f t="shared" ca="1" si="11"/>
        <v>0.4106958714019725</v>
      </c>
      <c r="O83" s="10">
        <f t="shared" ca="1" si="12"/>
        <v>4.1196211095664346</v>
      </c>
      <c r="P83" s="19">
        <f t="shared" ca="1" si="19"/>
        <v>344.02791235967413</v>
      </c>
      <c r="Q83" s="10">
        <f t="shared" ca="1" si="13"/>
        <v>0.74015698090739379</v>
      </c>
      <c r="R83" s="10">
        <f t="shared" ca="1" si="14"/>
        <v>5.751377513194786</v>
      </c>
      <c r="S83" s="19">
        <f t="shared" ca="1" si="20"/>
        <v>434.70734541948292</v>
      </c>
      <c r="T83" s="10">
        <f t="shared" ca="1" si="15"/>
        <v>0.87001911845391144</v>
      </c>
      <c r="U83" s="10">
        <f t="shared" ca="1" si="16"/>
        <v>4.1168888579139482</v>
      </c>
      <c r="V83" s="19">
        <f t="shared" ca="1" si="21"/>
        <v>438.82423427739684</v>
      </c>
      <c r="W83" s="19">
        <f t="shared" ca="1" si="17"/>
        <v>107.58031495035686</v>
      </c>
    </row>
    <row r="84" spans="12:23" ht="15" customHeight="1" x14ac:dyDescent="0.45">
      <c r="L84" s="9">
        <v>80</v>
      </c>
      <c r="M84" s="19">
        <f t="shared" ca="1" si="18"/>
        <v>337.8633037329717</v>
      </c>
      <c r="N84" s="10">
        <f t="shared" ca="1" si="11"/>
        <v>0.42752712266173543</v>
      </c>
      <c r="O84" s="10">
        <f t="shared" ca="1" si="12"/>
        <v>4.1466686038299603</v>
      </c>
      <c r="P84" s="19">
        <f t="shared" ca="1" si="19"/>
        <v>348.17458096350407</v>
      </c>
      <c r="Q84" s="10">
        <f t="shared" ca="1" si="13"/>
        <v>0.71541955216470809</v>
      </c>
      <c r="R84" s="10">
        <f t="shared" ca="1" si="14"/>
        <v>5.69329319011044</v>
      </c>
      <c r="S84" s="19">
        <f t="shared" ca="1" si="20"/>
        <v>440.40063860959339</v>
      </c>
      <c r="T84" s="10">
        <f t="shared" ca="1" si="15"/>
        <v>0.61479424467136268</v>
      </c>
      <c r="U84" s="10">
        <f t="shared" ca="1" si="16"/>
        <v>3.4797255076888831</v>
      </c>
      <c r="V84" s="19">
        <f t="shared" ca="1" si="21"/>
        <v>443.88036411728228</v>
      </c>
      <c r="W84" s="19">
        <f t="shared" ca="1" si="17"/>
        <v>106.01706038431058</v>
      </c>
    </row>
    <row r="85" spans="12:23" ht="15" customHeight="1" x14ac:dyDescent="0.45">
      <c r="L85" s="9">
        <v>81</v>
      </c>
      <c r="M85" s="19">
        <f t="shared" ca="1" si="18"/>
        <v>337.96346785726774</v>
      </c>
      <c r="N85" s="10">
        <f t="shared" ca="1" si="11"/>
        <v>0.45499381819943929</v>
      </c>
      <c r="O85" s="10">
        <f t="shared" ca="1" si="12"/>
        <v>4.1916756123960051</v>
      </c>
      <c r="P85" s="19">
        <f t="shared" ca="1" si="19"/>
        <v>352.36625657590008</v>
      </c>
      <c r="Q85" s="10">
        <f t="shared" ca="1" si="13"/>
        <v>0.98776995836645265</v>
      </c>
      <c r="R85" s="10">
        <f t="shared" ca="1" si="14"/>
        <v>6.7291121084262269</v>
      </c>
      <c r="S85" s="19">
        <f t="shared" ca="1" si="20"/>
        <v>447.12975071801964</v>
      </c>
      <c r="T85" s="10">
        <f t="shared" ca="1" si="15"/>
        <v>0.39100396099551038</v>
      </c>
      <c r="U85" s="10">
        <f t="shared" ca="1" si="16"/>
        <v>3.0884623377953186</v>
      </c>
      <c r="V85" s="19">
        <f t="shared" ca="1" si="21"/>
        <v>450.21821305581494</v>
      </c>
      <c r="W85" s="19">
        <f t="shared" ca="1" si="17"/>
        <v>112.2547451985472</v>
      </c>
    </row>
    <row r="86" spans="12:23" ht="15" customHeight="1" x14ac:dyDescent="0.45">
      <c r="L86" s="9">
        <v>82</v>
      </c>
      <c r="M86" s="19">
        <f t="shared" ca="1" si="18"/>
        <v>338.69404972983426</v>
      </c>
      <c r="N86" s="10">
        <f t="shared" ca="1" si="11"/>
        <v>0.78515698559435143</v>
      </c>
      <c r="O86" s="10">
        <f t="shared" ca="1" si="12"/>
        <v>4.8646330608856481</v>
      </c>
      <c r="P86" s="19">
        <f t="shared" ca="1" si="19"/>
        <v>357.23088963678572</v>
      </c>
      <c r="Q86" s="10">
        <f t="shared" ca="1" si="13"/>
        <v>0.32077940277949135</v>
      </c>
      <c r="R86" s="10">
        <f t="shared" ca="1" si="14"/>
        <v>4.9809883833860997</v>
      </c>
      <c r="S86" s="19">
        <f t="shared" ca="1" si="20"/>
        <v>452.11073910140573</v>
      </c>
      <c r="T86" s="10">
        <f t="shared" ca="1" si="15"/>
        <v>0.99451705986908334</v>
      </c>
      <c r="U86" s="10">
        <f t="shared" ca="1" si="16"/>
        <v>4.818622932029708</v>
      </c>
      <c r="V86" s="19">
        <f t="shared" ca="1" si="21"/>
        <v>456.92936203343544</v>
      </c>
      <c r="W86" s="19">
        <f t="shared" ca="1" si="17"/>
        <v>118.23531230360118</v>
      </c>
    </row>
    <row r="87" spans="12:23" ht="15" customHeight="1" x14ac:dyDescent="0.45">
      <c r="L87" s="9">
        <v>83</v>
      </c>
      <c r="M87" s="19">
        <f t="shared" ca="1" si="18"/>
        <v>339.92258179845436</v>
      </c>
      <c r="N87" s="10">
        <f t="shared" ca="1" si="11"/>
        <v>0.56799891712414585</v>
      </c>
      <c r="O87" s="10">
        <f t="shared" ca="1" si="12"/>
        <v>4.3900290383813987</v>
      </c>
      <c r="P87" s="19">
        <f t="shared" ca="1" si="19"/>
        <v>361.6209186751671</v>
      </c>
      <c r="Q87" s="10">
        <f t="shared" ca="1" si="13"/>
        <v>0.54210452877528204</v>
      </c>
      <c r="R87" s="10">
        <f t="shared" ca="1" si="14"/>
        <v>5.3424799164570258</v>
      </c>
      <c r="S87" s="19">
        <f t="shared" ca="1" si="20"/>
        <v>457.45321901786275</v>
      </c>
      <c r="T87" s="10">
        <f t="shared" ca="1" si="15"/>
        <v>3.1464643535421888E-2</v>
      </c>
      <c r="U87" s="10">
        <f t="shared" ca="1" si="16"/>
        <v>2.3072359526589712</v>
      </c>
      <c r="V87" s="19">
        <f t="shared" ca="1" si="21"/>
        <v>459.76045497052172</v>
      </c>
      <c r="W87" s="19">
        <f t="shared" ca="1" si="17"/>
        <v>119.83787317206736</v>
      </c>
    </row>
    <row r="88" spans="12:23" ht="15" customHeight="1" x14ac:dyDescent="0.45">
      <c r="L88" s="9">
        <v>84</v>
      </c>
      <c r="M88" s="19">
        <f t="shared" ca="1" si="18"/>
        <v>344.61414660305445</v>
      </c>
      <c r="N88" s="10">
        <f t="shared" ca="1" si="11"/>
        <v>0.18207163370973223</v>
      </c>
      <c r="O88" s="10">
        <f t="shared" ca="1" si="12"/>
        <v>3.7390635298329884</v>
      </c>
      <c r="P88" s="19">
        <f t="shared" ca="1" si="19"/>
        <v>365.35998220500011</v>
      </c>
      <c r="Q88" s="10">
        <f t="shared" ca="1" si="13"/>
        <v>0.87394032365889973</v>
      </c>
      <c r="R88" s="10">
        <f t="shared" ca="1" si="14"/>
        <v>6.1303115166643849</v>
      </c>
      <c r="S88" s="19">
        <f t="shared" ca="1" si="20"/>
        <v>463.58353053452714</v>
      </c>
      <c r="T88" s="10">
        <f t="shared" ca="1" si="15"/>
        <v>0.72343697881399072</v>
      </c>
      <c r="U88" s="10">
        <f t="shared" ca="1" si="16"/>
        <v>3.7118314834168413</v>
      </c>
      <c r="V88" s="19">
        <f t="shared" ca="1" si="21"/>
        <v>467.295362017944</v>
      </c>
      <c r="W88" s="19">
        <f t="shared" ca="1" si="17"/>
        <v>122.68121541488955</v>
      </c>
    </row>
    <row r="89" spans="12:23" ht="15" customHeight="1" x14ac:dyDescent="0.45">
      <c r="L89" s="9">
        <v>85</v>
      </c>
      <c r="M89" s="19">
        <f t="shared" ca="1" si="18"/>
        <v>375.98028213597922</v>
      </c>
      <c r="N89" s="10">
        <f t="shared" ca="1" si="11"/>
        <v>0.51377220549900737</v>
      </c>
      <c r="O89" s="10">
        <f t="shared" ca="1" si="12"/>
        <v>4.2919699162468019</v>
      </c>
      <c r="P89" s="19">
        <f t="shared" ca="1" si="19"/>
        <v>380.27225205222601</v>
      </c>
      <c r="Q89" s="10">
        <f t="shared" ca="1" si="13"/>
        <v>9.5519743431719428E-2</v>
      </c>
      <c r="R89" s="10">
        <f t="shared" ca="1" si="14"/>
        <v>4.5353122736264861</v>
      </c>
      <c r="S89" s="19">
        <f t="shared" ca="1" si="20"/>
        <v>468.1188428081536</v>
      </c>
      <c r="T89" s="10">
        <f t="shared" ca="1" si="15"/>
        <v>0.46941720327163883</v>
      </c>
      <c r="U89" s="10">
        <f t="shared" ca="1" si="16"/>
        <v>3.2157643708382664</v>
      </c>
      <c r="V89" s="19">
        <f t="shared" ca="1" si="21"/>
        <v>471.33460717899186</v>
      </c>
      <c r="W89" s="19">
        <f t="shared" ca="1" si="17"/>
        <v>95.354325043012636</v>
      </c>
    </row>
    <row r="90" spans="12:23" ht="15" customHeight="1" x14ac:dyDescent="0.45">
      <c r="L90" s="9">
        <v>86</v>
      </c>
      <c r="M90" s="19">
        <f t="shared" ca="1" si="18"/>
        <v>376.64827367262336</v>
      </c>
      <c r="N90" s="10">
        <f t="shared" ca="1" si="11"/>
        <v>0.33316152908950247</v>
      </c>
      <c r="O90" s="10">
        <f t="shared" ca="1" si="12"/>
        <v>3.9997422604194082</v>
      </c>
      <c r="P90" s="19">
        <f t="shared" ca="1" si="19"/>
        <v>384.2719943126454</v>
      </c>
      <c r="Q90" s="10">
        <f t="shared" ca="1" si="13"/>
        <v>0.25348401084147054</v>
      </c>
      <c r="R90" s="10">
        <f t="shared" ca="1" si="14"/>
        <v>4.8720390086024885</v>
      </c>
      <c r="S90" s="19">
        <f t="shared" ca="1" si="20"/>
        <v>472.99088181675609</v>
      </c>
      <c r="T90" s="10">
        <f t="shared" ca="1" si="15"/>
        <v>0.10002618617999959</v>
      </c>
      <c r="U90" s="10">
        <f t="shared" ca="1" si="16"/>
        <v>2.5477942666184075</v>
      </c>
      <c r="V90" s="19">
        <f t="shared" ca="1" si="21"/>
        <v>475.53867608337447</v>
      </c>
      <c r="W90" s="19">
        <f t="shared" ca="1" si="17"/>
        <v>98.890402410751108</v>
      </c>
    </row>
    <row r="91" spans="12:23" ht="15" customHeight="1" x14ac:dyDescent="0.45">
      <c r="L91" s="9">
        <v>87</v>
      </c>
      <c r="M91" s="19">
        <f t="shared" ca="1" si="18"/>
        <v>378.86750142824201</v>
      </c>
      <c r="N91" s="10">
        <f t="shared" ca="1" si="11"/>
        <v>0.74172200452821013</v>
      </c>
      <c r="O91" s="10">
        <f t="shared" ca="1" si="12"/>
        <v>4.7551433926629381</v>
      </c>
      <c r="P91" s="19">
        <f t="shared" ca="1" si="19"/>
        <v>389.02713770530835</v>
      </c>
      <c r="Q91" s="10">
        <f t="shared" ca="1" si="13"/>
        <v>9.9774380350527658E-2</v>
      </c>
      <c r="R91" s="10">
        <f t="shared" ca="1" si="14"/>
        <v>4.5471043237368747</v>
      </c>
      <c r="S91" s="19">
        <f t="shared" ca="1" si="20"/>
        <v>477.53798614049299</v>
      </c>
      <c r="T91" s="10">
        <f t="shared" ca="1" si="15"/>
        <v>7.4765786350556862E-3</v>
      </c>
      <c r="U91" s="10">
        <f t="shared" ca="1" si="16"/>
        <v>2.1497656032110415</v>
      </c>
      <c r="V91" s="19">
        <f t="shared" ca="1" si="21"/>
        <v>479.68775174370404</v>
      </c>
      <c r="W91" s="19">
        <f t="shared" ca="1" si="17"/>
        <v>100.82025031546203</v>
      </c>
    </row>
    <row r="92" spans="12:23" ht="15" customHeight="1" x14ac:dyDescent="0.45">
      <c r="L92" s="9">
        <v>88</v>
      </c>
      <c r="M92" s="19">
        <f t="shared" ca="1" si="18"/>
        <v>379.59816689186232</v>
      </c>
      <c r="N92" s="10">
        <f t="shared" ca="1" si="11"/>
        <v>0.97970990229624222</v>
      </c>
      <c r="O92" s="10">
        <f t="shared" ca="1" si="12"/>
        <v>5.6510865634250429</v>
      </c>
      <c r="P92" s="19">
        <f t="shared" ca="1" si="19"/>
        <v>394.6782242687334</v>
      </c>
      <c r="Q92" s="10">
        <f t="shared" ca="1" si="13"/>
        <v>0.51516273228347931</v>
      </c>
      <c r="R92" s="10">
        <f t="shared" ca="1" si="14"/>
        <v>5.2944139991489365</v>
      </c>
      <c r="S92" s="19">
        <f t="shared" ca="1" si="20"/>
        <v>482.83240013964195</v>
      </c>
      <c r="T92" s="10">
        <f t="shared" ca="1" si="15"/>
        <v>8.9213391412169107E-2</v>
      </c>
      <c r="U92" s="10">
        <f t="shared" ca="1" si="16"/>
        <v>2.5173395154407858</v>
      </c>
      <c r="V92" s="19">
        <f t="shared" ca="1" si="21"/>
        <v>485.34973965508271</v>
      </c>
      <c r="W92" s="19">
        <f t="shared" ca="1" si="17"/>
        <v>105.75157276322039</v>
      </c>
    </row>
    <row r="93" spans="12:23" ht="15" customHeight="1" x14ac:dyDescent="0.45">
      <c r="L93" s="9">
        <v>89</v>
      </c>
      <c r="M93" s="19">
        <f t="shared" ca="1" si="18"/>
        <v>380.83647681497956</v>
      </c>
      <c r="N93" s="10">
        <f t="shared" ca="1" si="11"/>
        <v>0.22698588693236776</v>
      </c>
      <c r="O93" s="10">
        <f t="shared" ca="1" si="12"/>
        <v>3.8252015879753887</v>
      </c>
      <c r="P93" s="19">
        <f t="shared" ca="1" si="19"/>
        <v>398.50342585670882</v>
      </c>
      <c r="Q93" s="10">
        <f t="shared" ca="1" si="13"/>
        <v>0.61338340484147524</v>
      </c>
      <c r="R93" s="10">
        <f t="shared" ca="1" si="14"/>
        <v>5.4769440026869827</v>
      </c>
      <c r="S93" s="19">
        <f t="shared" ca="1" si="20"/>
        <v>488.30934414232894</v>
      </c>
      <c r="T93" s="10">
        <f t="shared" ca="1" si="15"/>
        <v>0.89123385658470144</v>
      </c>
      <c r="U93" s="10">
        <f t="shared" ca="1" si="16"/>
        <v>4.1921653260154086</v>
      </c>
      <c r="V93" s="19">
        <f t="shared" ca="1" si="21"/>
        <v>492.50150946834435</v>
      </c>
      <c r="W93" s="19">
        <f t="shared" ca="1" si="17"/>
        <v>111.66503265336479</v>
      </c>
    </row>
    <row r="94" spans="12:23" ht="15" customHeight="1" x14ac:dyDescent="0.45">
      <c r="L94" s="9">
        <v>90</v>
      </c>
      <c r="M94" s="19">
        <f t="shared" ca="1" si="18"/>
        <v>383.36279537543624</v>
      </c>
      <c r="N94" s="10">
        <f t="shared" ca="1" si="11"/>
        <v>0.1460703146624911</v>
      </c>
      <c r="O94" s="10">
        <f t="shared" ca="1" si="12"/>
        <v>3.6619750327523488</v>
      </c>
      <c r="P94" s="19">
        <f t="shared" ca="1" si="19"/>
        <v>402.16540088946118</v>
      </c>
      <c r="Q94" s="10">
        <f t="shared" ca="1" si="13"/>
        <v>0.65640918519876479</v>
      </c>
      <c r="R94" s="10">
        <f t="shared" ca="1" si="14"/>
        <v>5.5641919039065799</v>
      </c>
      <c r="S94" s="19">
        <f t="shared" ca="1" si="20"/>
        <v>493.87353604623553</v>
      </c>
      <c r="T94" s="10">
        <f t="shared" ca="1" si="15"/>
        <v>0.34215554455424779</v>
      </c>
      <c r="U94" s="10">
        <f t="shared" ca="1" si="16"/>
        <v>3.013277389096678</v>
      </c>
      <c r="V94" s="19">
        <f t="shared" ca="1" si="21"/>
        <v>496.88681343533221</v>
      </c>
      <c r="W94" s="19">
        <f t="shared" ca="1" si="17"/>
        <v>113.52401805989598</v>
      </c>
    </row>
    <row r="95" spans="12:23" ht="15" customHeight="1" x14ac:dyDescent="0.45">
      <c r="L95" s="9">
        <v>91</v>
      </c>
      <c r="M95" s="19">
        <f t="shared" ca="1" si="18"/>
        <v>384.43006924694953</v>
      </c>
      <c r="N95" s="10">
        <f t="shared" ca="1" si="11"/>
        <v>5.7758694451245152E-2</v>
      </c>
      <c r="O95" s="10">
        <f t="shared" ca="1" si="12"/>
        <v>3.4162644392135069</v>
      </c>
      <c r="P95" s="19">
        <f t="shared" ca="1" si="19"/>
        <v>405.58166532867472</v>
      </c>
      <c r="Q95" s="10">
        <f t="shared" ca="1" si="13"/>
        <v>0.51320637949052572</v>
      </c>
      <c r="R95" s="10">
        <f t="shared" ca="1" si="14"/>
        <v>5.2909763831190499</v>
      </c>
      <c r="S95" s="19">
        <f t="shared" ca="1" si="20"/>
        <v>499.1645124293546</v>
      </c>
      <c r="T95" s="10">
        <f t="shared" ca="1" si="15"/>
        <v>0.17376417916153308</v>
      </c>
      <c r="U95" s="10">
        <f t="shared" ca="1" si="16"/>
        <v>2.722005912361249</v>
      </c>
      <c r="V95" s="19">
        <f t="shared" ca="1" si="21"/>
        <v>501.88651834171583</v>
      </c>
      <c r="W95" s="19">
        <f t="shared" ca="1" si="17"/>
        <v>117.4564490947663</v>
      </c>
    </row>
    <row r="96" spans="12:23" ht="15" customHeight="1" x14ac:dyDescent="0.45">
      <c r="L96" s="9">
        <v>92</v>
      </c>
      <c r="M96" s="19">
        <f t="shared" ca="1" si="18"/>
        <v>386.25079868068394</v>
      </c>
      <c r="N96" s="10">
        <f t="shared" ca="1" si="11"/>
        <v>9.3343876832537864E-3</v>
      </c>
      <c r="O96" s="10">
        <f t="shared" ca="1" si="12"/>
        <v>3.1673414564588267</v>
      </c>
      <c r="P96" s="19">
        <f t="shared" ca="1" si="19"/>
        <v>408.74900678513353</v>
      </c>
      <c r="Q96" s="10">
        <f t="shared" ca="1" si="13"/>
        <v>0.18368260322891949</v>
      </c>
      <c r="R96" s="10">
        <f t="shared" ca="1" si="14"/>
        <v>4.7423259457184281</v>
      </c>
      <c r="S96" s="19">
        <f t="shared" ca="1" si="20"/>
        <v>503.90683837507305</v>
      </c>
      <c r="T96" s="10">
        <f t="shared" ca="1" si="15"/>
        <v>0.62363821446003065</v>
      </c>
      <c r="U96" s="10">
        <f t="shared" ca="1" si="16"/>
        <v>3.4972788970538091</v>
      </c>
      <c r="V96" s="19">
        <f t="shared" ca="1" si="21"/>
        <v>507.40411727212688</v>
      </c>
      <c r="W96" s="19">
        <f t="shared" ca="1" si="17"/>
        <v>121.15331859144294</v>
      </c>
    </row>
    <row r="97" spans="12:23" ht="15" customHeight="1" x14ac:dyDescent="0.45">
      <c r="L97" s="9">
        <v>93</v>
      </c>
      <c r="M97" s="19">
        <f t="shared" ca="1" si="18"/>
        <v>387.48467294031684</v>
      </c>
      <c r="N97" s="10">
        <f t="shared" ca="1" si="11"/>
        <v>0.95451276729426138</v>
      </c>
      <c r="O97" s="10">
        <f t="shared" ca="1" si="12"/>
        <v>5.4775792919165323</v>
      </c>
      <c r="P97" s="19">
        <f t="shared" ca="1" si="19"/>
        <v>414.22658607705006</v>
      </c>
      <c r="Q97" s="10">
        <f t="shared" ca="1" si="13"/>
        <v>0.79012654889666312</v>
      </c>
      <c r="R97" s="10">
        <f t="shared" ca="1" si="14"/>
        <v>5.8778410510894545</v>
      </c>
      <c r="S97" s="19">
        <f t="shared" ca="1" si="20"/>
        <v>509.78467942616248</v>
      </c>
      <c r="T97" s="10">
        <f t="shared" ca="1" si="15"/>
        <v>0.32679055703027426</v>
      </c>
      <c r="U97" s="10">
        <f t="shared" ca="1" si="16"/>
        <v>2.990137198114899</v>
      </c>
      <c r="V97" s="19">
        <f t="shared" ca="1" si="21"/>
        <v>512.77481662427738</v>
      </c>
      <c r="W97" s="19">
        <f t="shared" ca="1" si="17"/>
        <v>125.29014368396054</v>
      </c>
    </row>
    <row r="98" spans="12:23" ht="15" customHeight="1" x14ac:dyDescent="0.45">
      <c r="L98" s="9">
        <v>94</v>
      </c>
      <c r="M98" s="19">
        <f t="shared" ca="1" si="18"/>
        <v>389.51023198117781</v>
      </c>
      <c r="N98" s="10">
        <f t="shared" ca="1" si="11"/>
        <v>0.84196791354762002</v>
      </c>
      <c r="O98" s="10">
        <f t="shared" ca="1" si="12"/>
        <v>5.026248225308791</v>
      </c>
      <c r="P98" s="19">
        <f t="shared" ca="1" si="19"/>
        <v>419.25283430235885</v>
      </c>
      <c r="Q98" s="10">
        <f t="shared" ca="1" si="13"/>
        <v>3.5934775049596634E-2</v>
      </c>
      <c r="R98" s="10">
        <f t="shared" ca="1" si="14"/>
        <v>4.3283356897274343</v>
      </c>
      <c r="S98" s="19">
        <f t="shared" ca="1" si="20"/>
        <v>514.11301511588988</v>
      </c>
      <c r="T98" s="10">
        <f t="shared" ca="1" si="15"/>
        <v>8.9802617194756795E-2</v>
      </c>
      <c r="U98" s="10">
        <f t="shared" ca="1" si="16"/>
        <v>2.5190451344384903</v>
      </c>
      <c r="V98" s="19">
        <f t="shared" ca="1" si="21"/>
        <v>516.63206025032832</v>
      </c>
      <c r="W98" s="19">
        <f t="shared" ca="1" si="17"/>
        <v>127.12182826915051</v>
      </c>
    </row>
    <row r="99" spans="12:23" ht="15" customHeight="1" x14ac:dyDescent="0.45">
      <c r="L99" s="9">
        <v>95</v>
      </c>
      <c r="M99" s="19">
        <f t="shared" ca="1" si="18"/>
        <v>391.680936644322</v>
      </c>
      <c r="N99" s="10">
        <f t="shared" ca="1" si="11"/>
        <v>0.41888745318511633</v>
      </c>
      <c r="O99" s="10">
        <f t="shared" ca="1" si="12"/>
        <v>4.1327358834676593</v>
      </c>
      <c r="P99" s="19">
        <f t="shared" ca="1" si="19"/>
        <v>423.38557018582651</v>
      </c>
      <c r="Q99" s="10">
        <f t="shared" ca="1" si="13"/>
        <v>0.58789668185569899</v>
      </c>
      <c r="R99" s="10">
        <f t="shared" ca="1" si="14"/>
        <v>5.4275433523095762</v>
      </c>
      <c r="S99" s="19">
        <f t="shared" ca="1" si="20"/>
        <v>519.54055846819949</v>
      </c>
      <c r="T99" s="10">
        <f t="shared" ca="1" si="15"/>
        <v>0.83091554184795113</v>
      </c>
      <c r="U99" s="10">
        <f t="shared" ca="1" si="16"/>
        <v>3.9927727421717116</v>
      </c>
      <c r="V99" s="19">
        <f t="shared" ca="1" si="21"/>
        <v>523.53333121037122</v>
      </c>
      <c r="W99" s="19">
        <f t="shared" ca="1" si="17"/>
        <v>131.85239456604921</v>
      </c>
    </row>
    <row r="100" spans="12:23" ht="15" customHeight="1" x14ac:dyDescent="0.45">
      <c r="L100" s="9">
        <v>96</v>
      </c>
      <c r="M100" s="19">
        <f t="shared" ca="1" si="18"/>
        <v>392.7505640144434</v>
      </c>
      <c r="N100" s="10">
        <f t="shared" ca="1" si="11"/>
        <v>0.4151865153890496</v>
      </c>
      <c r="O100" s="10">
        <f t="shared" ca="1" si="12"/>
        <v>4.1267992879390363</v>
      </c>
      <c r="P100" s="19">
        <f t="shared" ca="1" si="19"/>
        <v>427.51236947376555</v>
      </c>
      <c r="Q100" s="10">
        <f t="shared" ca="1" si="13"/>
        <v>0.13813342056796263</v>
      </c>
      <c r="R100" s="10">
        <f t="shared" ca="1" si="14"/>
        <v>4.643739280845816</v>
      </c>
      <c r="S100" s="19">
        <f t="shared" ca="1" si="20"/>
        <v>524.1842977490453</v>
      </c>
      <c r="T100" s="10">
        <f t="shared" ca="1" si="15"/>
        <v>0.98950629325963257</v>
      </c>
      <c r="U100" s="10">
        <f t="shared" ca="1" si="16"/>
        <v>4.7490772221534989</v>
      </c>
      <c r="V100" s="19">
        <f t="shared" ca="1" si="21"/>
        <v>528.93337497119876</v>
      </c>
      <c r="W100" s="19">
        <f t="shared" ca="1" si="17"/>
        <v>136.18281095675536</v>
      </c>
    </row>
    <row r="101" spans="12:23" ht="15" customHeight="1" x14ac:dyDescent="0.45">
      <c r="L101" s="9">
        <v>97</v>
      </c>
      <c r="M101" s="19">
        <f t="shared" ca="1" si="18"/>
        <v>407.97241894925332</v>
      </c>
      <c r="N101" s="10">
        <f t="shared" ca="1" si="11"/>
        <v>0.12313640217518185</v>
      </c>
      <c r="O101" s="10">
        <f t="shared" ca="1" si="12"/>
        <v>3.6077904297745609</v>
      </c>
      <c r="P101" s="19">
        <f t="shared" ca="1" si="19"/>
        <v>431.12015990354013</v>
      </c>
      <c r="Q101" s="10">
        <f t="shared" ca="1" si="13"/>
        <v>0.66653033976122189</v>
      </c>
      <c r="R101" s="10">
        <f t="shared" ca="1" si="14"/>
        <v>5.5854972741515594</v>
      </c>
      <c r="S101" s="19">
        <f t="shared" ca="1" si="20"/>
        <v>529.76979502319682</v>
      </c>
      <c r="T101" s="10">
        <f t="shared" ca="1" si="15"/>
        <v>7.4376205080728619E-2</v>
      </c>
      <c r="U101" s="10">
        <f t="shared" ca="1" si="16"/>
        <v>2.4723649174549118</v>
      </c>
      <c r="V101" s="19">
        <f t="shared" ca="1" si="21"/>
        <v>532.24215994065173</v>
      </c>
      <c r="W101" s="19">
        <f t="shared" ca="1" si="17"/>
        <v>124.26974099139841</v>
      </c>
    </row>
    <row r="102" spans="12:23" ht="15" customHeight="1" x14ac:dyDescent="0.45">
      <c r="L102" s="9">
        <v>98</v>
      </c>
      <c r="M102" s="19">
        <f t="shared" ca="1" si="18"/>
        <v>412.03812744734483</v>
      </c>
      <c r="N102" s="10">
        <f t="shared" ca="1" si="11"/>
        <v>0.52008049339038509</v>
      </c>
      <c r="O102" s="10">
        <f t="shared" ca="1" si="12"/>
        <v>4.3030860246737053</v>
      </c>
      <c r="P102" s="19">
        <f t="shared" ca="1" si="19"/>
        <v>435.42324592821382</v>
      </c>
      <c r="Q102" s="10">
        <f t="shared" ca="1" si="13"/>
        <v>0.2452974099023687</v>
      </c>
      <c r="R102" s="10">
        <f t="shared" ca="1" si="14"/>
        <v>4.8578416110839493</v>
      </c>
      <c r="S102" s="19">
        <f t="shared" ca="1" si="20"/>
        <v>534.62763663428075</v>
      </c>
      <c r="T102" s="10">
        <f t="shared" ca="1" si="15"/>
        <v>0.29674790754789637</v>
      </c>
      <c r="U102" s="10">
        <f t="shared" ca="1" si="16"/>
        <v>2.9435272771063321</v>
      </c>
      <c r="V102" s="19">
        <f t="shared" ca="1" si="21"/>
        <v>537.57116391138709</v>
      </c>
      <c r="W102" s="19">
        <f t="shared" ca="1" si="17"/>
        <v>125.53303646404225</v>
      </c>
    </row>
    <row r="103" spans="12:23" ht="15" customHeight="1" x14ac:dyDescent="0.45">
      <c r="L103" s="9">
        <v>99</v>
      </c>
      <c r="M103" s="19">
        <f t="shared" ca="1" si="18"/>
        <v>415.02607275207913</v>
      </c>
      <c r="N103" s="10">
        <f t="shared" ca="1" si="11"/>
        <v>0.26796209384144554</v>
      </c>
      <c r="O103" s="10">
        <f t="shared" ca="1" si="12"/>
        <v>3.896597056388396</v>
      </c>
      <c r="P103" s="19">
        <f t="shared" ca="1" si="19"/>
        <v>439.31984298460219</v>
      </c>
      <c r="Q103" s="10">
        <f t="shared" ca="1" si="13"/>
        <v>0.79930173974488739</v>
      </c>
      <c r="R103" s="10">
        <f t="shared" ca="1" si="14"/>
        <v>5.9026442866915598</v>
      </c>
      <c r="S103" s="19">
        <f t="shared" ca="1" si="20"/>
        <v>540.53028092097236</v>
      </c>
      <c r="T103" s="10">
        <f t="shared" ca="1" si="15"/>
        <v>0.66665624334174767</v>
      </c>
      <c r="U103" s="10">
        <f t="shared" ca="1" si="16"/>
        <v>3.5857643265885581</v>
      </c>
      <c r="V103" s="19">
        <f t="shared" ca="1" si="21"/>
        <v>544.11604524756092</v>
      </c>
      <c r="W103" s="19">
        <f t="shared" ca="1" si="17"/>
        <v>129.08997249548179</v>
      </c>
    </row>
    <row r="104" spans="12:23" ht="15" customHeight="1" x14ac:dyDescent="0.45">
      <c r="L104" s="9">
        <v>100</v>
      </c>
      <c r="M104" s="19">
        <f t="shared" ca="1" si="18"/>
        <v>418.09481016118229</v>
      </c>
      <c r="N104" s="10">
        <f t="shared" ca="1" si="11"/>
        <v>0.89926501288433625</v>
      </c>
      <c r="O104" s="10">
        <f t="shared" ca="1" si="12"/>
        <v>5.2225619492885738</v>
      </c>
      <c r="P104" s="19">
        <f t="shared" ca="1" si="19"/>
        <v>444.54240493389074</v>
      </c>
      <c r="Q104" s="10">
        <f t="shared" ca="1" si="13"/>
        <v>0.26230542646043509</v>
      </c>
      <c r="R104" s="10">
        <f t="shared" ca="1" si="14"/>
        <v>4.8870830171868391</v>
      </c>
      <c r="S104" s="19">
        <f t="shared" ca="1" si="20"/>
        <v>545.41736393815916</v>
      </c>
      <c r="T104" s="10">
        <f t="shared" ca="1" si="15"/>
        <v>0.68854417275826696</v>
      </c>
      <c r="U104" s="10">
        <f t="shared" ca="1" si="16"/>
        <v>3.6329831883073282</v>
      </c>
      <c r="V104" s="19">
        <f t="shared" ca="1" si="21"/>
        <v>549.05034712646648</v>
      </c>
      <c r="W104" s="19">
        <f t="shared" ca="1" si="17"/>
        <v>130.95553696528418</v>
      </c>
    </row>
    <row r="105" spans="12:23" ht="15" customHeight="1" x14ac:dyDescent="0.45">
      <c r="L105" s="9">
        <v>101</v>
      </c>
      <c r="M105" s="19">
        <f t="shared" ca="1" si="18"/>
        <v>421.15967458564592</v>
      </c>
      <c r="N105" s="10">
        <f t="shared" ca="1" si="11"/>
        <v>0.59720084642267501</v>
      </c>
      <c r="O105" s="10">
        <f t="shared" ca="1" si="12"/>
        <v>4.4453955739597451</v>
      </c>
      <c r="P105" s="19">
        <f t="shared" ca="1" si="19"/>
        <v>448.98780050785047</v>
      </c>
      <c r="Q105" s="10">
        <f t="shared" ca="1" si="13"/>
        <v>0.18210009839998909</v>
      </c>
      <c r="R105" s="10">
        <f t="shared" ca="1" si="14"/>
        <v>4.7391212993818854</v>
      </c>
      <c r="S105" s="19">
        <f t="shared" ca="1" si="20"/>
        <v>550.15648523754101</v>
      </c>
      <c r="T105" s="10">
        <f t="shared" ca="1" si="15"/>
        <v>0.24294059955278768</v>
      </c>
      <c r="U105" s="10">
        <f t="shared" ca="1" si="16"/>
        <v>2.8537106059188693</v>
      </c>
      <c r="V105" s="19">
        <f t="shared" ca="1" si="21"/>
        <v>553.01019584345988</v>
      </c>
      <c r="W105" s="19">
        <f t="shared" ca="1" si="17"/>
        <v>131.85052125781397</v>
      </c>
    </row>
    <row r="106" spans="12:23" ht="15" customHeight="1" x14ac:dyDescent="0.45">
      <c r="L106" s="9">
        <v>102</v>
      </c>
      <c r="M106" s="19">
        <f t="shared" ca="1" si="18"/>
        <v>424.84339927346429</v>
      </c>
      <c r="N106" s="10">
        <f t="shared" ca="1" si="11"/>
        <v>0.7340396486705717</v>
      </c>
      <c r="O106" s="10">
        <f t="shared" ca="1" si="12"/>
        <v>4.7367652205640596</v>
      </c>
      <c r="P106" s="19">
        <f t="shared" ca="1" si="19"/>
        <v>453.72456572841452</v>
      </c>
      <c r="Q106" s="10">
        <f t="shared" ca="1" si="13"/>
        <v>0.16887684260740754</v>
      </c>
      <c r="R106" s="10">
        <f t="shared" ca="1" si="14"/>
        <v>4.7117798310026933</v>
      </c>
      <c r="S106" s="19">
        <f t="shared" ca="1" si="20"/>
        <v>554.86826506854368</v>
      </c>
      <c r="T106" s="10">
        <f t="shared" ca="1" si="15"/>
        <v>0.51697678783173995</v>
      </c>
      <c r="U106" s="10">
        <f t="shared" ca="1" si="16"/>
        <v>3.2976077793265266</v>
      </c>
      <c r="V106" s="19">
        <f t="shared" ca="1" si="21"/>
        <v>558.16587284787022</v>
      </c>
      <c r="W106" s="19">
        <f t="shared" ca="1" si="17"/>
        <v>133.32247357440593</v>
      </c>
    </row>
    <row r="107" spans="12:23" ht="15" customHeight="1" x14ac:dyDescent="0.45">
      <c r="L107" s="9">
        <v>103</v>
      </c>
      <c r="M107" s="19">
        <f t="shared" ca="1" si="18"/>
        <v>424.91448412069428</v>
      </c>
      <c r="N107" s="10">
        <f t="shared" ca="1" si="11"/>
        <v>0.94255871670686897</v>
      </c>
      <c r="O107" s="10">
        <f t="shared" ca="1" si="12"/>
        <v>5.412932968257639</v>
      </c>
      <c r="P107" s="19">
        <f t="shared" ca="1" si="19"/>
        <v>459.13749869667214</v>
      </c>
      <c r="Q107" s="10">
        <f t="shared" ca="1" si="13"/>
        <v>0.65740352604561247</v>
      </c>
      <c r="R107" s="10">
        <f t="shared" ca="1" si="14"/>
        <v>5.5662710005979772</v>
      </c>
      <c r="S107" s="19">
        <f t="shared" ca="1" si="20"/>
        <v>560.4345360691417</v>
      </c>
      <c r="T107" s="10">
        <f t="shared" ca="1" si="15"/>
        <v>0.93268770066534412</v>
      </c>
      <c r="U107" s="10">
        <f t="shared" ca="1" si="16"/>
        <v>4.3644893423333206</v>
      </c>
      <c r="V107" s="19">
        <f t="shared" ca="1" si="21"/>
        <v>564.79902541147499</v>
      </c>
      <c r="W107" s="19">
        <f t="shared" ca="1" si="17"/>
        <v>139.8845412907807</v>
      </c>
    </row>
    <row r="108" spans="12:23" ht="15" customHeight="1" x14ac:dyDescent="0.45">
      <c r="L108" s="9">
        <v>104</v>
      </c>
      <c r="M108" s="19">
        <f t="shared" ca="1" si="18"/>
        <v>424.93638566968326</v>
      </c>
      <c r="N108" s="10">
        <f t="shared" ca="1" si="11"/>
        <v>0.4011690493709138</v>
      </c>
      <c r="O108" s="10">
        <f t="shared" ca="1" si="12"/>
        <v>4.1044827345089896</v>
      </c>
      <c r="P108" s="19">
        <f t="shared" ca="1" si="19"/>
        <v>463.2419814311811</v>
      </c>
      <c r="Q108" s="10">
        <f t="shared" ca="1" si="13"/>
        <v>0.21476743806067022</v>
      </c>
      <c r="R108" s="10">
        <f t="shared" ca="1" si="14"/>
        <v>4.8026844424691504</v>
      </c>
      <c r="S108" s="19">
        <f t="shared" ca="1" si="20"/>
        <v>565.23722051161087</v>
      </c>
      <c r="T108" s="10">
        <f t="shared" ca="1" si="15"/>
        <v>0.16487686006109059</v>
      </c>
      <c r="U108" s="10">
        <f t="shared" ca="1" si="16"/>
        <v>2.7032997797406679</v>
      </c>
      <c r="V108" s="19">
        <f t="shared" ca="1" si="21"/>
        <v>567.9405202913515</v>
      </c>
      <c r="W108" s="19">
        <f t="shared" ca="1" si="17"/>
        <v>143.00413462166824</v>
      </c>
    </row>
    <row r="109" spans="12:23" ht="15" customHeight="1" x14ac:dyDescent="0.45">
      <c r="L109" s="9">
        <v>105</v>
      </c>
      <c r="M109" s="19">
        <f t="shared" ca="1" si="18"/>
        <v>430.05089060930783</v>
      </c>
      <c r="N109" s="10">
        <f t="shared" ca="1" si="11"/>
        <v>6.648182715865647E-3</v>
      </c>
      <c r="O109" s="10">
        <f t="shared" ca="1" si="12"/>
        <v>3.1412251682512609</v>
      </c>
      <c r="P109" s="19">
        <f t="shared" ca="1" si="19"/>
        <v>466.38320659943236</v>
      </c>
      <c r="Q109" s="10">
        <f t="shared" ca="1" si="13"/>
        <v>0.16595257739484737</v>
      </c>
      <c r="R109" s="10">
        <f t="shared" ca="1" si="14"/>
        <v>4.7055903430352082</v>
      </c>
      <c r="S109" s="19">
        <f t="shared" ca="1" si="20"/>
        <v>569.94281085464604</v>
      </c>
      <c r="T109" s="10">
        <f t="shared" ca="1" si="15"/>
        <v>0.74633682305688598</v>
      </c>
      <c r="U109" s="10">
        <f t="shared" ca="1" si="16"/>
        <v>3.7663148450035218</v>
      </c>
      <c r="V109" s="19">
        <f t="shared" ca="1" si="21"/>
        <v>573.70912569964958</v>
      </c>
      <c r="W109" s="19">
        <f t="shared" ca="1" si="17"/>
        <v>143.65823509034175</v>
      </c>
    </row>
    <row r="110" spans="12:23" ht="15" customHeight="1" x14ac:dyDescent="0.45">
      <c r="L110" s="9">
        <v>106</v>
      </c>
      <c r="M110" s="19">
        <f t="shared" ca="1" si="18"/>
        <v>442.54439610933821</v>
      </c>
      <c r="N110" s="10">
        <f t="shared" ca="1" si="11"/>
        <v>0.67120734662170423</v>
      </c>
      <c r="O110" s="10">
        <f t="shared" ca="1" si="12"/>
        <v>4.5954517024075763</v>
      </c>
      <c r="P110" s="19">
        <f t="shared" ca="1" si="19"/>
        <v>470.97865830183991</v>
      </c>
      <c r="Q110" s="10">
        <f t="shared" ca="1" si="13"/>
        <v>0.92274974290320144</v>
      </c>
      <c r="R110" s="10">
        <f t="shared" ca="1" si="14"/>
        <v>6.3191905240224759</v>
      </c>
      <c r="S110" s="19">
        <f t="shared" ca="1" si="20"/>
        <v>576.26200137866851</v>
      </c>
      <c r="T110" s="10">
        <f t="shared" ca="1" si="15"/>
        <v>0.97210412379816824</v>
      </c>
      <c r="U110" s="10">
        <f t="shared" ca="1" si="16"/>
        <v>4.5908847873630334</v>
      </c>
      <c r="V110" s="19">
        <f t="shared" ca="1" si="21"/>
        <v>580.85288616603157</v>
      </c>
      <c r="W110" s="19">
        <f t="shared" ca="1" si="17"/>
        <v>138.30849005669336</v>
      </c>
    </row>
    <row r="111" spans="12:23" ht="15" customHeight="1" x14ac:dyDescent="0.45">
      <c r="L111" s="9">
        <v>107</v>
      </c>
      <c r="M111" s="19">
        <f t="shared" ca="1" si="18"/>
        <v>444.80379225465043</v>
      </c>
      <c r="N111" s="10">
        <f t="shared" ca="1" si="11"/>
        <v>0.38711724909851286</v>
      </c>
      <c r="O111" s="10">
        <f t="shared" ca="1" si="12"/>
        <v>4.0823721671270716</v>
      </c>
      <c r="P111" s="19">
        <f t="shared" ca="1" si="19"/>
        <v>475.06103046896698</v>
      </c>
      <c r="Q111" s="10">
        <f t="shared" ca="1" si="13"/>
        <v>0.17807926015074305</v>
      </c>
      <c r="R111" s="10">
        <f t="shared" ca="1" si="14"/>
        <v>4.7309157136443503</v>
      </c>
      <c r="S111" s="19">
        <f t="shared" ca="1" si="20"/>
        <v>580.99291709231284</v>
      </c>
      <c r="T111" s="10">
        <f t="shared" ca="1" si="15"/>
        <v>0.32899900038381102</v>
      </c>
      <c r="U111" s="10">
        <f t="shared" ca="1" si="16"/>
        <v>2.9934772272938286</v>
      </c>
      <c r="V111" s="19">
        <f t="shared" ca="1" si="21"/>
        <v>583.98639431960669</v>
      </c>
      <c r="W111" s="19">
        <f t="shared" ca="1" si="17"/>
        <v>139.18260206495626</v>
      </c>
    </row>
    <row r="112" spans="12:23" ht="15" customHeight="1" x14ac:dyDescent="0.45">
      <c r="L112" s="9">
        <v>108</v>
      </c>
      <c r="M112" s="19">
        <f t="shared" ca="1" si="18"/>
        <v>445.56534989948278</v>
      </c>
      <c r="N112" s="10">
        <f t="shared" ca="1" si="11"/>
        <v>0.41509265779563342</v>
      </c>
      <c r="O112" s="10">
        <f t="shared" ca="1" si="12"/>
        <v>4.1266489775735566</v>
      </c>
      <c r="P112" s="19">
        <f t="shared" ca="1" si="19"/>
        <v>479.18767944654053</v>
      </c>
      <c r="Q112" s="10">
        <f t="shared" ca="1" si="13"/>
        <v>0.38220199155485957</v>
      </c>
      <c r="R112" s="10">
        <f t="shared" ca="1" si="14"/>
        <v>5.0746979326165871</v>
      </c>
      <c r="S112" s="19">
        <f t="shared" ca="1" si="20"/>
        <v>586.06761502492941</v>
      </c>
      <c r="T112" s="10">
        <f t="shared" ca="1" si="15"/>
        <v>0.86941657979033549</v>
      </c>
      <c r="U112" s="10">
        <f t="shared" ca="1" si="16"/>
        <v>4.1148443519595057</v>
      </c>
      <c r="V112" s="19">
        <f t="shared" ca="1" si="21"/>
        <v>590.18245937688891</v>
      </c>
      <c r="W112" s="19">
        <f t="shared" ca="1" si="17"/>
        <v>144.61710947740613</v>
      </c>
    </row>
    <row r="113" spans="12:23" ht="15" customHeight="1" x14ac:dyDescent="0.45">
      <c r="L113" s="9">
        <v>109</v>
      </c>
      <c r="M113" s="19">
        <f t="shared" ca="1" si="18"/>
        <v>458.23249395349978</v>
      </c>
      <c r="N113" s="10">
        <f t="shared" ca="1" si="11"/>
        <v>0.86601837868442566</v>
      </c>
      <c r="O113" s="10">
        <f t="shared" ca="1" si="12"/>
        <v>5.1034010216972998</v>
      </c>
      <c r="P113" s="19">
        <f t="shared" ca="1" si="19"/>
        <v>484.29108046823785</v>
      </c>
      <c r="Q113" s="10">
        <f t="shared" ca="1" si="13"/>
        <v>0.419663807795573</v>
      </c>
      <c r="R113" s="10">
        <f t="shared" ca="1" si="14"/>
        <v>5.1339836138911963</v>
      </c>
      <c r="S113" s="19">
        <f t="shared" ca="1" si="20"/>
        <v>591.20159863882066</v>
      </c>
      <c r="T113" s="10">
        <f t="shared" ca="1" si="15"/>
        <v>0.7675985097339536</v>
      </c>
      <c r="U113" s="10">
        <f t="shared" ca="1" si="16"/>
        <v>3.819149060382184</v>
      </c>
      <c r="V113" s="19">
        <f t="shared" ca="1" si="21"/>
        <v>595.02074769920284</v>
      </c>
      <c r="W113" s="19">
        <f t="shared" ca="1" si="17"/>
        <v>136.78825374570306</v>
      </c>
    </row>
    <row r="114" spans="12:23" ht="15" customHeight="1" x14ac:dyDescent="0.45">
      <c r="L114" s="9">
        <v>110</v>
      </c>
      <c r="M114" s="19">
        <f t="shared" ca="1" si="18"/>
        <v>464.14313246465412</v>
      </c>
      <c r="N114" s="10">
        <f t="shared" ca="1" si="11"/>
        <v>0.39189492844776852</v>
      </c>
      <c r="O114" s="10">
        <f t="shared" ca="1" si="12"/>
        <v>4.0898611492057997</v>
      </c>
      <c r="P114" s="19">
        <f t="shared" ca="1" si="19"/>
        <v>488.38094161744363</v>
      </c>
      <c r="Q114" s="10">
        <f t="shared" ca="1" si="13"/>
        <v>0.15204560373496079</v>
      </c>
      <c r="R114" s="10">
        <f t="shared" ca="1" si="14"/>
        <v>4.6753790130029822</v>
      </c>
      <c r="S114" s="19">
        <f t="shared" ca="1" si="20"/>
        <v>595.87697765182361</v>
      </c>
      <c r="T114" s="10">
        <f t="shared" ca="1" si="15"/>
        <v>0.95779532337653017</v>
      </c>
      <c r="U114" s="10">
        <f t="shared" ca="1" si="16"/>
        <v>4.4967822938917799</v>
      </c>
      <c r="V114" s="19">
        <f t="shared" ca="1" si="21"/>
        <v>600.37375994571539</v>
      </c>
      <c r="W114" s="19">
        <f t="shared" ca="1" si="17"/>
        <v>136.23062748106128</v>
      </c>
    </row>
    <row r="115" spans="12:23" ht="15" customHeight="1" x14ac:dyDescent="0.45">
      <c r="L115" s="9">
        <v>111</v>
      </c>
      <c r="M115" s="19">
        <f t="shared" ca="1" si="18"/>
        <v>464.42133350059896</v>
      </c>
      <c r="N115" s="10">
        <f t="shared" ca="1" si="11"/>
        <v>0.7204807183168247</v>
      </c>
      <c r="O115" s="10">
        <f t="shared" ca="1" si="12"/>
        <v>4.7049649849911193</v>
      </c>
      <c r="P115" s="19">
        <f t="shared" ca="1" si="19"/>
        <v>493.08590660243476</v>
      </c>
      <c r="Q115" s="10">
        <f t="shared" ca="1" si="13"/>
        <v>0.96964914916391787</v>
      </c>
      <c r="R115" s="10">
        <f t="shared" ca="1" si="14"/>
        <v>6.5732622526463205</v>
      </c>
      <c r="S115" s="19">
        <f t="shared" ca="1" si="20"/>
        <v>602.45023990446998</v>
      </c>
      <c r="T115" s="10">
        <f t="shared" ca="1" si="15"/>
        <v>0.52707216794664624</v>
      </c>
      <c r="U115" s="10">
        <f t="shared" ca="1" si="16"/>
        <v>3.3154920622567188</v>
      </c>
      <c r="V115" s="19">
        <f t="shared" ca="1" si="21"/>
        <v>605.76573196672666</v>
      </c>
      <c r="W115" s="19">
        <f t="shared" ca="1" si="17"/>
        <v>141.3443984661277</v>
      </c>
    </row>
    <row r="116" spans="12:23" ht="15" customHeight="1" x14ac:dyDescent="0.45">
      <c r="L116" s="9">
        <v>112</v>
      </c>
      <c r="M116" s="19">
        <f t="shared" ca="1" si="18"/>
        <v>465.06477932492356</v>
      </c>
      <c r="N116" s="10">
        <f t="shared" ca="1" si="11"/>
        <v>0.87003890560332831</v>
      </c>
      <c r="O116" s="10">
        <f t="shared" ca="1" si="12"/>
        <v>5.1169560790198316</v>
      </c>
      <c r="P116" s="19">
        <f t="shared" ca="1" si="19"/>
        <v>498.20286268145458</v>
      </c>
      <c r="Q116" s="10">
        <f t="shared" ca="1" si="13"/>
        <v>0.27562828123834526</v>
      </c>
      <c r="R116" s="10">
        <f t="shared" ca="1" si="14"/>
        <v>4.9093320865971002</v>
      </c>
      <c r="S116" s="19">
        <f t="shared" ca="1" si="20"/>
        <v>607.35957199106713</v>
      </c>
      <c r="T116" s="10">
        <f t="shared" ca="1" si="15"/>
        <v>0.79395579069593347</v>
      </c>
      <c r="U116" s="10">
        <f t="shared" ca="1" si="16"/>
        <v>3.8881253416754209</v>
      </c>
      <c r="V116" s="19">
        <f t="shared" ca="1" si="21"/>
        <v>611.24769733274252</v>
      </c>
      <c r="W116" s="19">
        <f t="shared" ca="1" si="17"/>
        <v>146.18291800781896</v>
      </c>
    </row>
    <row r="117" spans="12:23" ht="15" customHeight="1" x14ac:dyDescent="0.45">
      <c r="L117" s="9">
        <v>113</v>
      </c>
      <c r="M117" s="19">
        <f t="shared" ca="1" si="18"/>
        <v>471.34830900991045</v>
      </c>
      <c r="N117" s="10">
        <f t="shared" ca="1" si="11"/>
        <v>0.42515451817560801</v>
      </c>
      <c r="O117" s="10">
        <f t="shared" ca="1" si="12"/>
        <v>4.1428320240359646</v>
      </c>
      <c r="P117" s="19">
        <f t="shared" ca="1" si="19"/>
        <v>502.34569470549053</v>
      </c>
      <c r="Q117" s="10">
        <f t="shared" ca="1" si="13"/>
        <v>0.46706267432806936</v>
      </c>
      <c r="R117" s="10">
        <f t="shared" ca="1" si="14"/>
        <v>5.2118098663644341</v>
      </c>
      <c r="S117" s="19">
        <f t="shared" ca="1" si="20"/>
        <v>612.57138185743156</v>
      </c>
      <c r="T117" s="10">
        <f t="shared" ca="1" si="15"/>
        <v>0.68704035724680235</v>
      </c>
      <c r="U117" s="10">
        <f t="shared" ca="1" si="16"/>
        <v>3.62968694944579</v>
      </c>
      <c r="V117" s="19">
        <f t="shared" ca="1" si="21"/>
        <v>616.2010688068774</v>
      </c>
      <c r="W117" s="19">
        <f t="shared" ca="1" si="17"/>
        <v>144.85275979696695</v>
      </c>
    </row>
    <row r="118" spans="12:23" ht="15" customHeight="1" x14ac:dyDescent="0.45">
      <c r="L118" s="9">
        <v>114</v>
      </c>
      <c r="M118" s="19">
        <f t="shared" ca="1" si="18"/>
        <v>477.84000209334363</v>
      </c>
      <c r="N118" s="10">
        <f t="shared" ca="1" si="11"/>
        <v>0.80649683794561766</v>
      </c>
      <c r="O118" s="10">
        <f t="shared" ca="1" si="12"/>
        <v>4.9224940963844821</v>
      </c>
      <c r="P118" s="19">
        <f t="shared" ca="1" si="19"/>
        <v>507.268188801875</v>
      </c>
      <c r="Q118" s="10">
        <f t="shared" ca="1" si="13"/>
        <v>0.64713498033720696</v>
      </c>
      <c r="R118" s="10">
        <f t="shared" ca="1" si="14"/>
        <v>5.5449432595335821</v>
      </c>
      <c r="S118" s="19">
        <f t="shared" ca="1" si="20"/>
        <v>618.11632511696519</v>
      </c>
      <c r="T118" s="10">
        <f t="shared" ca="1" si="15"/>
        <v>0.33522295551135251</v>
      </c>
      <c r="U118" s="10">
        <f t="shared" ca="1" si="16"/>
        <v>3.0028364446215514</v>
      </c>
      <c r="V118" s="19">
        <f t="shared" ca="1" si="21"/>
        <v>621.11916156158679</v>
      </c>
      <c r="W118" s="19">
        <f t="shared" ca="1" si="17"/>
        <v>143.27915946824317</v>
      </c>
    </row>
    <row r="119" spans="12:23" ht="15" customHeight="1" x14ac:dyDescent="0.45">
      <c r="L119" s="9">
        <v>115</v>
      </c>
      <c r="M119" s="19">
        <f t="shared" ca="1" si="18"/>
        <v>485.87773706784986</v>
      </c>
      <c r="N119" s="10">
        <f t="shared" ca="1" si="11"/>
        <v>0.17620348550884157</v>
      </c>
      <c r="O119" s="10">
        <f t="shared" ca="1" si="12"/>
        <v>3.7270560202120087</v>
      </c>
      <c r="P119" s="19">
        <f t="shared" ca="1" si="19"/>
        <v>510.99524482208699</v>
      </c>
      <c r="Q119" s="10">
        <f t="shared" ca="1" si="13"/>
        <v>0.56079853419526804</v>
      </c>
      <c r="R119" s="10">
        <f t="shared" ca="1" si="14"/>
        <v>5.3766673801009262</v>
      </c>
      <c r="S119" s="19">
        <f t="shared" ca="1" si="20"/>
        <v>623.4929924970661</v>
      </c>
      <c r="T119" s="10">
        <f t="shared" ca="1" si="15"/>
        <v>0.89695077126885148</v>
      </c>
      <c r="U119" s="10">
        <f t="shared" ca="1" si="16"/>
        <v>4.2136823972548427</v>
      </c>
      <c r="V119" s="19">
        <f t="shared" ca="1" si="21"/>
        <v>627.70667489432094</v>
      </c>
      <c r="W119" s="19">
        <f t="shared" ca="1" si="17"/>
        <v>141.82893782647108</v>
      </c>
    </row>
    <row r="120" spans="12:23" x14ac:dyDescent="0.45">
      <c r="L120" s="9">
        <v>116</v>
      </c>
      <c r="M120" s="19">
        <f t="shared" ca="1" si="18"/>
        <v>487.17280190501378</v>
      </c>
      <c r="N120" s="10">
        <f t="shared" ca="1" si="11"/>
        <v>0.96263898368088852</v>
      </c>
      <c r="O120" s="10">
        <f t="shared" ca="1" si="12"/>
        <v>5.5265381769195443</v>
      </c>
      <c r="P120" s="19">
        <f t="shared" ca="1" si="19"/>
        <v>516.52178299900652</v>
      </c>
      <c r="Q120" s="10">
        <f t="shared" ca="1" si="13"/>
        <v>0.84368133029504289</v>
      </c>
      <c r="R120" s="10">
        <f t="shared" ca="1" si="14"/>
        <v>6.0315414215209087</v>
      </c>
      <c r="S120" s="19">
        <f t="shared" ca="1" si="20"/>
        <v>629.52453391858705</v>
      </c>
      <c r="T120" s="10">
        <f t="shared" ca="1" si="15"/>
        <v>8.8437368570097874E-3</v>
      </c>
      <c r="U120" s="10">
        <f t="shared" ca="1" si="16"/>
        <v>2.1628840402587968</v>
      </c>
      <c r="V120" s="19">
        <f t="shared" ca="1" si="21"/>
        <v>631.6874179588458</v>
      </c>
      <c r="W120" s="19">
        <f t="shared" ca="1" si="17"/>
        <v>144.51461605383201</v>
      </c>
    </row>
    <row r="121" spans="12:23" x14ac:dyDescent="0.45">
      <c r="L121" s="9">
        <v>117</v>
      </c>
      <c r="M121" s="19">
        <f t="shared" ca="1" si="18"/>
        <v>489.45919367578438</v>
      </c>
      <c r="N121" s="10">
        <f t="shared" ca="1" si="11"/>
        <v>0.97905006850792708</v>
      </c>
      <c r="O121" s="10">
        <f t="shared" ca="1" si="12"/>
        <v>5.6454586216639342</v>
      </c>
      <c r="P121" s="19">
        <f t="shared" ca="1" si="19"/>
        <v>522.16724162067044</v>
      </c>
      <c r="Q121" s="10">
        <f t="shared" ca="1" si="13"/>
        <v>0.22308646867726312</v>
      </c>
      <c r="R121" s="10">
        <f t="shared" ca="1" si="14"/>
        <v>4.8180827623362994</v>
      </c>
      <c r="S121" s="19">
        <f t="shared" ca="1" si="20"/>
        <v>634.34261668092336</v>
      </c>
      <c r="T121" s="10">
        <f t="shared" ca="1" si="15"/>
        <v>0.82638638824863431</v>
      </c>
      <c r="U121" s="10">
        <f t="shared" ca="1" si="16"/>
        <v>3.9793719235156253</v>
      </c>
      <c r="V121" s="19">
        <f t="shared" ca="1" si="21"/>
        <v>638.32198860443896</v>
      </c>
      <c r="W121" s="19">
        <f t="shared" ca="1" si="17"/>
        <v>148.86279492865458</v>
      </c>
    </row>
    <row r="122" spans="12:23" x14ac:dyDescent="0.45">
      <c r="L122" s="9">
        <v>118</v>
      </c>
      <c r="M122" s="19">
        <f t="shared" ca="1" si="18"/>
        <v>490.86566778469182</v>
      </c>
      <c r="N122" s="10">
        <f t="shared" ca="1" si="11"/>
        <v>0.70474082816339123</v>
      </c>
      <c r="O122" s="10">
        <f t="shared" ca="1" si="12"/>
        <v>4.6690022422935291</v>
      </c>
      <c r="P122" s="19">
        <f t="shared" ca="1" si="19"/>
        <v>526.83624386296401</v>
      </c>
      <c r="Q122" s="10">
        <f t="shared" ca="1" si="13"/>
        <v>0.87605699076829502</v>
      </c>
      <c r="R122" s="10">
        <f t="shared" ca="1" si="14"/>
        <v>6.1376438929362012</v>
      </c>
      <c r="S122" s="19">
        <f t="shared" ca="1" si="20"/>
        <v>640.4802605738596</v>
      </c>
      <c r="T122" s="10">
        <f t="shared" ca="1" si="15"/>
        <v>3.2312673684986915E-2</v>
      </c>
      <c r="U122" s="10">
        <f t="shared" ca="1" si="16"/>
        <v>2.3113487129489387</v>
      </c>
      <c r="V122" s="19">
        <f t="shared" ca="1" si="21"/>
        <v>642.79160928680858</v>
      </c>
      <c r="W122" s="19">
        <f t="shared" ca="1" si="17"/>
        <v>151.92594150211676</v>
      </c>
    </row>
    <row r="123" spans="12:23" x14ac:dyDescent="0.45">
      <c r="L123" s="9">
        <v>119</v>
      </c>
      <c r="M123" s="19">
        <f t="shared" ca="1" si="18"/>
        <v>507.53676209787096</v>
      </c>
      <c r="N123" s="10">
        <f t="shared" ca="1" si="11"/>
        <v>0.20104718393191323</v>
      </c>
      <c r="O123" s="10">
        <f t="shared" ca="1" si="12"/>
        <v>3.7766218847004893</v>
      </c>
      <c r="P123" s="19">
        <f t="shared" ca="1" si="19"/>
        <v>530.6128657476645</v>
      </c>
      <c r="Q123" s="10">
        <f t="shared" ca="1" si="13"/>
        <v>0.82473318557107456</v>
      </c>
      <c r="R123" s="10">
        <f t="shared" ca="1" si="14"/>
        <v>5.9745240682621787</v>
      </c>
      <c r="S123" s="19">
        <f t="shared" ca="1" si="20"/>
        <v>646.45478464212181</v>
      </c>
      <c r="T123" s="10">
        <f t="shared" ca="1" si="15"/>
        <v>0.2460145265637167</v>
      </c>
      <c r="U123" s="10">
        <f t="shared" ca="1" si="16"/>
        <v>2.8590946279026253</v>
      </c>
      <c r="V123" s="19">
        <f t="shared" ca="1" si="21"/>
        <v>649.31387927002447</v>
      </c>
      <c r="W123" s="19">
        <f t="shared" ca="1" si="17"/>
        <v>141.77711717215351</v>
      </c>
    </row>
    <row r="124" spans="12:23" x14ac:dyDescent="0.45">
      <c r="L124" s="9">
        <v>120</v>
      </c>
      <c r="M124" s="19">
        <f t="shared" ca="1" si="18"/>
        <v>510.35103850046403</v>
      </c>
      <c r="N124" s="10">
        <f t="shared" ca="1" si="11"/>
        <v>0.24118977238233852</v>
      </c>
      <c r="O124" s="10">
        <f t="shared" ca="1" si="12"/>
        <v>3.8506287775210852</v>
      </c>
      <c r="P124" s="19">
        <f t="shared" ca="1" si="19"/>
        <v>534.46349452518564</v>
      </c>
      <c r="Q124" s="10">
        <f t="shared" ca="1" si="13"/>
        <v>0.45993439825648963</v>
      </c>
      <c r="R124" s="10">
        <f t="shared" ca="1" si="14"/>
        <v>5.1998906670812843</v>
      </c>
      <c r="S124" s="19">
        <f t="shared" ca="1" si="20"/>
        <v>651.65467530920307</v>
      </c>
      <c r="T124" s="10">
        <f t="shared" ca="1" si="15"/>
        <v>0.31673256079922063</v>
      </c>
      <c r="U124" s="10">
        <f t="shared" ca="1" si="16"/>
        <v>2.9747808381362768</v>
      </c>
      <c r="V124" s="19">
        <f t="shared" ca="1" si="21"/>
        <v>654.6294561473394</v>
      </c>
      <c r="W124" s="19">
        <f t="shared" ca="1" si="17"/>
        <v>144.27841764687537</v>
      </c>
    </row>
    <row r="125" spans="12:23" x14ac:dyDescent="0.45">
      <c r="L125" s="9">
        <v>121</v>
      </c>
      <c r="M125" s="19">
        <f t="shared" ca="1" si="18"/>
        <v>512.79099084434256</v>
      </c>
      <c r="N125" s="10">
        <f t="shared" ca="1" si="11"/>
        <v>0.81907304662682057</v>
      </c>
      <c r="O125" s="10">
        <f t="shared" ca="1" si="12"/>
        <v>4.9580970677461949</v>
      </c>
      <c r="P125" s="19">
        <f t="shared" ca="1" si="19"/>
        <v>539.4215915929318</v>
      </c>
      <c r="Q125" s="10">
        <f t="shared" ca="1" si="13"/>
        <v>0.94624450290008999</v>
      </c>
      <c r="R125" s="10">
        <f t="shared" ca="1" si="14"/>
        <v>6.4320801266028278</v>
      </c>
      <c r="S125" s="19">
        <f t="shared" ca="1" si="20"/>
        <v>658.08675543580591</v>
      </c>
      <c r="T125" s="10">
        <f t="shared" ca="1" si="15"/>
        <v>0.43450731857531966</v>
      </c>
      <c r="U125" s="10">
        <f t="shared" ca="1" si="16"/>
        <v>3.1580021475180589</v>
      </c>
      <c r="V125" s="19">
        <f t="shared" ca="1" si="21"/>
        <v>661.24475758332392</v>
      </c>
      <c r="W125" s="19">
        <f t="shared" ca="1" si="17"/>
        <v>148.45376673898136</v>
      </c>
    </row>
    <row r="126" spans="12:23" x14ac:dyDescent="0.45">
      <c r="L126" s="9">
        <v>122</v>
      </c>
      <c r="M126" s="19">
        <f t="shared" ca="1" si="18"/>
        <v>515.00343024851043</v>
      </c>
      <c r="N126" s="10">
        <f t="shared" ca="1" si="11"/>
        <v>0.16718002895824891</v>
      </c>
      <c r="O126" s="10">
        <f t="shared" ca="1" si="12"/>
        <v>3.7081949497664795</v>
      </c>
      <c r="P126" s="19">
        <f t="shared" ca="1" si="19"/>
        <v>543.1297865426983</v>
      </c>
      <c r="Q126" s="10">
        <f t="shared" ca="1" si="13"/>
        <v>0.64832811758306075</v>
      </c>
      <c r="R126" s="10">
        <f t="shared" ca="1" si="14"/>
        <v>5.5474053233948446</v>
      </c>
      <c r="S126" s="19">
        <f t="shared" ca="1" si="20"/>
        <v>663.63416075920077</v>
      </c>
      <c r="T126" s="10">
        <f t="shared" ca="1" si="15"/>
        <v>0.24484633225997432</v>
      </c>
      <c r="U126" s="10">
        <f t="shared" ca="1" si="16"/>
        <v>2.8570525052643641</v>
      </c>
      <c r="V126" s="19">
        <f t="shared" ca="1" si="21"/>
        <v>666.49121326446516</v>
      </c>
      <c r="W126" s="19">
        <f t="shared" ca="1" si="17"/>
        <v>151.48778301595473</v>
      </c>
    </row>
    <row r="127" spans="12:23" x14ac:dyDescent="0.45">
      <c r="L127" s="9">
        <v>123</v>
      </c>
      <c r="M127" s="19">
        <f t="shared" ca="1" si="18"/>
        <v>517.86171810628502</v>
      </c>
      <c r="N127" s="10">
        <f t="shared" ca="1" si="11"/>
        <v>0.28084315413524819</v>
      </c>
      <c r="O127" s="10">
        <f t="shared" ca="1" si="12"/>
        <v>3.9178940365890522</v>
      </c>
      <c r="P127" s="19">
        <f t="shared" ca="1" si="19"/>
        <v>547.04768057928732</v>
      </c>
      <c r="Q127" s="10">
        <f t="shared" ca="1" si="13"/>
        <v>0.24803568501888407</v>
      </c>
      <c r="R127" s="10">
        <f t="shared" ca="1" si="14"/>
        <v>4.8626164008739066</v>
      </c>
      <c r="S127" s="19">
        <f t="shared" ca="1" si="20"/>
        <v>668.49677716007466</v>
      </c>
      <c r="T127" s="10">
        <f t="shared" ca="1" si="15"/>
        <v>0.25487663427277685</v>
      </c>
      <c r="U127" s="10">
        <f t="shared" ca="1" si="16"/>
        <v>2.8744311881550946</v>
      </c>
      <c r="V127" s="19">
        <f t="shared" ca="1" si="21"/>
        <v>671.37120834822974</v>
      </c>
      <c r="W127" s="19">
        <f t="shared" ca="1" si="17"/>
        <v>153.50949024194472</v>
      </c>
    </row>
    <row r="128" spans="12:23" x14ac:dyDescent="0.45">
      <c r="L128" s="9">
        <v>124</v>
      </c>
      <c r="M128" s="19">
        <f t="shared" ca="1" si="18"/>
        <v>519.21679852862826</v>
      </c>
      <c r="N128" s="10">
        <f t="shared" ca="1" si="11"/>
        <v>0.54825363921477244</v>
      </c>
      <c r="O128" s="10">
        <f t="shared" ca="1" si="12"/>
        <v>4.3536470109021685</v>
      </c>
      <c r="P128" s="19">
        <f t="shared" ca="1" si="19"/>
        <v>551.40132759018945</v>
      </c>
      <c r="Q128" s="10">
        <f t="shared" ca="1" si="13"/>
        <v>0.91226746879573917</v>
      </c>
      <c r="R128" s="10">
        <f t="shared" ca="1" si="14"/>
        <v>6.2744690308294446</v>
      </c>
      <c r="S128" s="19">
        <f t="shared" ca="1" si="20"/>
        <v>674.77124619090409</v>
      </c>
      <c r="T128" s="10">
        <f t="shared" ca="1" si="15"/>
        <v>0.6017328014637785</v>
      </c>
      <c r="U128" s="10">
        <f t="shared" ca="1" si="16"/>
        <v>3.4541658590853515</v>
      </c>
      <c r="V128" s="19">
        <f t="shared" ca="1" si="21"/>
        <v>678.22541204998947</v>
      </c>
      <c r="W128" s="19">
        <f t="shared" ca="1" si="17"/>
        <v>159.00861352136121</v>
      </c>
    </row>
    <row r="129" spans="12:23" x14ac:dyDescent="0.45">
      <c r="L129" s="9">
        <v>125</v>
      </c>
      <c r="M129" s="19">
        <f t="shared" ca="1" si="18"/>
        <v>523.02593122725739</v>
      </c>
      <c r="N129" s="10">
        <f t="shared" ca="1" si="11"/>
        <v>0.49122518096807311</v>
      </c>
      <c r="O129" s="10">
        <f t="shared" ca="1" si="12"/>
        <v>4.2528168630073262</v>
      </c>
      <c r="P129" s="19">
        <f t="shared" ca="1" si="19"/>
        <v>555.65414445319675</v>
      </c>
      <c r="Q129" s="10">
        <f t="shared" ca="1" si="13"/>
        <v>0.73000293030777741</v>
      </c>
      <c r="R129" s="10">
        <f t="shared" ca="1" si="14"/>
        <v>5.7272147006846224</v>
      </c>
      <c r="S129" s="19">
        <f t="shared" ca="1" si="20"/>
        <v>680.49846089158871</v>
      </c>
      <c r="T129" s="10">
        <f t="shared" ca="1" si="15"/>
        <v>0.40941725958930175</v>
      </c>
      <c r="U129" s="10">
        <f t="shared" ca="1" si="16"/>
        <v>3.11758228799658</v>
      </c>
      <c r="V129" s="19">
        <f t="shared" ca="1" si="21"/>
        <v>683.61604317958529</v>
      </c>
      <c r="W129" s="19">
        <f t="shared" ca="1" si="17"/>
        <v>160.5901119523279</v>
      </c>
    </row>
    <row r="130" spans="12:23" x14ac:dyDescent="0.45">
      <c r="L130" s="9">
        <v>126</v>
      </c>
      <c r="M130" s="19">
        <f t="shared" ca="1" si="18"/>
        <v>523.72277897358742</v>
      </c>
      <c r="N130" s="10">
        <f t="shared" ca="1" si="11"/>
        <v>0.34146924801433032</v>
      </c>
      <c r="O130" s="10">
        <f t="shared" ca="1" si="12"/>
        <v>4.0122413345896293</v>
      </c>
      <c r="P130" s="19">
        <f t="shared" ca="1" si="19"/>
        <v>559.66638578778634</v>
      </c>
      <c r="Q130" s="10">
        <f t="shared" ca="1" si="13"/>
        <v>0.19512451583178503</v>
      </c>
      <c r="R130" s="10">
        <f t="shared" ca="1" si="14"/>
        <v>4.7650970837059532</v>
      </c>
      <c r="S130" s="19">
        <f t="shared" ca="1" si="20"/>
        <v>685.2635579752947</v>
      </c>
      <c r="T130" s="10">
        <f t="shared" ca="1" si="15"/>
        <v>0.12937509879341602</v>
      </c>
      <c r="U130" s="10">
        <f t="shared" ca="1" si="16"/>
        <v>2.6229970275854035</v>
      </c>
      <c r="V130" s="19">
        <f t="shared" ca="1" si="21"/>
        <v>687.88655500288007</v>
      </c>
      <c r="W130" s="19">
        <f t="shared" ca="1" si="17"/>
        <v>164.16377602929265</v>
      </c>
    </row>
    <row r="131" spans="12:23" x14ac:dyDescent="0.45">
      <c r="L131" s="9">
        <v>127</v>
      </c>
      <c r="M131" s="19">
        <f t="shared" ca="1" si="18"/>
        <v>526.27429388275846</v>
      </c>
      <c r="N131" s="10">
        <f t="shared" ca="1" si="11"/>
        <v>1.8587827505504473E-2</v>
      </c>
      <c r="O131" s="10">
        <f t="shared" ca="1" si="12"/>
        <v>3.2361429281526624</v>
      </c>
      <c r="P131" s="19">
        <f t="shared" ca="1" si="19"/>
        <v>562.90252871593896</v>
      </c>
      <c r="Q131" s="10">
        <f t="shared" ca="1" si="13"/>
        <v>0.53491235075332588</v>
      </c>
      <c r="R131" s="10">
        <f t="shared" ca="1" si="14"/>
        <v>5.3295132758743504</v>
      </c>
      <c r="S131" s="19">
        <f t="shared" ca="1" si="20"/>
        <v>690.59307125116902</v>
      </c>
      <c r="T131" s="10">
        <f t="shared" ca="1" si="15"/>
        <v>0.84091663464591071</v>
      </c>
      <c r="U131" s="10">
        <f t="shared" ca="1" si="16"/>
        <v>4.0230147431386003</v>
      </c>
      <c r="V131" s="19">
        <f t="shared" ca="1" si="21"/>
        <v>694.61608599430758</v>
      </c>
      <c r="W131" s="19">
        <f t="shared" ca="1" si="17"/>
        <v>168.34179211154913</v>
      </c>
    </row>
    <row r="132" spans="12:23" x14ac:dyDescent="0.45">
      <c r="L132" s="9">
        <v>128</v>
      </c>
      <c r="M132" s="19">
        <f t="shared" ca="1" si="18"/>
        <v>530.41390268084672</v>
      </c>
      <c r="N132" s="10">
        <f t="shared" ca="1" si="11"/>
        <v>0.51448730981066571</v>
      </c>
      <c r="O132" s="10">
        <f t="shared" ca="1" si="12"/>
        <v>4.2932263942936055</v>
      </c>
      <c r="P132" s="19">
        <f t="shared" ca="1" si="19"/>
        <v>567.19575511023254</v>
      </c>
      <c r="Q132" s="10">
        <f t="shared" ca="1" si="13"/>
        <v>0.39674145622155221</v>
      </c>
      <c r="R132" s="10">
        <f t="shared" ca="1" si="14"/>
        <v>5.0974881701627481</v>
      </c>
      <c r="S132" s="19">
        <f t="shared" ca="1" si="20"/>
        <v>695.69055942133173</v>
      </c>
      <c r="T132" s="10">
        <f t="shared" ca="1" si="15"/>
        <v>2.0556003148055502E-2</v>
      </c>
      <c r="U132" s="10">
        <f t="shared" ca="1" si="16"/>
        <v>2.2483304440542207</v>
      </c>
      <c r="V132" s="19">
        <f t="shared" ca="1" si="21"/>
        <v>697.93888986538593</v>
      </c>
      <c r="W132" s="19">
        <f t="shared" ca="1" si="17"/>
        <v>167.52498718453921</v>
      </c>
    </row>
    <row r="133" spans="12:23" x14ac:dyDescent="0.45">
      <c r="L133" s="9">
        <v>129</v>
      </c>
      <c r="M133" s="19">
        <f t="shared" ca="1" si="18"/>
        <v>530.9668551096139</v>
      </c>
      <c r="N133" s="10">
        <f t="shared" ref="N133:N196" ca="1" si="22">RAND()</f>
        <v>8.6782507799583186E-2</v>
      </c>
      <c r="O133" s="10">
        <f t="shared" ref="O133:O196" ca="1" si="23">IF(N133&lt;$F$8,$C$8+SQRT(N133*($E$8-$C$8)*($D$8-$C$8)),$E$8-SQRT((1-N133)*($E$8-$C$8)*($E$8-$D$8)))</f>
        <v>3.5102426122921817</v>
      </c>
      <c r="P133" s="19">
        <f t="shared" ca="1" si="19"/>
        <v>570.70599772252467</v>
      </c>
      <c r="Q133" s="10">
        <f t="shared" ref="Q133:Q196" ca="1" si="24">RAND()</f>
        <v>0.12720116953243232</v>
      </c>
      <c r="R133" s="10">
        <f t="shared" ref="R133:R196" ca="1" si="25">IF(Q133&lt;$F$9,$C$9+SQRT(Q133*($E$9-$C$9)*($D$9-$C$9)),$E$9-SQRT((1-Q133)*($E$9-$C$9)*($E$9-$D$9)))</f>
        <v>4.6177406483284846</v>
      </c>
      <c r="S133" s="19">
        <f t="shared" ca="1" si="20"/>
        <v>700.30830006966016</v>
      </c>
      <c r="T133" s="10">
        <f t="shared" ref="T133:T196" ca="1" si="26">RAND()</f>
        <v>0.27451926767381385</v>
      </c>
      <c r="U133" s="10">
        <f t="shared" ref="U133:U196" ca="1" si="27">IF(T133&lt;$F$10,$C$10+SQRT(T133*($E$10-$C$10)*($D$10-$C$10)),$E$10-SQRT((1-T133)*($E$10-$C$10)*($E$10-$D$10)))</f>
        <v>2.9075008556587929</v>
      </c>
      <c r="V133" s="19">
        <f t="shared" ca="1" si="21"/>
        <v>703.21580092531894</v>
      </c>
      <c r="W133" s="19">
        <f t="shared" ref="W133:W196" ca="1" si="28">V133-M133</f>
        <v>172.24894581570504</v>
      </c>
    </row>
    <row r="134" spans="12:23" x14ac:dyDescent="0.45">
      <c r="L134" s="9">
        <v>130</v>
      </c>
      <c r="M134" s="19">
        <f t="shared" ref="M134:M197" ca="1" si="29">M133-$C$5*LN(1-RAND())</f>
        <v>532.03164739512738</v>
      </c>
      <c r="N134" s="10">
        <f t="shared" ca="1" si="22"/>
        <v>0.51164353782133598</v>
      </c>
      <c r="O134" s="10">
        <f t="shared" ca="1" si="23"/>
        <v>4.2882351875704465</v>
      </c>
      <c r="P134" s="19">
        <f t="shared" ref="P134:P197" ca="1" si="30">MAX(M134,P133)+O134</f>
        <v>574.99423291009509</v>
      </c>
      <c r="Q134" s="10">
        <f t="shared" ca="1" si="24"/>
        <v>0.22083546560861411</v>
      </c>
      <c r="R134" s="10">
        <f t="shared" ca="1" si="25"/>
        <v>4.8139449593343784</v>
      </c>
      <c r="S134" s="19">
        <f t="shared" ref="S134:S197" ca="1" si="31">MAX(P134,S133)+R134</f>
        <v>705.12224502899448</v>
      </c>
      <c r="T134" s="10">
        <f t="shared" ca="1" si="26"/>
        <v>0.56223088878454952</v>
      </c>
      <c r="U134" s="10">
        <f t="shared" ca="1" si="27"/>
        <v>3.3793166048568577</v>
      </c>
      <c r="V134" s="19">
        <f t="shared" ref="V134:V197" ca="1" si="32">MAX(S134,V133)+U134</f>
        <v>708.50156163385134</v>
      </c>
      <c r="W134" s="19">
        <f t="shared" ca="1" si="28"/>
        <v>176.46991423872396</v>
      </c>
    </row>
    <row r="135" spans="12:23" x14ac:dyDescent="0.45">
      <c r="L135" s="9">
        <v>131</v>
      </c>
      <c r="M135" s="19">
        <f t="shared" ca="1" si="29"/>
        <v>542.39257511981748</v>
      </c>
      <c r="N135" s="10">
        <f t="shared" ca="1" si="22"/>
        <v>8.9203478944886783E-2</v>
      </c>
      <c r="O135" s="10">
        <f t="shared" ca="1" si="23"/>
        <v>3.5173107739402498</v>
      </c>
      <c r="P135" s="19">
        <f t="shared" ca="1" si="30"/>
        <v>578.51154368403536</v>
      </c>
      <c r="Q135" s="10">
        <f t="shared" ca="1" si="24"/>
        <v>0.7062209710434294</v>
      </c>
      <c r="R135" s="10">
        <f t="shared" ca="1" si="25"/>
        <v>5.6723425992601015</v>
      </c>
      <c r="S135" s="19">
        <f t="shared" ca="1" si="31"/>
        <v>710.79458762825459</v>
      </c>
      <c r="T135" s="10">
        <f t="shared" ca="1" si="26"/>
        <v>0.35746777825658138</v>
      </c>
      <c r="U135" s="10">
        <f t="shared" ca="1" si="27"/>
        <v>3.036535375806197</v>
      </c>
      <c r="V135" s="19">
        <f t="shared" ca="1" si="32"/>
        <v>713.83112300406083</v>
      </c>
      <c r="W135" s="19">
        <f t="shared" ca="1" si="28"/>
        <v>171.43854788424335</v>
      </c>
    </row>
    <row r="136" spans="12:23" x14ac:dyDescent="0.45">
      <c r="L136" s="9">
        <v>132</v>
      </c>
      <c r="M136" s="19">
        <f t="shared" ca="1" si="29"/>
        <v>547.31916903954618</v>
      </c>
      <c r="N136" s="10">
        <f t="shared" ca="1" si="22"/>
        <v>0.95520511577800749</v>
      </c>
      <c r="O136" s="10">
        <f t="shared" ca="1" si="23"/>
        <v>5.481570346785646</v>
      </c>
      <c r="P136" s="19">
        <f t="shared" ca="1" si="30"/>
        <v>583.99311403082106</v>
      </c>
      <c r="Q136" s="10">
        <f t="shared" ca="1" si="24"/>
        <v>4.0311791189394652E-2</v>
      </c>
      <c r="R136" s="10">
        <f t="shared" ca="1" si="25"/>
        <v>4.3477576362471195</v>
      </c>
      <c r="S136" s="19">
        <f t="shared" ca="1" si="31"/>
        <v>715.14234526450173</v>
      </c>
      <c r="T136" s="10">
        <f t="shared" ca="1" si="26"/>
        <v>0.60186644606936368</v>
      </c>
      <c r="U136" s="10">
        <f t="shared" ca="1" si="27"/>
        <v>3.4544252449060195</v>
      </c>
      <c r="V136" s="19">
        <f t="shared" ca="1" si="32"/>
        <v>718.59677050940775</v>
      </c>
      <c r="W136" s="19">
        <f t="shared" ca="1" si="28"/>
        <v>171.27760146986157</v>
      </c>
    </row>
    <row r="137" spans="12:23" x14ac:dyDescent="0.45">
      <c r="L137" s="9">
        <v>133</v>
      </c>
      <c r="M137" s="19">
        <f t="shared" ca="1" si="29"/>
        <v>549.47118912863095</v>
      </c>
      <c r="N137" s="10">
        <f t="shared" ca="1" si="22"/>
        <v>0.15991228614329633</v>
      </c>
      <c r="O137" s="10">
        <f t="shared" ca="1" si="23"/>
        <v>3.6926303909228131</v>
      </c>
      <c r="P137" s="19">
        <f t="shared" ca="1" si="30"/>
        <v>587.68574442174383</v>
      </c>
      <c r="Q137" s="10">
        <f t="shared" ca="1" si="24"/>
        <v>0.8348269577142895</v>
      </c>
      <c r="R137" s="10">
        <f t="shared" ca="1" si="25"/>
        <v>6.0044909574924681</v>
      </c>
      <c r="S137" s="19">
        <f t="shared" ca="1" si="31"/>
        <v>721.14683622199425</v>
      </c>
      <c r="T137" s="10">
        <f t="shared" ca="1" si="26"/>
        <v>9.3705287244981728E-2</v>
      </c>
      <c r="U137" s="10">
        <f t="shared" ca="1" si="27"/>
        <v>2.5302036040380576</v>
      </c>
      <c r="V137" s="19">
        <f t="shared" ca="1" si="32"/>
        <v>723.67703982603234</v>
      </c>
      <c r="W137" s="19">
        <f t="shared" ca="1" si="28"/>
        <v>174.20585069740139</v>
      </c>
    </row>
    <row r="138" spans="12:23" x14ac:dyDescent="0.45">
      <c r="L138" s="9">
        <v>134</v>
      </c>
      <c r="M138" s="19">
        <f t="shared" ca="1" si="29"/>
        <v>552.56526030334612</v>
      </c>
      <c r="N138" s="10">
        <f t="shared" ca="1" si="22"/>
        <v>0.23805027349159147</v>
      </c>
      <c r="O138" s="10">
        <f t="shared" ca="1" si="23"/>
        <v>3.8450744467055991</v>
      </c>
      <c r="P138" s="19">
        <f t="shared" ca="1" si="30"/>
        <v>591.53081886844939</v>
      </c>
      <c r="Q138" s="10">
        <f t="shared" ca="1" si="24"/>
        <v>0.86348767368871227</v>
      </c>
      <c r="R138" s="10">
        <f t="shared" ca="1" si="25"/>
        <v>6.0949729518584945</v>
      </c>
      <c r="S138" s="19">
        <f t="shared" ca="1" si="31"/>
        <v>727.24180917385274</v>
      </c>
      <c r="T138" s="10">
        <f t="shared" ca="1" si="26"/>
        <v>0.90797907396783484</v>
      </c>
      <c r="U138" s="10">
        <f t="shared" ca="1" si="27"/>
        <v>4.2569484834865143</v>
      </c>
      <c r="V138" s="19">
        <f t="shared" ca="1" si="32"/>
        <v>731.4987576573393</v>
      </c>
      <c r="W138" s="19">
        <f t="shared" ca="1" si="28"/>
        <v>178.93349735399318</v>
      </c>
    </row>
    <row r="139" spans="12:23" x14ac:dyDescent="0.45">
      <c r="L139" s="9">
        <v>135</v>
      </c>
      <c r="M139" s="19">
        <f t="shared" ca="1" si="29"/>
        <v>565.89727569611296</v>
      </c>
      <c r="N139" s="10">
        <f t="shared" ca="1" si="22"/>
        <v>0.70086665843676932</v>
      </c>
      <c r="O139" s="10">
        <f t="shared" ca="1" si="23"/>
        <v>4.6602985222896169</v>
      </c>
      <c r="P139" s="19">
        <f t="shared" ca="1" si="30"/>
        <v>596.19111739073901</v>
      </c>
      <c r="Q139" s="10">
        <f t="shared" ca="1" si="24"/>
        <v>0.86000883831716324</v>
      </c>
      <c r="R139" s="10">
        <f t="shared" ca="1" si="25"/>
        <v>6.0835137916493123</v>
      </c>
      <c r="S139" s="19">
        <f t="shared" ca="1" si="31"/>
        <v>733.3253229655021</v>
      </c>
      <c r="T139" s="10">
        <f t="shared" ca="1" si="26"/>
        <v>0.44796105713384859</v>
      </c>
      <c r="U139" s="10">
        <f t="shared" ca="1" si="27"/>
        <v>3.1800456991460173</v>
      </c>
      <c r="V139" s="19">
        <f t="shared" ca="1" si="32"/>
        <v>736.50536866464813</v>
      </c>
      <c r="W139" s="19">
        <f t="shared" ca="1" si="28"/>
        <v>170.60809296853517</v>
      </c>
    </row>
    <row r="140" spans="12:23" x14ac:dyDescent="0.45">
      <c r="L140" s="9">
        <v>136</v>
      </c>
      <c r="M140" s="19">
        <f t="shared" ca="1" si="29"/>
        <v>567.73353109372567</v>
      </c>
      <c r="N140" s="10">
        <f t="shared" ca="1" si="22"/>
        <v>0.29872101047714616</v>
      </c>
      <c r="O140" s="10">
        <f t="shared" ca="1" si="23"/>
        <v>3.9466588780714194</v>
      </c>
      <c r="P140" s="19">
        <f t="shared" ca="1" si="30"/>
        <v>600.1377762688104</v>
      </c>
      <c r="Q140" s="10">
        <f t="shared" ca="1" si="24"/>
        <v>0.25937394107211786</v>
      </c>
      <c r="R140" s="10">
        <f t="shared" ca="1" si="25"/>
        <v>4.8821121375518839</v>
      </c>
      <c r="S140" s="19">
        <f t="shared" ca="1" si="31"/>
        <v>738.20743510305397</v>
      </c>
      <c r="T140" s="10">
        <f t="shared" ca="1" si="26"/>
        <v>0.41108346197404411</v>
      </c>
      <c r="U140" s="10">
        <f t="shared" ca="1" si="27"/>
        <v>3.1202395822457225</v>
      </c>
      <c r="V140" s="19">
        <f t="shared" ca="1" si="32"/>
        <v>741.32767468529971</v>
      </c>
      <c r="W140" s="19">
        <f t="shared" ca="1" si="28"/>
        <v>173.59414359157404</v>
      </c>
    </row>
    <row r="141" spans="12:23" x14ac:dyDescent="0.45">
      <c r="L141" s="9">
        <v>137</v>
      </c>
      <c r="M141" s="19">
        <f t="shared" ca="1" si="29"/>
        <v>573.60778946210883</v>
      </c>
      <c r="N141" s="10">
        <f t="shared" ca="1" si="22"/>
        <v>8.3014733599339197E-2</v>
      </c>
      <c r="O141" s="10">
        <f t="shared" ca="1" si="23"/>
        <v>3.4990432854953744</v>
      </c>
      <c r="P141" s="19">
        <f t="shared" ca="1" si="30"/>
        <v>603.63681955430582</v>
      </c>
      <c r="Q141" s="10">
        <f t="shared" ca="1" si="24"/>
        <v>0.26222765736263343</v>
      </c>
      <c r="R141" s="10">
        <f t="shared" ca="1" si="25"/>
        <v>4.8869515049245367</v>
      </c>
      <c r="S141" s="19">
        <f t="shared" ca="1" si="31"/>
        <v>743.09438660797855</v>
      </c>
      <c r="T141" s="10">
        <f t="shared" ca="1" si="26"/>
        <v>0.93530245736361173</v>
      </c>
      <c r="U141" s="10">
        <f t="shared" ca="1" si="27"/>
        <v>4.3769548525039861</v>
      </c>
      <c r="V141" s="19">
        <f t="shared" ca="1" si="32"/>
        <v>747.47134146048256</v>
      </c>
      <c r="W141" s="19">
        <f t="shared" ca="1" si="28"/>
        <v>173.86355199837374</v>
      </c>
    </row>
    <row r="142" spans="12:23" x14ac:dyDescent="0.45">
      <c r="L142" s="9">
        <v>138</v>
      </c>
      <c r="M142" s="19">
        <f t="shared" ca="1" si="29"/>
        <v>580.7181529825441</v>
      </c>
      <c r="N142" s="10">
        <f t="shared" ca="1" si="22"/>
        <v>0.4532119391455518</v>
      </c>
      <c r="O142" s="10">
        <f t="shared" ca="1" si="23"/>
        <v>4.1887218973535045</v>
      </c>
      <c r="P142" s="19">
        <f t="shared" ca="1" si="30"/>
        <v>607.82554145165932</v>
      </c>
      <c r="Q142" s="10">
        <f t="shared" ca="1" si="24"/>
        <v>0.51455863223783083</v>
      </c>
      <c r="R142" s="10">
        <f t="shared" ca="1" si="25"/>
        <v>5.293351762496731</v>
      </c>
      <c r="S142" s="19">
        <f t="shared" ca="1" si="31"/>
        <v>748.38773837047529</v>
      </c>
      <c r="T142" s="10">
        <f t="shared" ca="1" si="26"/>
        <v>0.42912584540233567</v>
      </c>
      <c r="U142" s="10">
        <f t="shared" ca="1" si="27"/>
        <v>3.1492582763697183</v>
      </c>
      <c r="V142" s="19">
        <f t="shared" ca="1" si="32"/>
        <v>751.53699664684495</v>
      </c>
      <c r="W142" s="19">
        <f t="shared" ca="1" si="28"/>
        <v>170.81884366430086</v>
      </c>
    </row>
    <row r="143" spans="12:23" x14ac:dyDescent="0.45">
      <c r="L143" s="9">
        <v>139</v>
      </c>
      <c r="M143" s="19">
        <f t="shared" ca="1" si="29"/>
        <v>587.5914707341459</v>
      </c>
      <c r="N143" s="10">
        <f t="shared" ca="1" si="22"/>
        <v>0.60240992970694107</v>
      </c>
      <c r="O143" s="10">
        <f t="shared" ca="1" si="23"/>
        <v>4.4554805207578791</v>
      </c>
      <c r="P143" s="19">
        <f t="shared" ca="1" si="30"/>
        <v>612.28102197241719</v>
      </c>
      <c r="Q143" s="10">
        <f t="shared" ca="1" si="24"/>
        <v>0.87782125083038676</v>
      </c>
      <c r="R143" s="10">
        <f t="shared" ca="1" si="25"/>
        <v>6.1438034717322898</v>
      </c>
      <c r="S143" s="19">
        <f t="shared" ca="1" si="31"/>
        <v>754.53154184220762</v>
      </c>
      <c r="T143" s="10">
        <f t="shared" ca="1" si="26"/>
        <v>0.42500916176400805</v>
      </c>
      <c r="U143" s="10">
        <f t="shared" ca="1" si="27"/>
        <v>3.1425972355420724</v>
      </c>
      <c r="V143" s="19">
        <f t="shared" ca="1" si="32"/>
        <v>757.67413907774971</v>
      </c>
      <c r="W143" s="19">
        <f t="shared" ca="1" si="28"/>
        <v>170.08266834360381</v>
      </c>
    </row>
    <row r="144" spans="12:23" x14ac:dyDescent="0.45">
      <c r="L144" s="9">
        <v>140</v>
      </c>
      <c r="M144" s="19">
        <f t="shared" ca="1" si="29"/>
        <v>588.20593468387437</v>
      </c>
      <c r="N144" s="10">
        <f t="shared" ca="1" si="22"/>
        <v>0.19595622786323197</v>
      </c>
      <c r="O144" s="10">
        <f t="shared" ca="1" si="23"/>
        <v>3.7667259507736097</v>
      </c>
      <c r="P144" s="19">
        <f t="shared" ca="1" si="30"/>
        <v>616.04774792319085</v>
      </c>
      <c r="Q144" s="10">
        <f t="shared" ca="1" si="24"/>
        <v>7.304882594804929E-2</v>
      </c>
      <c r="R144" s="10">
        <f t="shared" ca="1" si="25"/>
        <v>4.4681308341095978</v>
      </c>
      <c r="S144" s="19">
        <f t="shared" ca="1" si="31"/>
        <v>758.99967267631723</v>
      </c>
      <c r="T144" s="10">
        <f t="shared" ca="1" si="26"/>
        <v>0.90377956475971777</v>
      </c>
      <c r="U144" s="10">
        <f t="shared" ca="1" si="27"/>
        <v>4.2401825143880316</v>
      </c>
      <c r="V144" s="19">
        <f t="shared" ca="1" si="32"/>
        <v>763.23985519070527</v>
      </c>
      <c r="W144" s="19">
        <f t="shared" ca="1" si="28"/>
        <v>175.0339205068309</v>
      </c>
    </row>
    <row r="145" spans="12:23" x14ac:dyDescent="0.45">
      <c r="L145" s="9">
        <v>141</v>
      </c>
      <c r="M145" s="19">
        <f t="shared" ca="1" si="29"/>
        <v>592.33281150928269</v>
      </c>
      <c r="N145" s="10">
        <f t="shared" ca="1" si="22"/>
        <v>0.12141410334163172</v>
      </c>
      <c r="O145" s="10">
        <f t="shared" ca="1" si="23"/>
        <v>3.603524904229225</v>
      </c>
      <c r="P145" s="19">
        <f t="shared" ca="1" si="30"/>
        <v>619.65127282742003</v>
      </c>
      <c r="Q145" s="10">
        <f t="shared" ca="1" si="24"/>
        <v>2.5996455559373466E-2</v>
      </c>
      <c r="R145" s="10">
        <f t="shared" ca="1" si="25"/>
        <v>4.279265763526646</v>
      </c>
      <c r="S145" s="19">
        <f t="shared" ca="1" si="31"/>
        <v>763.27893843984384</v>
      </c>
      <c r="T145" s="10">
        <f t="shared" ca="1" si="26"/>
        <v>0.56229059253558922</v>
      </c>
      <c r="U145" s="10">
        <f t="shared" ca="1" si="27"/>
        <v>3.3794271245061318</v>
      </c>
      <c r="V145" s="19">
        <f t="shared" ca="1" si="32"/>
        <v>766.65836556434999</v>
      </c>
      <c r="W145" s="19">
        <f t="shared" ca="1" si="28"/>
        <v>174.3255540550673</v>
      </c>
    </row>
    <row r="146" spans="12:23" x14ac:dyDescent="0.45">
      <c r="L146" s="9">
        <v>142</v>
      </c>
      <c r="M146" s="19">
        <f t="shared" ca="1" si="29"/>
        <v>614.0190675527366</v>
      </c>
      <c r="N146" s="10">
        <f t="shared" ca="1" si="22"/>
        <v>0.24953400506859735</v>
      </c>
      <c r="O146" s="10">
        <f t="shared" ca="1" si="23"/>
        <v>3.8652179004191902</v>
      </c>
      <c r="P146" s="19">
        <f t="shared" ca="1" si="30"/>
        <v>623.51649072783925</v>
      </c>
      <c r="Q146" s="10">
        <f t="shared" ca="1" si="24"/>
        <v>0.89605201445478899</v>
      </c>
      <c r="R146" s="10">
        <f t="shared" ca="1" si="25"/>
        <v>6.2102608574527496</v>
      </c>
      <c r="S146" s="19">
        <f t="shared" ca="1" si="31"/>
        <v>769.48919929729664</v>
      </c>
      <c r="T146" s="10">
        <f t="shared" ca="1" si="26"/>
        <v>0.15095732041017174</v>
      </c>
      <c r="U146" s="10">
        <f t="shared" ca="1" si="27"/>
        <v>2.6729576221654043</v>
      </c>
      <c r="V146" s="19">
        <f t="shared" ca="1" si="32"/>
        <v>772.16215691946206</v>
      </c>
      <c r="W146" s="19">
        <f t="shared" ca="1" si="28"/>
        <v>158.14308936672546</v>
      </c>
    </row>
    <row r="147" spans="12:23" x14ac:dyDescent="0.45">
      <c r="L147" s="9">
        <v>143</v>
      </c>
      <c r="M147" s="19">
        <f t="shared" ca="1" si="29"/>
        <v>615.67686684407704</v>
      </c>
      <c r="N147" s="10">
        <f t="shared" ca="1" si="22"/>
        <v>0.53729312090394588</v>
      </c>
      <c r="O147" s="10">
        <f t="shared" ca="1" si="23"/>
        <v>4.3337943480541412</v>
      </c>
      <c r="P147" s="19">
        <f t="shared" ca="1" si="30"/>
        <v>627.85028507589345</v>
      </c>
      <c r="Q147" s="10">
        <f t="shared" ca="1" si="24"/>
        <v>0.9342684248630837</v>
      </c>
      <c r="R147" s="10">
        <f t="shared" ca="1" si="25"/>
        <v>6.3719956601889622</v>
      </c>
      <c r="S147" s="19">
        <f t="shared" ca="1" si="31"/>
        <v>775.86119495748562</v>
      </c>
      <c r="T147" s="10">
        <f t="shared" ca="1" si="26"/>
        <v>0.59064316467707201</v>
      </c>
      <c r="U147" s="10">
        <f t="shared" ca="1" si="27"/>
        <v>3.4327919691573907</v>
      </c>
      <c r="V147" s="19">
        <f t="shared" ca="1" si="32"/>
        <v>779.29398692664302</v>
      </c>
      <c r="W147" s="19">
        <f t="shared" ca="1" si="28"/>
        <v>163.61712008256598</v>
      </c>
    </row>
    <row r="148" spans="12:23" x14ac:dyDescent="0.45">
      <c r="L148" s="9">
        <v>144</v>
      </c>
      <c r="M148" s="19">
        <f t="shared" ca="1" si="29"/>
        <v>637.04967606554601</v>
      </c>
      <c r="N148" s="10">
        <f t="shared" ca="1" si="22"/>
        <v>0.42506780496270058</v>
      </c>
      <c r="O148" s="10">
        <f t="shared" ca="1" si="23"/>
        <v>4.1426919560224276</v>
      </c>
      <c r="P148" s="19">
        <f t="shared" ca="1" si="30"/>
        <v>641.19236802156843</v>
      </c>
      <c r="Q148" s="10">
        <f t="shared" ca="1" si="24"/>
        <v>0.72109332277703342</v>
      </c>
      <c r="R148" s="10">
        <f t="shared" ca="1" si="25"/>
        <v>5.7063848859348472</v>
      </c>
      <c r="S148" s="19">
        <f t="shared" ca="1" si="31"/>
        <v>781.5675798434205</v>
      </c>
      <c r="T148" s="10">
        <f t="shared" ca="1" si="26"/>
        <v>0.36102525199516988</v>
      </c>
      <c r="U148" s="10">
        <f t="shared" ca="1" si="27"/>
        <v>3.0419784250348565</v>
      </c>
      <c r="V148" s="19">
        <f t="shared" ca="1" si="32"/>
        <v>784.60955826845532</v>
      </c>
      <c r="W148" s="19">
        <f t="shared" ca="1" si="28"/>
        <v>147.55988220290931</v>
      </c>
    </row>
    <row r="149" spans="12:23" x14ac:dyDescent="0.45">
      <c r="L149" s="9">
        <v>145</v>
      </c>
      <c r="M149" s="19">
        <f t="shared" ca="1" si="29"/>
        <v>643.59576296831585</v>
      </c>
      <c r="N149" s="10">
        <f t="shared" ca="1" si="22"/>
        <v>0.69062095740314244</v>
      </c>
      <c r="O149" s="10">
        <f t="shared" ca="1" si="23"/>
        <v>4.6375484391798931</v>
      </c>
      <c r="P149" s="19">
        <f t="shared" ca="1" si="30"/>
        <v>648.23331140749576</v>
      </c>
      <c r="Q149" s="10">
        <f t="shared" ca="1" si="24"/>
        <v>0.59583190583451229</v>
      </c>
      <c r="R149" s="10">
        <f t="shared" ca="1" si="25"/>
        <v>5.4427560997091931</v>
      </c>
      <c r="S149" s="19">
        <f t="shared" ca="1" si="31"/>
        <v>787.01033594312969</v>
      </c>
      <c r="T149" s="10">
        <f t="shared" ca="1" si="26"/>
        <v>0.93717654873612122</v>
      </c>
      <c r="U149" s="10">
        <f t="shared" ca="1" si="27"/>
        <v>4.3860450280490655</v>
      </c>
      <c r="V149" s="19">
        <f t="shared" ca="1" si="32"/>
        <v>791.3963809711787</v>
      </c>
      <c r="W149" s="19">
        <f t="shared" ca="1" si="28"/>
        <v>147.80061800286285</v>
      </c>
    </row>
    <row r="150" spans="12:23" x14ac:dyDescent="0.45">
      <c r="L150" s="9">
        <v>146</v>
      </c>
      <c r="M150" s="19">
        <f t="shared" ca="1" si="29"/>
        <v>645.11101570204892</v>
      </c>
      <c r="N150" s="10">
        <f t="shared" ca="1" si="22"/>
        <v>0.46145039640653773</v>
      </c>
      <c r="O150" s="10">
        <f t="shared" ca="1" si="23"/>
        <v>4.2024189527142948</v>
      </c>
      <c r="P150" s="19">
        <f t="shared" ca="1" si="30"/>
        <v>652.43573036021007</v>
      </c>
      <c r="Q150" s="10">
        <f t="shared" ca="1" si="24"/>
        <v>0.40524167170448533</v>
      </c>
      <c r="R150" s="10">
        <f t="shared" ca="1" si="25"/>
        <v>5.1109393948914477</v>
      </c>
      <c r="S150" s="19">
        <f t="shared" ca="1" si="31"/>
        <v>792.12127533802118</v>
      </c>
      <c r="T150" s="10">
        <f t="shared" ca="1" si="26"/>
        <v>0.69549177377732374</v>
      </c>
      <c r="U150" s="10">
        <f t="shared" ca="1" si="27"/>
        <v>3.6483161030270215</v>
      </c>
      <c r="V150" s="19">
        <f t="shared" ca="1" si="32"/>
        <v>795.76959144104819</v>
      </c>
      <c r="W150" s="19">
        <f t="shared" ca="1" si="28"/>
        <v>150.65857573899928</v>
      </c>
    </row>
    <row r="151" spans="12:23" x14ac:dyDescent="0.45">
      <c r="L151" s="9">
        <v>147</v>
      </c>
      <c r="M151" s="19">
        <f t="shared" ca="1" si="29"/>
        <v>646.08124429925158</v>
      </c>
      <c r="N151" s="10">
        <f t="shared" ca="1" si="22"/>
        <v>0.46044953964753443</v>
      </c>
      <c r="O151" s="10">
        <f t="shared" ca="1" si="23"/>
        <v>4.2007493887413032</v>
      </c>
      <c r="P151" s="19">
        <f t="shared" ca="1" si="30"/>
        <v>656.63647974895139</v>
      </c>
      <c r="Q151" s="10">
        <f t="shared" ca="1" si="24"/>
        <v>0.70995214607909074</v>
      </c>
      <c r="R151" s="10">
        <f t="shared" ca="1" si="25"/>
        <v>5.6808005747706467</v>
      </c>
      <c r="S151" s="19">
        <f t="shared" ca="1" si="31"/>
        <v>797.80207591279179</v>
      </c>
      <c r="T151" s="10">
        <f t="shared" ca="1" si="26"/>
        <v>0.63451421567107846</v>
      </c>
      <c r="U151" s="10">
        <f t="shared" ca="1" si="27"/>
        <v>3.5191506808680604</v>
      </c>
      <c r="V151" s="19">
        <f t="shared" ca="1" si="32"/>
        <v>801.32122659365984</v>
      </c>
      <c r="W151" s="19">
        <f t="shared" ca="1" si="28"/>
        <v>155.23998229440826</v>
      </c>
    </row>
    <row r="152" spans="12:23" x14ac:dyDescent="0.45">
      <c r="L152" s="9">
        <v>148</v>
      </c>
      <c r="M152" s="19">
        <f t="shared" ca="1" si="29"/>
        <v>653.64946175814271</v>
      </c>
      <c r="N152" s="10">
        <f t="shared" ca="1" si="22"/>
        <v>0.62613805078447848</v>
      </c>
      <c r="O152" s="10">
        <f t="shared" ca="1" si="23"/>
        <v>4.5022778310737568</v>
      </c>
      <c r="P152" s="19">
        <f t="shared" ca="1" si="30"/>
        <v>661.13875758002519</v>
      </c>
      <c r="Q152" s="10">
        <f t="shared" ca="1" si="24"/>
        <v>0.74300399113103621</v>
      </c>
      <c r="R152" s="10">
        <f t="shared" ca="1" si="25"/>
        <v>5.7582367161114067</v>
      </c>
      <c r="S152" s="19">
        <f t="shared" ca="1" si="31"/>
        <v>803.56031262890315</v>
      </c>
      <c r="T152" s="10">
        <f t="shared" ca="1" si="26"/>
        <v>0.10037451613891324</v>
      </c>
      <c r="U152" s="10">
        <f t="shared" ca="1" si="27"/>
        <v>2.5487472536758062</v>
      </c>
      <c r="V152" s="19">
        <f t="shared" ca="1" si="32"/>
        <v>806.109059882579</v>
      </c>
      <c r="W152" s="19">
        <f t="shared" ca="1" si="28"/>
        <v>152.4595981244363</v>
      </c>
    </row>
    <row r="153" spans="12:23" x14ac:dyDescent="0.45">
      <c r="L153" s="9">
        <v>149</v>
      </c>
      <c r="M153" s="19">
        <f t="shared" ca="1" si="29"/>
        <v>657.36385002975828</v>
      </c>
      <c r="N153" s="10">
        <f t="shared" ca="1" si="22"/>
        <v>0.3940260162709206</v>
      </c>
      <c r="O153" s="10">
        <f t="shared" ca="1" si="23"/>
        <v>4.093211101780148</v>
      </c>
      <c r="P153" s="19">
        <f t="shared" ca="1" si="30"/>
        <v>665.23196868180537</v>
      </c>
      <c r="Q153" s="10">
        <f t="shared" ca="1" si="24"/>
        <v>0.54054419056901459</v>
      </c>
      <c r="R153" s="10">
        <f t="shared" ca="1" si="25"/>
        <v>5.3396582109138153</v>
      </c>
      <c r="S153" s="19">
        <f t="shared" ca="1" si="31"/>
        <v>808.899970839817</v>
      </c>
      <c r="T153" s="10">
        <f t="shared" ca="1" si="26"/>
        <v>0.90448070315394491</v>
      </c>
      <c r="U153" s="10">
        <f t="shared" ca="1" si="27"/>
        <v>4.242955892251759</v>
      </c>
      <c r="V153" s="19">
        <f t="shared" ca="1" si="32"/>
        <v>813.14292673206876</v>
      </c>
      <c r="W153" s="19">
        <f t="shared" ca="1" si="28"/>
        <v>155.77907670231048</v>
      </c>
    </row>
    <row r="154" spans="12:23" x14ac:dyDescent="0.45">
      <c r="L154" s="9">
        <v>150</v>
      </c>
      <c r="M154" s="19">
        <f t="shared" ca="1" si="29"/>
        <v>662.16688993929483</v>
      </c>
      <c r="N154" s="10">
        <f t="shared" ca="1" si="22"/>
        <v>0.10381923352001166</v>
      </c>
      <c r="O154" s="10">
        <f t="shared" ca="1" si="23"/>
        <v>3.5580839547595282</v>
      </c>
      <c r="P154" s="19">
        <f t="shared" ca="1" si="30"/>
        <v>668.79005263656495</v>
      </c>
      <c r="Q154" s="10">
        <f t="shared" ca="1" si="24"/>
        <v>0.34334345030604274</v>
      </c>
      <c r="R154" s="10">
        <f t="shared" ca="1" si="25"/>
        <v>5.015071966502628</v>
      </c>
      <c r="S154" s="19">
        <f t="shared" ca="1" si="31"/>
        <v>813.91504280631966</v>
      </c>
      <c r="T154" s="10">
        <f t="shared" ca="1" si="26"/>
        <v>0.16422601745062926</v>
      </c>
      <c r="U154" s="10">
        <f t="shared" ca="1" si="27"/>
        <v>2.7019102879655543</v>
      </c>
      <c r="V154" s="19">
        <f t="shared" ca="1" si="32"/>
        <v>816.61695309428524</v>
      </c>
      <c r="W154" s="19">
        <f t="shared" ca="1" si="28"/>
        <v>154.4500631549904</v>
      </c>
    </row>
    <row r="155" spans="12:23" x14ac:dyDescent="0.45">
      <c r="L155" s="9">
        <v>151</v>
      </c>
      <c r="M155" s="19">
        <f t="shared" ca="1" si="29"/>
        <v>667.39070833660298</v>
      </c>
      <c r="N155" s="10">
        <f t="shared" ca="1" si="22"/>
        <v>0.80965669644966931</v>
      </c>
      <c r="O155" s="10">
        <f t="shared" ca="1" si="23"/>
        <v>4.9313280104250961</v>
      </c>
      <c r="P155" s="19">
        <f t="shared" ca="1" si="30"/>
        <v>673.72138064699004</v>
      </c>
      <c r="Q155" s="10">
        <f t="shared" ca="1" si="24"/>
        <v>6.4232313787192297E-2</v>
      </c>
      <c r="R155" s="10">
        <f t="shared" ca="1" si="25"/>
        <v>4.4389725975064698</v>
      </c>
      <c r="S155" s="19">
        <f t="shared" ca="1" si="31"/>
        <v>818.35401540382611</v>
      </c>
      <c r="T155" s="10">
        <f t="shared" ca="1" si="26"/>
        <v>4.3694537055671612E-2</v>
      </c>
      <c r="U155" s="10">
        <f t="shared" ca="1" si="27"/>
        <v>2.3620547074228075</v>
      </c>
      <c r="V155" s="19">
        <f t="shared" ca="1" si="32"/>
        <v>820.71607011124888</v>
      </c>
      <c r="W155" s="19">
        <f t="shared" ca="1" si="28"/>
        <v>153.3253617746459</v>
      </c>
    </row>
    <row r="156" spans="12:23" x14ac:dyDescent="0.45">
      <c r="L156" s="9">
        <v>152</v>
      </c>
      <c r="M156" s="19">
        <f t="shared" ca="1" si="29"/>
        <v>667.97102115972291</v>
      </c>
      <c r="N156" s="10">
        <f t="shared" ca="1" si="22"/>
        <v>0.25881254606549076</v>
      </c>
      <c r="O156" s="10">
        <f t="shared" ca="1" si="23"/>
        <v>3.8811569883945038</v>
      </c>
      <c r="P156" s="19">
        <f t="shared" ca="1" si="30"/>
        <v>677.60253763538458</v>
      </c>
      <c r="Q156" s="10">
        <f t="shared" ca="1" si="24"/>
        <v>0.16971041697747313</v>
      </c>
      <c r="R156" s="10">
        <f t="shared" ca="1" si="25"/>
        <v>4.7135343375987029</v>
      </c>
      <c r="S156" s="19">
        <f t="shared" ca="1" si="31"/>
        <v>823.06754974142484</v>
      </c>
      <c r="T156" s="10">
        <f t="shared" ca="1" si="26"/>
        <v>0.83287479204067683</v>
      </c>
      <c r="U156" s="10">
        <f t="shared" ca="1" si="27"/>
        <v>3.9986253209932165</v>
      </c>
      <c r="V156" s="19">
        <f t="shared" ca="1" si="32"/>
        <v>827.0661750624181</v>
      </c>
      <c r="W156" s="19">
        <f t="shared" ca="1" si="28"/>
        <v>159.09515390269519</v>
      </c>
    </row>
    <row r="157" spans="12:23" x14ac:dyDescent="0.45">
      <c r="L157" s="9">
        <v>153</v>
      </c>
      <c r="M157" s="19">
        <f t="shared" ca="1" si="29"/>
        <v>674.2416179234126</v>
      </c>
      <c r="N157" s="10">
        <f t="shared" ca="1" si="22"/>
        <v>0.46555894515735574</v>
      </c>
      <c r="O157" s="10">
        <f t="shared" ca="1" si="23"/>
        <v>4.2092888761567746</v>
      </c>
      <c r="P157" s="19">
        <f t="shared" ca="1" si="30"/>
        <v>681.81182651154131</v>
      </c>
      <c r="Q157" s="10">
        <f t="shared" ca="1" si="24"/>
        <v>0.76479939913259043</v>
      </c>
      <c r="R157" s="10">
        <f t="shared" ca="1" si="25"/>
        <v>5.8120590901882121</v>
      </c>
      <c r="S157" s="19">
        <f t="shared" ca="1" si="31"/>
        <v>828.87960883161304</v>
      </c>
      <c r="T157" s="10">
        <f t="shared" ca="1" si="26"/>
        <v>0.72893460473896965</v>
      </c>
      <c r="U157" s="10">
        <f t="shared" ca="1" si="27"/>
        <v>3.7246991054789529</v>
      </c>
      <c r="V157" s="19">
        <f t="shared" ca="1" si="32"/>
        <v>832.60430793709202</v>
      </c>
      <c r="W157" s="19">
        <f t="shared" ca="1" si="28"/>
        <v>158.36269001367941</v>
      </c>
    </row>
    <row r="158" spans="12:23" x14ac:dyDescent="0.45">
      <c r="L158" s="9">
        <v>154</v>
      </c>
      <c r="M158" s="19">
        <f t="shared" ca="1" si="29"/>
        <v>684.84378239529622</v>
      </c>
      <c r="N158" s="10">
        <f t="shared" ca="1" si="22"/>
        <v>0.52364278405871156</v>
      </c>
      <c r="O158" s="10">
        <f t="shared" ca="1" si="23"/>
        <v>4.3093955827433401</v>
      </c>
      <c r="P158" s="19">
        <f t="shared" ca="1" si="30"/>
        <v>689.15317797803959</v>
      </c>
      <c r="Q158" s="10">
        <f t="shared" ca="1" si="24"/>
        <v>0.17163379412942281</v>
      </c>
      <c r="R158" s="10">
        <f t="shared" ca="1" si="25"/>
        <v>4.7175662912848324</v>
      </c>
      <c r="S158" s="19">
        <f t="shared" ca="1" si="31"/>
        <v>833.59717512289785</v>
      </c>
      <c r="T158" s="10">
        <f t="shared" ca="1" si="26"/>
        <v>0.66828887901866674</v>
      </c>
      <c r="U158" s="10">
        <f t="shared" ca="1" si="27"/>
        <v>3.5892318667165748</v>
      </c>
      <c r="V158" s="19">
        <f t="shared" ca="1" si="32"/>
        <v>837.1864069896144</v>
      </c>
      <c r="W158" s="19">
        <f t="shared" ca="1" si="28"/>
        <v>152.34262459431818</v>
      </c>
    </row>
    <row r="159" spans="12:23" x14ac:dyDescent="0.45">
      <c r="L159" s="9">
        <v>155</v>
      </c>
      <c r="M159" s="19">
        <f t="shared" ca="1" si="29"/>
        <v>690.08626406341239</v>
      </c>
      <c r="N159" s="10">
        <f t="shared" ca="1" si="22"/>
        <v>0.64691154466471901</v>
      </c>
      <c r="O159" s="10">
        <f t="shared" ca="1" si="23"/>
        <v>4.5444826582923561</v>
      </c>
      <c r="P159" s="19">
        <f t="shared" ca="1" si="30"/>
        <v>694.63074672170478</v>
      </c>
      <c r="Q159" s="10">
        <f t="shared" ca="1" si="24"/>
        <v>0.10380015314254887</v>
      </c>
      <c r="R159" s="10">
        <f t="shared" ca="1" si="25"/>
        <v>4.5580326687817179</v>
      </c>
      <c r="S159" s="19">
        <f t="shared" ca="1" si="31"/>
        <v>838.15520779167957</v>
      </c>
      <c r="T159" s="10">
        <f t="shared" ca="1" si="26"/>
        <v>0.80750523665535168</v>
      </c>
      <c r="U159" s="10">
        <f t="shared" ca="1" si="27"/>
        <v>3.9253053549645416</v>
      </c>
      <c r="V159" s="19">
        <f t="shared" ca="1" si="32"/>
        <v>842.08051314664408</v>
      </c>
      <c r="W159" s="19">
        <f t="shared" ca="1" si="28"/>
        <v>151.99424908323169</v>
      </c>
    </row>
    <row r="160" spans="12:23" x14ac:dyDescent="0.45">
      <c r="L160" s="9">
        <v>156</v>
      </c>
      <c r="M160" s="19">
        <f t="shared" ca="1" si="29"/>
        <v>709.02353667412717</v>
      </c>
      <c r="N160" s="10">
        <f t="shared" ca="1" si="22"/>
        <v>0.49767867120352616</v>
      </c>
      <c r="O160" s="10">
        <f t="shared" ca="1" si="23"/>
        <v>4.2639331888493341</v>
      </c>
      <c r="P160" s="19">
        <f t="shared" ca="1" si="30"/>
        <v>713.28746986297654</v>
      </c>
      <c r="Q160" s="10">
        <f t="shared" ca="1" si="24"/>
        <v>0.7616417159795783</v>
      </c>
      <c r="R160" s="10">
        <f t="shared" ca="1" si="25"/>
        <v>5.8041113328898337</v>
      </c>
      <c r="S160" s="19">
        <f t="shared" ca="1" si="31"/>
        <v>843.95931912456945</v>
      </c>
      <c r="T160" s="10">
        <f t="shared" ca="1" si="26"/>
        <v>0.74722756713790073</v>
      </c>
      <c r="U160" s="10">
        <f t="shared" ca="1" si="27"/>
        <v>3.7684828067896916</v>
      </c>
      <c r="V160" s="19">
        <f t="shared" ca="1" si="32"/>
        <v>847.72780193135918</v>
      </c>
      <c r="W160" s="19">
        <f t="shared" ca="1" si="28"/>
        <v>138.70426525723201</v>
      </c>
    </row>
    <row r="161" spans="12:23" x14ac:dyDescent="0.45">
      <c r="L161" s="9">
        <v>157</v>
      </c>
      <c r="M161" s="19">
        <f t="shared" ca="1" si="29"/>
        <v>721.28445114394265</v>
      </c>
      <c r="N161" s="10">
        <f t="shared" ca="1" si="22"/>
        <v>0.47747834665609468</v>
      </c>
      <c r="O161" s="10">
        <f t="shared" ca="1" si="23"/>
        <v>4.2293701911287522</v>
      </c>
      <c r="P161" s="19">
        <f t="shared" ca="1" si="30"/>
        <v>725.51382133507138</v>
      </c>
      <c r="Q161" s="10">
        <f t="shared" ca="1" si="24"/>
        <v>7.0091429097863145E-2</v>
      </c>
      <c r="R161" s="10">
        <f t="shared" ca="1" si="25"/>
        <v>4.4585567438099556</v>
      </c>
      <c r="S161" s="19">
        <f t="shared" ca="1" si="31"/>
        <v>848.41787586837938</v>
      </c>
      <c r="T161" s="10">
        <f t="shared" ca="1" si="26"/>
        <v>0.76532761467049348</v>
      </c>
      <c r="U161" s="10">
        <f t="shared" ca="1" si="27"/>
        <v>3.8133937839464016</v>
      </c>
      <c r="V161" s="19">
        <f t="shared" ca="1" si="32"/>
        <v>852.23126965232575</v>
      </c>
      <c r="W161" s="19">
        <f t="shared" ca="1" si="28"/>
        <v>130.9468185083831</v>
      </c>
    </row>
    <row r="162" spans="12:23" x14ac:dyDescent="0.45">
      <c r="L162" s="9">
        <v>158</v>
      </c>
      <c r="M162" s="19">
        <f t="shared" ca="1" si="29"/>
        <v>721.76960620045543</v>
      </c>
      <c r="N162" s="10">
        <f t="shared" ca="1" si="22"/>
        <v>0.43837326121329812</v>
      </c>
      <c r="O162" s="10">
        <f t="shared" ca="1" si="23"/>
        <v>4.1643092763975158</v>
      </c>
      <c r="P162" s="19">
        <f t="shared" ca="1" si="30"/>
        <v>729.67813061146887</v>
      </c>
      <c r="Q162" s="10">
        <f t="shared" ca="1" si="24"/>
        <v>0.75516935823268616</v>
      </c>
      <c r="R162" s="10">
        <f t="shared" ca="1" si="25"/>
        <v>5.7879835600933944</v>
      </c>
      <c r="S162" s="19">
        <f t="shared" ca="1" si="31"/>
        <v>854.20585942847276</v>
      </c>
      <c r="T162" s="10">
        <f t="shared" ca="1" si="26"/>
        <v>7.8525735533337082E-2</v>
      </c>
      <c r="U162" s="10">
        <f t="shared" ca="1" si="27"/>
        <v>2.4853629637704255</v>
      </c>
      <c r="V162" s="19">
        <f t="shared" ca="1" si="32"/>
        <v>856.69122239224316</v>
      </c>
      <c r="W162" s="19">
        <f t="shared" ca="1" si="28"/>
        <v>134.92161619178773</v>
      </c>
    </row>
    <row r="163" spans="12:23" x14ac:dyDescent="0.45">
      <c r="L163" s="9">
        <v>159</v>
      </c>
      <c r="M163" s="19">
        <f t="shared" ca="1" si="29"/>
        <v>725.57329243615129</v>
      </c>
      <c r="N163" s="10">
        <f t="shared" ca="1" si="22"/>
        <v>0.59803221355874125</v>
      </c>
      <c r="O163" s="10">
        <f t="shared" ca="1" si="23"/>
        <v>4.4470007344987081</v>
      </c>
      <c r="P163" s="19">
        <f t="shared" ca="1" si="30"/>
        <v>734.12513134596759</v>
      </c>
      <c r="Q163" s="10">
        <f t="shared" ca="1" si="24"/>
        <v>0.53036420975430609</v>
      </c>
      <c r="R163" s="10">
        <f t="shared" ca="1" si="25"/>
        <v>5.3213652149814834</v>
      </c>
      <c r="S163" s="19">
        <f t="shared" ca="1" si="31"/>
        <v>859.52722464345425</v>
      </c>
      <c r="T163" s="10">
        <f t="shared" ca="1" si="26"/>
        <v>0.73215384732587652</v>
      </c>
      <c r="U163" s="10">
        <f t="shared" ca="1" si="27"/>
        <v>3.7322946256938323</v>
      </c>
      <c r="V163" s="19">
        <f t="shared" ca="1" si="32"/>
        <v>863.25951926914809</v>
      </c>
      <c r="W163" s="19">
        <f t="shared" ca="1" si="28"/>
        <v>137.68622683299679</v>
      </c>
    </row>
    <row r="164" spans="12:23" x14ac:dyDescent="0.45">
      <c r="L164" s="9">
        <v>160</v>
      </c>
      <c r="M164" s="19">
        <f t="shared" ca="1" si="29"/>
        <v>730.50772015298332</v>
      </c>
      <c r="N164" s="10">
        <f t="shared" ca="1" si="22"/>
        <v>0.3841516769609753</v>
      </c>
      <c r="O164" s="10">
        <f t="shared" ca="1" si="23"/>
        <v>4.0777383273252967</v>
      </c>
      <c r="P164" s="19">
        <f t="shared" ca="1" si="30"/>
        <v>738.20286967329287</v>
      </c>
      <c r="Q164" s="10">
        <f t="shared" ca="1" si="24"/>
        <v>7.2953730054369892E-2</v>
      </c>
      <c r="R164" s="10">
        <f t="shared" ca="1" si="25"/>
        <v>4.4678260255299076</v>
      </c>
      <c r="S164" s="19">
        <f t="shared" ca="1" si="31"/>
        <v>863.99505066898416</v>
      </c>
      <c r="T164" s="10">
        <f t="shared" ca="1" si="26"/>
        <v>0.34156020814522337</v>
      </c>
      <c r="U164" s="10">
        <f t="shared" ca="1" si="27"/>
        <v>3.0123786197747169</v>
      </c>
      <c r="V164" s="19">
        <f t="shared" ca="1" si="32"/>
        <v>867.00742928875889</v>
      </c>
      <c r="W164" s="19">
        <f t="shared" ca="1" si="28"/>
        <v>136.49970913577556</v>
      </c>
    </row>
    <row r="165" spans="12:23" x14ac:dyDescent="0.45">
      <c r="L165" s="9">
        <v>161</v>
      </c>
      <c r="M165" s="19">
        <f t="shared" ca="1" si="29"/>
        <v>730.55786127559657</v>
      </c>
      <c r="N165" s="10">
        <f t="shared" ca="1" si="22"/>
        <v>0.55894575819176173</v>
      </c>
      <c r="O165" s="10">
        <f t="shared" ca="1" si="23"/>
        <v>4.3732469607068722</v>
      </c>
      <c r="P165" s="19">
        <f t="shared" ca="1" si="30"/>
        <v>742.57611663399973</v>
      </c>
      <c r="Q165" s="10">
        <f t="shared" ca="1" si="24"/>
        <v>0.17873819927981949</v>
      </c>
      <c r="R165" s="10">
        <f t="shared" ca="1" si="25"/>
        <v>4.7322667531982168</v>
      </c>
      <c r="S165" s="19">
        <f t="shared" ca="1" si="31"/>
        <v>868.72731742218241</v>
      </c>
      <c r="T165" s="10">
        <f t="shared" ca="1" si="26"/>
        <v>0.3914041396328235</v>
      </c>
      <c r="U165" s="10">
        <f t="shared" ca="1" si="27"/>
        <v>3.0890904882221504</v>
      </c>
      <c r="V165" s="19">
        <f t="shared" ca="1" si="32"/>
        <v>871.81640791040456</v>
      </c>
      <c r="W165" s="19">
        <f t="shared" ca="1" si="28"/>
        <v>141.258546634808</v>
      </c>
    </row>
    <row r="166" spans="12:23" x14ac:dyDescent="0.45">
      <c r="L166" s="9">
        <v>162</v>
      </c>
      <c r="M166" s="19">
        <f t="shared" ca="1" si="29"/>
        <v>730.96331179779111</v>
      </c>
      <c r="N166" s="10">
        <f t="shared" ca="1" si="22"/>
        <v>0.87821276594093722</v>
      </c>
      <c r="O166" s="10">
        <f t="shared" ca="1" si="23"/>
        <v>5.1451763899175589</v>
      </c>
      <c r="P166" s="19">
        <f t="shared" ca="1" si="30"/>
        <v>747.72129302391727</v>
      </c>
      <c r="Q166" s="10">
        <f t="shared" ca="1" si="24"/>
        <v>0.88949886241014242</v>
      </c>
      <c r="R166" s="10">
        <f t="shared" ca="1" si="25"/>
        <v>6.1857476892638585</v>
      </c>
      <c r="S166" s="19">
        <f t="shared" ca="1" si="31"/>
        <v>874.91306511144626</v>
      </c>
      <c r="T166" s="10">
        <f t="shared" ca="1" si="26"/>
        <v>0.48564002580106025</v>
      </c>
      <c r="U166" s="10">
        <f t="shared" ca="1" si="27"/>
        <v>3.2432530503246522</v>
      </c>
      <c r="V166" s="19">
        <f t="shared" ca="1" si="32"/>
        <v>878.15631816177086</v>
      </c>
      <c r="W166" s="19">
        <f t="shared" ca="1" si="28"/>
        <v>147.19300636397975</v>
      </c>
    </row>
    <row r="167" spans="12:23" x14ac:dyDescent="0.45">
      <c r="L167" s="9">
        <v>163</v>
      </c>
      <c r="M167" s="19">
        <f t="shared" ca="1" si="29"/>
        <v>731.50290350733712</v>
      </c>
      <c r="N167" s="10">
        <f t="shared" ca="1" si="22"/>
        <v>0.44420330726501933</v>
      </c>
      <c r="O167" s="10">
        <f t="shared" ca="1" si="23"/>
        <v>4.1738619558177197</v>
      </c>
      <c r="P167" s="19">
        <f t="shared" ca="1" si="30"/>
        <v>751.89515497973503</v>
      </c>
      <c r="Q167" s="10">
        <f t="shared" ca="1" si="24"/>
        <v>0.95274002330646446</v>
      </c>
      <c r="R167" s="10">
        <f t="shared" ca="1" si="25"/>
        <v>6.4674966101880536</v>
      </c>
      <c r="S167" s="19">
        <f t="shared" ca="1" si="31"/>
        <v>881.38056172163431</v>
      </c>
      <c r="T167" s="10">
        <f t="shared" ca="1" si="26"/>
        <v>0.90131440327348855</v>
      </c>
      <c r="U167" s="10">
        <f t="shared" ca="1" si="27"/>
        <v>4.2305108315518218</v>
      </c>
      <c r="V167" s="19">
        <f t="shared" ca="1" si="32"/>
        <v>885.61107255318609</v>
      </c>
      <c r="W167" s="19">
        <f t="shared" ca="1" si="28"/>
        <v>154.10816904584897</v>
      </c>
    </row>
    <row r="168" spans="12:23" x14ac:dyDescent="0.45">
      <c r="L168" s="9">
        <v>164</v>
      </c>
      <c r="M168" s="19">
        <f t="shared" ca="1" si="29"/>
        <v>733.94024818829178</v>
      </c>
      <c r="N168" s="10">
        <f t="shared" ca="1" si="22"/>
        <v>0.95468530960192544</v>
      </c>
      <c r="O168" s="10">
        <f t="shared" ca="1" si="23"/>
        <v>5.4785710572010338</v>
      </c>
      <c r="P168" s="19">
        <f t="shared" ca="1" si="30"/>
        <v>757.37372603693609</v>
      </c>
      <c r="Q168" s="10">
        <f t="shared" ca="1" si="24"/>
        <v>0.79485209934789947</v>
      </c>
      <c r="R168" s="10">
        <f t="shared" ca="1" si="25"/>
        <v>5.8905463489119505</v>
      </c>
      <c r="S168" s="19">
        <f t="shared" ca="1" si="31"/>
        <v>887.27110807054623</v>
      </c>
      <c r="T168" s="10">
        <f t="shared" ca="1" si="26"/>
        <v>0.92946154682033755</v>
      </c>
      <c r="U168" s="10">
        <f t="shared" ca="1" si="27"/>
        <v>4.3494381512277451</v>
      </c>
      <c r="V168" s="19">
        <f t="shared" ca="1" si="32"/>
        <v>891.62054622177402</v>
      </c>
      <c r="W168" s="19">
        <f t="shared" ca="1" si="28"/>
        <v>157.68029803348225</v>
      </c>
    </row>
    <row r="169" spans="12:23" x14ac:dyDescent="0.45">
      <c r="L169" s="9">
        <v>165</v>
      </c>
      <c r="M169" s="19">
        <f t="shared" ca="1" si="29"/>
        <v>741.32911592208075</v>
      </c>
      <c r="N169" s="10">
        <f t="shared" ca="1" si="22"/>
        <v>0.89535471857013138</v>
      </c>
      <c r="O169" s="10">
        <f t="shared" ca="1" si="23"/>
        <v>5.2076164510925205</v>
      </c>
      <c r="P169" s="19">
        <f t="shared" ca="1" si="30"/>
        <v>762.58134248802867</v>
      </c>
      <c r="Q169" s="10">
        <f t="shared" ca="1" si="24"/>
        <v>0.35213583826338302</v>
      </c>
      <c r="R169" s="10">
        <f t="shared" ca="1" si="25"/>
        <v>5.0284054751496949</v>
      </c>
      <c r="S169" s="19">
        <f t="shared" ca="1" si="31"/>
        <v>892.29951354569596</v>
      </c>
      <c r="T169" s="10">
        <f t="shared" ca="1" si="26"/>
        <v>0.33605595514425313</v>
      </c>
      <c r="U169" s="10">
        <f t="shared" ca="1" si="27"/>
        <v>3.0040881108790196</v>
      </c>
      <c r="V169" s="19">
        <f t="shared" ca="1" si="32"/>
        <v>895.30360165657498</v>
      </c>
      <c r="W169" s="19">
        <f t="shared" ca="1" si="28"/>
        <v>153.97448573449424</v>
      </c>
    </row>
    <row r="170" spans="12:23" x14ac:dyDescent="0.45">
      <c r="L170" s="9">
        <v>166</v>
      </c>
      <c r="M170" s="19">
        <f t="shared" ca="1" si="29"/>
        <v>743.89568177173157</v>
      </c>
      <c r="N170" s="10">
        <f t="shared" ca="1" si="22"/>
        <v>0.66185772296375656</v>
      </c>
      <c r="O170" s="10">
        <f t="shared" ca="1" si="23"/>
        <v>4.5756216576283322</v>
      </c>
      <c r="P170" s="19">
        <f t="shared" ca="1" si="30"/>
        <v>767.15696414565696</v>
      </c>
      <c r="Q170" s="10">
        <f t="shared" ca="1" si="24"/>
        <v>0.41128548046759617</v>
      </c>
      <c r="R170" s="10">
        <f t="shared" ca="1" si="25"/>
        <v>5.1205620209236953</v>
      </c>
      <c r="S170" s="19">
        <f t="shared" ca="1" si="31"/>
        <v>897.42007556661963</v>
      </c>
      <c r="T170" s="10">
        <f t="shared" ca="1" si="26"/>
        <v>0.79669357156571408</v>
      </c>
      <c r="U170" s="10">
        <f t="shared" ca="1" si="27"/>
        <v>3.8955369763519849</v>
      </c>
      <c r="V170" s="19">
        <f t="shared" ca="1" si="32"/>
        <v>901.31561254297162</v>
      </c>
      <c r="W170" s="19">
        <f t="shared" ca="1" si="28"/>
        <v>157.41993077124005</v>
      </c>
    </row>
    <row r="171" spans="12:23" x14ac:dyDescent="0.45">
      <c r="L171" s="9">
        <v>167</v>
      </c>
      <c r="M171" s="19">
        <f t="shared" ca="1" si="29"/>
        <v>744.43297944739993</v>
      </c>
      <c r="N171" s="10">
        <f t="shared" ca="1" si="22"/>
        <v>0.99315512390277139</v>
      </c>
      <c r="O171" s="10">
        <f t="shared" ca="1" si="23"/>
        <v>5.7973444879028166</v>
      </c>
      <c r="P171" s="19">
        <f t="shared" ca="1" si="30"/>
        <v>772.95430863355978</v>
      </c>
      <c r="Q171" s="10">
        <f t="shared" ca="1" si="24"/>
        <v>0.25660302597658324</v>
      </c>
      <c r="R171" s="10">
        <f t="shared" ca="1" si="25"/>
        <v>4.8773876440489401</v>
      </c>
      <c r="S171" s="19">
        <f t="shared" ca="1" si="31"/>
        <v>902.29746321066852</v>
      </c>
      <c r="T171" s="10">
        <f t="shared" ca="1" si="26"/>
        <v>0.59436049294311655</v>
      </c>
      <c r="U171" s="10">
        <f t="shared" ca="1" si="27"/>
        <v>3.4399240267405879</v>
      </c>
      <c r="V171" s="19">
        <f t="shared" ca="1" si="32"/>
        <v>905.73738723740917</v>
      </c>
      <c r="W171" s="19">
        <f t="shared" ca="1" si="28"/>
        <v>161.30440779000924</v>
      </c>
    </row>
    <row r="172" spans="12:23" x14ac:dyDescent="0.45">
      <c r="L172" s="9">
        <v>168</v>
      </c>
      <c r="M172" s="19">
        <f t="shared" ca="1" si="29"/>
        <v>747.23653297959402</v>
      </c>
      <c r="N172" s="10">
        <f t="shared" ca="1" si="22"/>
        <v>0.11093689923475691</v>
      </c>
      <c r="O172" s="10">
        <f t="shared" ca="1" si="23"/>
        <v>3.5768974759038823</v>
      </c>
      <c r="P172" s="19">
        <f t="shared" ca="1" si="30"/>
        <v>776.53120610946371</v>
      </c>
      <c r="Q172" s="10">
        <f t="shared" ca="1" si="24"/>
        <v>0.93417508125176152</v>
      </c>
      <c r="R172" s="10">
        <f t="shared" ca="1" si="25"/>
        <v>6.371549912491508</v>
      </c>
      <c r="S172" s="19">
        <f t="shared" ca="1" si="31"/>
        <v>908.66901312316008</v>
      </c>
      <c r="T172" s="10">
        <f t="shared" ca="1" si="26"/>
        <v>0.90540252347807548</v>
      </c>
      <c r="U172" s="10">
        <f t="shared" ca="1" si="27"/>
        <v>4.2466177204555793</v>
      </c>
      <c r="V172" s="19">
        <f t="shared" ca="1" si="32"/>
        <v>912.91563084361565</v>
      </c>
      <c r="W172" s="19">
        <f t="shared" ca="1" si="28"/>
        <v>165.67909786402163</v>
      </c>
    </row>
    <row r="173" spans="12:23" x14ac:dyDescent="0.45">
      <c r="L173" s="9">
        <v>169</v>
      </c>
      <c r="M173" s="19">
        <f t="shared" ca="1" si="29"/>
        <v>748.41816608134877</v>
      </c>
      <c r="N173" s="10">
        <f t="shared" ca="1" si="22"/>
        <v>0.7321806190236998</v>
      </c>
      <c r="O173" s="10">
        <f t="shared" ca="1" si="23"/>
        <v>4.7323579819768513</v>
      </c>
      <c r="P173" s="19">
        <f t="shared" ca="1" si="30"/>
        <v>781.26356409144057</v>
      </c>
      <c r="Q173" s="10">
        <f t="shared" ca="1" si="24"/>
        <v>0.77620515771689436</v>
      </c>
      <c r="R173" s="10">
        <f t="shared" ca="1" si="25"/>
        <v>5.8412208779501444</v>
      </c>
      <c r="S173" s="19">
        <f t="shared" ca="1" si="31"/>
        <v>914.51023400111023</v>
      </c>
      <c r="T173" s="10">
        <f t="shared" ca="1" si="26"/>
        <v>0.68154549754961113</v>
      </c>
      <c r="U173" s="10">
        <f t="shared" ca="1" si="27"/>
        <v>3.6177095042277356</v>
      </c>
      <c r="V173" s="19">
        <f t="shared" ca="1" si="32"/>
        <v>918.12794350533795</v>
      </c>
      <c r="W173" s="19">
        <f t="shared" ca="1" si="28"/>
        <v>169.70977742398918</v>
      </c>
    </row>
    <row r="174" spans="12:23" x14ac:dyDescent="0.45">
      <c r="L174" s="9">
        <v>170</v>
      </c>
      <c r="M174" s="19">
        <f t="shared" ca="1" si="29"/>
        <v>750.78358335882774</v>
      </c>
      <c r="N174" s="10">
        <f t="shared" ca="1" si="22"/>
        <v>0.41311028307850817</v>
      </c>
      <c r="O174" s="10">
        <f t="shared" ca="1" si="23"/>
        <v>4.1234770714086784</v>
      </c>
      <c r="P174" s="19">
        <f t="shared" ca="1" si="30"/>
        <v>785.3870411628493</v>
      </c>
      <c r="Q174" s="10">
        <f t="shared" ca="1" si="24"/>
        <v>0.25896772331997364</v>
      </c>
      <c r="R174" s="10">
        <f t="shared" ca="1" si="25"/>
        <v>4.8814211081883174</v>
      </c>
      <c r="S174" s="19">
        <f t="shared" ca="1" si="31"/>
        <v>919.39165510929854</v>
      </c>
      <c r="T174" s="10">
        <f t="shared" ca="1" si="26"/>
        <v>6.4766359647027039E-2</v>
      </c>
      <c r="U174" s="10">
        <f t="shared" ca="1" si="27"/>
        <v>2.4407936920386692</v>
      </c>
      <c r="V174" s="19">
        <f t="shared" ca="1" si="32"/>
        <v>921.83244880133725</v>
      </c>
      <c r="W174" s="19">
        <f t="shared" ca="1" si="28"/>
        <v>171.04886544250951</v>
      </c>
    </row>
    <row r="175" spans="12:23" x14ac:dyDescent="0.45">
      <c r="L175" s="9">
        <v>171</v>
      </c>
      <c r="M175" s="19">
        <f t="shared" ca="1" si="29"/>
        <v>752.517368576085</v>
      </c>
      <c r="N175" s="10">
        <f t="shared" ca="1" si="22"/>
        <v>6.1894337518022091E-2</v>
      </c>
      <c r="O175" s="10">
        <f t="shared" ca="1" si="23"/>
        <v>3.4309095178271956</v>
      </c>
      <c r="P175" s="19">
        <f t="shared" ca="1" si="30"/>
        <v>788.81795068067652</v>
      </c>
      <c r="Q175" s="10">
        <f t="shared" ca="1" si="24"/>
        <v>0.18823982112924542</v>
      </c>
      <c r="R175" s="10">
        <f t="shared" ca="1" si="25"/>
        <v>4.7514781855701047</v>
      </c>
      <c r="S175" s="19">
        <f t="shared" ca="1" si="31"/>
        <v>924.14313329486868</v>
      </c>
      <c r="T175" s="10">
        <f t="shared" ca="1" si="26"/>
        <v>0.71395764693322317</v>
      </c>
      <c r="U175" s="10">
        <f t="shared" ca="1" si="27"/>
        <v>3.6899411775035973</v>
      </c>
      <c r="V175" s="19">
        <f t="shared" ca="1" si="32"/>
        <v>927.83307447237223</v>
      </c>
      <c r="W175" s="19">
        <f t="shared" ca="1" si="28"/>
        <v>175.31570589628723</v>
      </c>
    </row>
    <row r="176" spans="12:23" x14ac:dyDescent="0.45">
      <c r="L176" s="9">
        <v>172</v>
      </c>
      <c r="M176" s="19">
        <f t="shared" ca="1" si="29"/>
        <v>758.11204772896292</v>
      </c>
      <c r="N176" s="10">
        <f t="shared" ca="1" si="22"/>
        <v>7.1802972535662479E-2</v>
      </c>
      <c r="O176" s="10">
        <f t="shared" ca="1" si="23"/>
        <v>3.4641216625056273</v>
      </c>
      <c r="P176" s="19">
        <f t="shared" ca="1" si="30"/>
        <v>792.28207234318211</v>
      </c>
      <c r="Q176" s="10">
        <f t="shared" ca="1" si="24"/>
        <v>0.70131412684546102</v>
      </c>
      <c r="R176" s="10">
        <f t="shared" ca="1" si="25"/>
        <v>5.6613009154678435</v>
      </c>
      <c r="S176" s="19">
        <f t="shared" ca="1" si="31"/>
        <v>929.80443421033647</v>
      </c>
      <c r="T176" s="10">
        <f t="shared" ca="1" si="26"/>
        <v>1.3718984676057033E-2</v>
      </c>
      <c r="U176" s="10">
        <f t="shared" ca="1" si="27"/>
        <v>2.2028717674497145</v>
      </c>
      <c r="V176" s="19">
        <f t="shared" ca="1" si="32"/>
        <v>932.00730597778613</v>
      </c>
      <c r="W176" s="19">
        <f t="shared" ca="1" si="28"/>
        <v>173.89525824882321</v>
      </c>
    </row>
    <row r="177" spans="12:23" x14ac:dyDescent="0.45">
      <c r="L177" s="9">
        <v>173</v>
      </c>
      <c r="M177" s="19">
        <f t="shared" ca="1" si="29"/>
        <v>760.71950499171408</v>
      </c>
      <c r="N177" s="10">
        <f t="shared" ca="1" si="22"/>
        <v>0.58955287606172235</v>
      </c>
      <c r="O177" s="10">
        <f t="shared" ca="1" si="23"/>
        <v>4.4307062914706927</v>
      </c>
      <c r="P177" s="19">
        <f t="shared" ca="1" si="30"/>
        <v>796.71277863465275</v>
      </c>
      <c r="Q177" s="10">
        <f t="shared" ca="1" si="24"/>
        <v>0.42532942524538575</v>
      </c>
      <c r="R177" s="10">
        <f t="shared" ca="1" si="25"/>
        <v>5.1431145838992425</v>
      </c>
      <c r="S177" s="19">
        <f t="shared" ca="1" si="31"/>
        <v>934.94754879423567</v>
      </c>
      <c r="T177" s="10">
        <f t="shared" ca="1" si="26"/>
        <v>9.1432658344684947E-2</v>
      </c>
      <c r="U177" s="10">
        <f t="shared" ca="1" si="27"/>
        <v>2.5237346418121058</v>
      </c>
      <c r="V177" s="19">
        <f t="shared" ca="1" si="32"/>
        <v>937.47128343604777</v>
      </c>
      <c r="W177" s="19">
        <f t="shared" ca="1" si="28"/>
        <v>176.7517784443337</v>
      </c>
    </row>
    <row r="178" spans="12:23" x14ac:dyDescent="0.45">
      <c r="L178" s="9">
        <v>174</v>
      </c>
      <c r="M178" s="19">
        <f t="shared" ca="1" si="29"/>
        <v>768.92679708828371</v>
      </c>
      <c r="N178" s="10">
        <f t="shared" ca="1" si="22"/>
        <v>0.53102434349671912</v>
      </c>
      <c r="O178" s="10">
        <f t="shared" ca="1" si="23"/>
        <v>4.3225453988200799</v>
      </c>
      <c r="P178" s="19">
        <f t="shared" ca="1" si="30"/>
        <v>801.03532403347288</v>
      </c>
      <c r="Q178" s="10">
        <f t="shared" ca="1" si="24"/>
        <v>0.9843219950967721</v>
      </c>
      <c r="R178" s="10">
        <f t="shared" ca="1" si="25"/>
        <v>6.6932948819804805</v>
      </c>
      <c r="S178" s="19">
        <f t="shared" ca="1" si="31"/>
        <v>941.64084367621615</v>
      </c>
      <c r="T178" s="10">
        <f t="shared" ca="1" si="26"/>
        <v>0.57806262698595035</v>
      </c>
      <c r="U178" s="10">
        <f t="shared" ca="1" si="27"/>
        <v>3.4088921349938914</v>
      </c>
      <c r="V178" s="19">
        <f t="shared" ca="1" si="32"/>
        <v>945.04973581120998</v>
      </c>
      <c r="W178" s="19">
        <f t="shared" ca="1" si="28"/>
        <v>176.12293872292628</v>
      </c>
    </row>
    <row r="179" spans="12:23" x14ac:dyDescent="0.45">
      <c r="L179" s="9">
        <v>175</v>
      </c>
      <c r="M179" s="19">
        <f t="shared" ca="1" si="29"/>
        <v>771.17757164624345</v>
      </c>
      <c r="N179" s="10">
        <f t="shared" ca="1" si="22"/>
        <v>0.24531182090639991</v>
      </c>
      <c r="O179" s="10">
        <f t="shared" ca="1" si="23"/>
        <v>3.8578668094285966</v>
      </c>
      <c r="P179" s="19">
        <f t="shared" ca="1" si="30"/>
        <v>804.8931908429015</v>
      </c>
      <c r="Q179" s="10">
        <f t="shared" ca="1" si="24"/>
        <v>0.52842051373409726</v>
      </c>
      <c r="R179" s="10">
        <f t="shared" ca="1" si="25"/>
        <v>5.3178950931658822</v>
      </c>
      <c r="S179" s="19">
        <f t="shared" ca="1" si="31"/>
        <v>946.95873876938208</v>
      </c>
      <c r="T179" s="10">
        <f t="shared" ca="1" si="26"/>
        <v>0.83711015888490448</v>
      </c>
      <c r="U179" s="10">
        <f t="shared" ca="1" si="27"/>
        <v>4.0113954042739977</v>
      </c>
      <c r="V179" s="19">
        <f t="shared" ca="1" si="32"/>
        <v>950.97013417365611</v>
      </c>
      <c r="W179" s="19">
        <f t="shared" ca="1" si="28"/>
        <v>179.79256252741266</v>
      </c>
    </row>
    <row r="180" spans="12:23" x14ac:dyDescent="0.45">
      <c r="L180" s="9">
        <v>176</v>
      </c>
      <c r="M180" s="19">
        <f t="shared" ca="1" si="29"/>
        <v>771.8520068633859</v>
      </c>
      <c r="N180" s="10">
        <f t="shared" ca="1" si="22"/>
        <v>0.63014419917236464</v>
      </c>
      <c r="O180" s="10">
        <f t="shared" ca="1" si="23"/>
        <v>4.5103239261618615</v>
      </c>
      <c r="P180" s="19">
        <f t="shared" ca="1" si="30"/>
        <v>809.40351476906335</v>
      </c>
      <c r="Q180" s="10">
        <f t="shared" ca="1" si="24"/>
        <v>0.29425023962503249</v>
      </c>
      <c r="R180" s="10">
        <f t="shared" ca="1" si="25"/>
        <v>4.9395481461187059</v>
      </c>
      <c r="S180" s="19">
        <f t="shared" ca="1" si="31"/>
        <v>951.89828691550076</v>
      </c>
      <c r="T180" s="10">
        <f t="shared" ca="1" si="26"/>
        <v>0.5782568279230067</v>
      </c>
      <c r="U180" s="10">
        <f t="shared" ca="1" si="27"/>
        <v>3.4092583388676969</v>
      </c>
      <c r="V180" s="19">
        <f t="shared" ca="1" si="32"/>
        <v>955.30754525436851</v>
      </c>
      <c r="W180" s="19">
        <f t="shared" ca="1" si="28"/>
        <v>183.45553839098261</v>
      </c>
    </row>
    <row r="181" spans="12:23" x14ac:dyDescent="0.45">
      <c r="L181" s="9">
        <v>177</v>
      </c>
      <c r="M181" s="19">
        <f t="shared" ca="1" si="29"/>
        <v>773.17693025181768</v>
      </c>
      <c r="N181" s="10">
        <f t="shared" ca="1" si="22"/>
        <v>0.12337099926200523</v>
      </c>
      <c r="O181" s="10">
        <f t="shared" ca="1" si="23"/>
        <v>3.6083691295471985</v>
      </c>
      <c r="P181" s="19">
        <f t="shared" ca="1" si="30"/>
        <v>813.01188389861056</v>
      </c>
      <c r="Q181" s="10">
        <f t="shared" ca="1" si="24"/>
        <v>0.36995502198055896</v>
      </c>
      <c r="R181" s="10">
        <f t="shared" ca="1" si="25"/>
        <v>5.0557083891255807</v>
      </c>
      <c r="S181" s="19">
        <f t="shared" ca="1" si="31"/>
        <v>956.95399530462635</v>
      </c>
      <c r="T181" s="10">
        <f t="shared" ca="1" si="26"/>
        <v>0.18542389161539152</v>
      </c>
      <c r="U181" s="10">
        <f t="shared" ca="1" si="27"/>
        <v>2.7458362252171549</v>
      </c>
      <c r="V181" s="19">
        <f t="shared" ca="1" si="32"/>
        <v>959.69983152984355</v>
      </c>
      <c r="W181" s="19">
        <f t="shared" ca="1" si="28"/>
        <v>186.52290127802587</v>
      </c>
    </row>
    <row r="182" spans="12:23" x14ac:dyDescent="0.45">
      <c r="L182" s="9">
        <v>178</v>
      </c>
      <c r="M182" s="19">
        <f t="shared" ca="1" si="29"/>
        <v>781.53231510449689</v>
      </c>
      <c r="N182" s="10">
        <f t="shared" ca="1" si="22"/>
        <v>0.7436624849027732</v>
      </c>
      <c r="O182" s="10">
        <f t="shared" ca="1" si="23"/>
        <v>4.7598286043520597</v>
      </c>
      <c r="P182" s="19">
        <f t="shared" ca="1" si="30"/>
        <v>817.7717125029626</v>
      </c>
      <c r="Q182" s="10">
        <f t="shared" ca="1" si="24"/>
        <v>0.37353720333054008</v>
      </c>
      <c r="R182" s="10">
        <f t="shared" ca="1" si="25"/>
        <v>5.0612434964604862</v>
      </c>
      <c r="S182" s="19">
        <f t="shared" ca="1" si="31"/>
        <v>962.01523880108687</v>
      </c>
      <c r="T182" s="10">
        <f t="shared" ca="1" si="26"/>
        <v>0.85617360177089852</v>
      </c>
      <c r="U182" s="10">
        <f t="shared" ca="1" si="27"/>
        <v>4.0710444631874951</v>
      </c>
      <c r="V182" s="19">
        <f t="shared" ca="1" si="32"/>
        <v>966.08628326427436</v>
      </c>
      <c r="W182" s="19">
        <f t="shared" ca="1" si="28"/>
        <v>184.55396815977747</v>
      </c>
    </row>
    <row r="183" spans="12:23" x14ac:dyDescent="0.45">
      <c r="L183" s="9">
        <v>179</v>
      </c>
      <c r="M183" s="19">
        <f t="shared" ca="1" si="29"/>
        <v>785.47256679500003</v>
      </c>
      <c r="N183" s="10">
        <f t="shared" ca="1" si="22"/>
        <v>0.35900043179237084</v>
      </c>
      <c r="O183" s="10">
        <f t="shared" ca="1" si="23"/>
        <v>4.0388785327660663</v>
      </c>
      <c r="P183" s="19">
        <f t="shared" ca="1" si="30"/>
        <v>821.81059103572863</v>
      </c>
      <c r="Q183" s="10">
        <f t="shared" ca="1" si="24"/>
        <v>0.15467944196376993</v>
      </c>
      <c r="R183" s="10">
        <f t="shared" ca="1" si="25"/>
        <v>4.6812035862290431</v>
      </c>
      <c r="S183" s="19">
        <f t="shared" ca="1" si="31"/>
        <v>966.69644238731587</v>
      </c>
      <c r="T183" s="10">
        <f t="shared" ca="1" si="26"/>
        <v>0.16644244814079756</v>
      </c>
      <c r="U183" s="10">
        <f t="shared" ca="1" si="27"/>
        <v>2.7066309817878018</v>
      </c>
      <c r="V183" s="19">
        <f t="shared" ca="1" si="32"/>
        <v>969.40307336910371</v>
      </c>
      <c r="W183" s="19">
        <f t="shared" ca="1" si="28"/>
        <v>183.93050657410367</v>
      </c>
    </row>
    <row r="184" spans="12:23" x14ac:dyDescent="0.45">
      <c r="L184" s="9">
        <v>180</v>
      </c>
      <c r="M184" s="19">
        <f t="shared" ca="1" si="29"/>
        <v>791.35486262240875</v>
      </c>
      <c r="N184" s="10">
        <f t="shared" ca="1" si="22"/>
        <v>7.241419373785507E-2</v>
      </c>
      <c r="O184" s="10">
        <f t="shared" ca="1" si="23"/>
        <v>3.466092889039905</v>
      </c>
      <c r="P184" s="19">
        <f t="shared" ca="1" si="30"/>
        <v>825.27668392476858</v>
      </c>
      <c r="Q184" s="10">
        <f t="shared" ca="1" si="24"/>
        <v>0.7547249476186938</v>
      </c>
      <c r="R184" s="10">
        <f t="shared" ca="1" si="25"/>
        <v>5.7868840474679111</v>
      </c>
      <c r="S184" s="19">
        <f t="shared" ca="1" si="31"/>
        <v>972.48332643478375</v>
      </c>
      <c r="T184" s="10">
        <f t="shared" ca="1" si="26"/>
        <v>0.64416680314280894</v>
      </c>
      <c r="U184" s="10">
        <f t="shared" ca="1" si="27"/>
        <v>3.5388363605868278</v>
      </c>
      <c r="V184" s="19">
        <f t="shared" ca="1" si="32"/>
        <v>976.0221627953706</v>
      </c>
      <c r="W184" s="19">
        <f t="shared" ca="1" si="28"/>
        <v>184.66730017296186</v>
      </c>
    </row>
    <row r="185" spans="12:23" x14ac:dyDescent="0.45">
      <c r="L185" s="9">
        <v>181</v>
      </c>
      <c r="M185" s="19">
        <f t="shared" ca="1" si="29"/>
        <v>797.99739257298756</v>
      </c>
      <c r="N185" s="10">
        <f t="shared" ca="1" si="22"/>
        <v>0.32043102750195673</v>
      </c>
      <c r="O185" s="10">
        <f t="shared" ca="1" si="23"/>
        <v>3.980455548459934</v>
      </c>
      <c r="P185" s="19">
        <f t="shared" ca="1" si="30"/>
        <v>829.25713947322856</v>
      </c>
      <c r="Q185" s="10">
        <f t="shared" ca="1" si="24"/>
        <v>0.73014062681895753</v>
      </c>
      <c r="R185" s="10">
        <f t="shared" ca="1" si="25"/>
        <v>5.7275392976259525</v>
      </c>
      <c r="S185" s="19">
        <f t="shared" ca="1" si="31"/>
        <v>978.21086573240973</v>
      </c>
      <c r="T185" s="10">
        <f t="shared" ca="1" si="26"/>
        <v>0.59878583421261622</v>
      </c>
      <c r="U185" s="10">
        <f t="shared" ca="1" si="27"/>
        <v>3.4484572211104512</v>
      </c>
      <c r="V185" s="19">
        <f t="shared" ca="1" si="32"/>
        <v>981.65932295352013</v>
      </c>
      <c r="W185" s="19">
        <f t="shared" ca="1" si="28"/>
        <v>183.66193038053257</v>
      </c>
    </row>
    <row r="186" spans="12:23" x14ac:dyDescent="0.45">
      <c r="L186" s="9">
        <v>182</v>
      </c>
      <c r="M186" s="19">
        <f t="shared" ca="1" si="29"/>
        <v>798.63406454655171</v>
      </c>
      <c r="N186" s="10">
        <f t="shared" ca="1" si="22"/>
        <v>9.759901109298974E-2</v>
      </c>
      <c r="O186" s="10">
        <f t="shared" ca="1" si="23"/>
        <v>3.5411072290026899</v>
      </c>
      <c r="P186" s="19">
        <f t="shared" ca="1" si="30"/>
        <v>832.79824670223127</v>
      </c>
      <c r="Q186" s="10">
        <f t="shared" ca="1" si="24"/>
        <v>6.4786140046047547E-2</v>
      </c>
      <c r="R186" s="10">
        <f t="shared" ca="1" si="25"/>
        <v>4.4408609986584686</v>
      </c>
      <c r="S186" s="19">
        <f t="shared" ca="1" si="31"/>
        <v>982.65172673106815</v>
      </c>
      <c r="T186" s="10">
        <f t="shared" ca="1" si="26"/>
        <v>0.93896145400851738</v>
      </c>
      <c r="U186" s="10">
        <f t="shared" ca="1" si="27"/>
        <v>4.3948295480206463</v>
      </c>
      <c r="V186" s="19">
        <f t="shared" ca="1" si="32"/>
        <v>987.0465562790888</v>
      </c>
      <c r="W186" s="19">
        <f t="shared" ca="1" si="28"/>
        <v>188.41249173253709</v>
      </c>
    </row>
    <row r="187" spans="12:23" x14ac:dyDescent="0.45">
      <c r="L187" s="9">
        <v>183</v>
      </c>
      <c r="M187" s="19">
        <f t="shared" ca="1" si="29"/>
        <v>809.67433756042317</v>
      </c>
      <c r="N187" s="10">
        <f t="shared" ca="1" si="22"/>
        <v>1.2263869113774972E-2</v>
      </c>
      <c r="O187" s="10">
        <f t="shared" ca="1" si="23"/>
        <v>3.1918113848063374</v>
      </c>
      <c r="P187" s="19">
        <f t="shared" ca="1" si="30"/>
        <v>835.9900580870376</v>
      </c>
      <c r="Q187" s="10">
        <f t="shared" ca="1" si="24"/>
        <v>7.2410135007237364E-2</v>
      </c>
      <c r="R187" s="10">
        <f t="shared" ca="1" si="25"/>
        <v>4.466079826877019</v>
      </c>
      <c r="S187" s="19">
        <f t="shared" ca="1" si="31"/>
        <v>987.11780655794519</v>
      </c>
      <c r="T187" s="10">
        <f t="shared" ca="1" si="26"/>
        <v>0.24682969226440399</v>
      </c>
      <c r="U187" s="10">
        <f t="shared" ca="1" si="27"/>
        <v>2.8605167498620885</v>
      </c>
      <c r="V187" s="19">
        <f t="shared" ca="1" si="32"/>
        <v>989.97832330780727</v>
      </c>
      <c r="W187" s="19">
        <f t="shared" ca="1" si="28"/>
        <v>180.3039857473841</v>
      </c>
    </row>
    <row r="188" spans="12:23" x14ac:dyDescent="0.45">
      <c r="L188" s="9">
        <v>184</v>
      </c>
      <c r="M188" s="19">
        <f t="shared" ca="1" si="29"/>
        <v>813.41177670344405</v>
      </c>
      <c r="N188" s="10">
        <f t="shared" ca="1" si="22"/>
        <v>0.23564762803616812</v>
      </c>
      <c r="O188" s="10">
        <f t="shared" ca="1" si="23"/>
        <v>3.8407989558202984</v>
      </c>
      <c r="P188" s="19">
        <f t="shared" ca="1" si="30"/>
        <v>839.83085704285793</v>
      </c>
      <c r="Q188" s="10">
        <f t="shared" ca="1" si="24"/>
        <v>0.92482827053254157</v>
      </c>
      <c r="R188" s="10">
        <f t="shared" ca="1" si="25"/>
        <v>6.3284120483475377</v>
      </c>
      <c r="S188" s="19">
        <f t="shared" ca="1" si="31"/>
        <v>993.44621860629275</v>
      </c>
      <c r="T188" s="10">
        <f t="shared" ca="1" si="26"/>
        <v>0.65745567222769308</v>
      </c>
      <c r="U188" s="10">
        <f t="shared" ca="1" si="27"/>
        <v>3.5663801178018488</v>
      </c>
      <c r="V188" s="19">
        <f t="shared" ca="1" si="32"/>
        <v>997.01259872409457</v>
      </c>
      <c r="W188" s="19">
        <f t="shared" ca="1" si="28"/>
        <v>183.60082202065053</v>
      </c>
    </row>
    <row r="189" spans="12:23" x14ac:dyDescent="0.45">
      <c r="L189" s="9">
        <v>185</v>
      </c>
      <c r="M189" s="19">
        <f t="shared" ca="1" si="29"/>
        <v>819.44037573533262</v>
      </c>
      <c r="N189" s="10">
        <f t="shared" ca="1" si="22"/>
        <v>0.6983604299219176</v>
      </c>
      <c r="O189" s="10">
        <f t="shared" ca="1" si="23"/>
        <v>4.654698018856549</v>
      </c>
      <c r="P189" s="19">
        <f t="shared" ca="1" si="30"/>
        <v>844.48555506171442</v>
      </c>
      <c r="Q189" s="10">
        <f t="shared" ca="1" si="24"/>
        <v>0.87567654257993588</v>
      </c>
      <c r="R189" s="10">
        <f t="shared" ca="1" si="25"/>
        <v>6.1363213881770688</v>
      </c>
      <c r="S189" s="19">
        <f t="shared" ca="1" si="31"/>
        <v>999.58253999446981</v>
      </c>
      <c r="T189" s="10">
        <f t="shared" ca="1" si="26"/>
        <v>0.23937136416978844</v>
      </c>
      <c r="U189" s="10">
        <f t="shared" ca="1" si="27"/>
        <v>2.8474161271237204</v>
      </c>
      <c r="V189" s="19">
        <f t="shared" ca="1" si="32"/>
        <v>1002.4299561215935</v>
      </c>
      <c r="W189" s="19">
        <f t="shared" ca="1" si="28"/>
        <v>182.98958038626085</v>
      </c>
    </row>
    <row r="190" spans="12:23" x14ac:dyDescent="0.45">
      <c r="L190" s="9">
        <v>186</v>
      </c>
      <c r="M190" s="19">
        <f t="shared" ca="1" si="29"/>
        <v>821.94104153300339</v>
      </c>
      <c r="N190" s="10">
        <f t="shared" ca="1" si="22"/>
        <v>0.66086718206925232</v>
      </c>
      <c r="O190" s="10">
        <f t="shared" ca="1" si="23"/>
        <v>4.5735369238622106</v>
      </c>
      <c r="P190" s="19">
        <f t="shared" ca="1" si="30"/>
        <v>849.05909198557663</v>
      </c>
      <c r="Q190" s="10">
        <f t="shared" ca="1" si="24"/>
        <v>0.17086097635689557</v>
      </c>
      <c r="R190" s="10">
        <f t="shared" ca="1" si="25"/>
        <v>4.715948970996318</v>
      </c>
      <c r="S190" s="19">
        <f t="shared" ca="1" si="31"/>
        <v>1004.2984889654662</v>
      </c>
      <c r="T190" s="10">
        <f t="shared" ca="1" si="26"/>
        <v>0.33848635023705897</v>
      </c>
      <c r="U190" s="10">
        <f t="shared" ca="1" si="27"/>
        <v>3.0077445197521362</v>
      </c>
      <c r="V190" s="19">
        <f t="shared" ca="1" si="32"/>
        <v>1007.3062334852183</v>
      </c>
      <c r="W190" s="19">
        <f t="shared" ca="1" si="28"/>
        <v>185.3651919522149</v>
      </c>
    </row>
    <row r="191" spans="12:23" x14ac:dyDescent="0.45">
      <c r="L191" s="9">
        <v>187</v>
      </c>
      <c r="M191" s="19">
        <f t="shared" ca="1" si="29"/>
        <v>824.27685338256106</v>
      </c>
      <c r="N191" s="10">
        <f t="shared" ca="1" si="22"/>
        <v>0.51181302086149516</v>
      </c>
      <c r="O191" s="10">
        <f t="shared" ca="1" si="23"/>
        <v>4.2885322454597548</v>
      </c>
      <c r="P191" s="19">
        <f t="shared" ca="1" si="30"/>
        <v>853.34762423103643</v>
      </c>
      <c r="Q191" s="10">
        <f t="shared" ca="1" si="24"/>
        <v>0.33936386671965357</v>
      </c>
      <c r="R191" s="10">
        <f t="shared" ca="1" si="25"/>
        <v>5.0090663497539456</v>
      </c>
      <c r="S191" s="19">
        <f t="shared" ca="1" si="31"/>
        <v>1009.3075553152202</v>
      </c>
      <c r="T191" s="10">
        <f t="shared" ca="1" si="26"/>
        <v>0.39746986084605407</v>
      </c>
      <c r="U191" s="10">
        <f t="shared" ca="1" si="27"/>
        <v>3.0986371111953206</v>
      </c>
      <c r="V191" s="19">
        <f t="shared" ca="1" si="32"/>
        <v>1012.4061924264155</v>
      </c>
      <c r="W191" s="19">
        <f t="shared" ca="1" si="28"/>
        <v>188.12933904385443</v>
      </c>
    </row>
    <row r="192" spans="12:23" x14ac:dyDescent="0.45">
      <c r="L192" s="9">
        <v>188</v>
      </c>
      <c r="M192" s="19">
        <f t="shared" ca="1" si="29"/>
        <v>829.14944030798142</v>
      </c>
      <c r="N192" s="10">
        <f t="shared" ca="1" si="22"/>
        <v>0.75314459482923179</v>
      </c>
      <c r="O192" s="10">
        <f t="shared" ca="1" si="23"/>
        <v>4.7829821566531532</v>
      </c>
      <c r="P192" s="19">
        <f t="shared" ca="1" si="30"/>
        <v>858.13060638768957</v>
      </c>
      <c r="Q192" s="10">
        <f t="shared" ca="1" si="24"/>
        <v>0.93128530349806127</v>
      </c>
      <c r="R192" s="10">
        <f t="shared" ca="1" si="25"/>
        <v>6.3579032946575476</v>
      </c>
      <c r="S192" s="19">
        <f t="shared" ca="1" si="31"/>
        <v>1015.6654586098778</v>
      </c>
      <c r="T192" s="10">
        <f t="shared" ca="1" si="26"/>
        <v>0.62939983412452116</v>
      </c>
      <c r="U192" s="10">
        <f t="shared" ca="1" si="27"/>
        <v>3.5088256321768156</v>
      </c>
      <c r="V192" s="19">
        <f t="shared" ca="1" si="32"/>
        <v>1019.1742842420546</v>
      </c>
      <c r="W192" s="19">
        <f t="shared" ca="1" si="28"/>
        <v>190.02484393407315</v>
      </c>
    </row>
    <row r="193" spans="12:23" x14ac:dyDescent="0.45">
      <c r="L193" s="9">
        <v>189</v>
      </c>
      <c r="M193" s="19">
        <f t="shared" ca="1" si="29"/>
        <v>836.65198529843371</v>
      </c>
      <c r="N193" s="10">
        <f t="shared" ca="1" si="22"/>
        <v>0.390898584120415</v>
      </c>
      <c r="O193" s="10">
        <f t="shared" ca="1" si="23"/>
        <v>4.0882969646732494</v>
      </c>
      <c r="P193" s="19">
        <f t="shared" ca="1" si="30"/>
        <v>862.21890335236287</v>
      </c>
      <c r="Q193" s="10">
        <f t="shared" ca="1" si="24"/>
        <v>0.41817220925115284</v>
      </c>
      <c r="R193" s="10">
        <f t="shared" ca="1" si="25"/>
        <v>5.1315871054573927</v>
      </c>
      <c r="S193" s="19">
        <f t="shared" ca="1" si="31"/>
        <v>1020.7970457153351</v>
      </c>
      <c r="T193" s="10">
        <f t="shared" ca="1" si="26"/>
        <v>0.72235190604610022</v>
      </c>
      <c r="U193" s="10">
        <f t="shared" ca="1" si="27"/>
        <v>3.7093069444196276</v>
      </c>
      <c r="V193" s="19">
        <f t="shared" ca="1" si="32"/>
        <v>1024.5063526597548</v>
      </c>
      <c r="W193" s="19">
        <f t="shared" ca="1" si="28"/>
        <v>187.85436736132112</v>
      </c>
    </row>
    <row r="194" spans="12:23" x14ac:dyDescent="0.45">
      <c r="L194" s="9">
        <v>190</v>
      </c>
      <c r="M194" s="19">
        <f t="shared" ca="1" si="29"/>
        <v>838.95434384230145</v>
      </c>
      <c r="N194" s="10">
        <f t="shared" ca="1" si="22"/>
        <v>0.51708152143030883</v>
      </c>
      <c r="O194" s="10">
        <f t="shared" ca="1" si="23"/>
        <v>4.2977923536130653</v>
      </c>
      <c r="P194" s="19">
        <f t="shared" ca="1" si="30"/>
        <v>866.51669570597596</v>
      </c>
      <c r="Q194" s="10">
        <f t="shared" ca="1" si="24"/>
        <v>0.16597380599362965</v>
      </c>
      <c r="R194" s="10">
        <f t="shared" ca="1" si="25"/>
        <v>4.7056354710336556</v>
      </c>
      <c r="S194" s="19">
        <f t="shared" ca="1" si="31"/>
        <v>1025.5026811863688</v>
      </c>
      <c r="T194" s="10">
        <f t="shared" ca="1" si="26"/>
        <v>0.60484921087590993</v>
      </c>
      <c r="U194" s="10">
        <f t="shared" ca="1" si="27"/>
        <v>3.4602257520192969</v>
      </c>
      <c r="V194" s="19">
        <f t="shared" ca="1" si="32"/>
        <v>1028.9629069383882</v>
      </c>
      <c r="W194" s="19">
        <f t="shared" ca="1" si="28"/>
        <v>190.00856309608673</v>
      </c>
    </row>
    <row r="195" spans="12:23" x14ac:dyDescent="0.45">
      <c r="L195" s="9">
        <v>191</v>
      </c>
      <c r="M195" s="19">
        <f t="shared" ca="1" si="29"/>
        <v>845.93647296047652</v>
      </c>
      <c r="N195" s="10">
        <f t="shared" ca="1" si="22"/>
        <v>0.60950762053776641</v>
      </c>
      <c r="O195" s="10">
        <f t="shared" ca="1" si="23"/>
        <v>4.469328814939864</v>
      </c>
      <c r="P195" s="19">
        <f t="shared" ca="1" si="30"/>
        <v>870.98602452091586</v>
      </c>
      <c r="Q195" s="10">
        <f t="shared" ca="1" si="24"/>
        <v>7.8817207270409639E-4</v>
      </c>
      <c r="R195" s="10">
        <f t="shared" ca="1" si="25"/>
        <v>4.048626291428735</v>
      </c>
      <c r="S195" s="19">
        <f t="shared" ca="1" si="31"/>
        <v>1029.5513074777975</v>
      </c>
      <c r="T195" s="10">
        <f t="shared" ca="1" si="26"/>
        <v>0.39923180061326957</v>
      </c>
      <c r="U195" s="10">
        <f t="shared" ca="1" si="27"/>
        <v>3.10141916255315</v>
      </c>
      <c r="V195" s="19">
        <f t="shared" ca="1" si="32"/>
        <v>1032.6527266403507</v>
      </c>
      <c r="W195" s="19">
        <f t="shared" ca="1" si="28"/>
        <v>186.71625367987417</v>
      </c>
    </row>
    <row r="196" spans="12:23" x14ac:dyDescent="0.45">
      <c r="L196" s="9">
        <v>192</v>
      </c>
      <c r="M196" s="19">
        <f t="shared" ca="1" si="29"/>
        <v>849.49115554473724</v>
      </c>
      <c r="N196" s="10">
        <f t="shared" ca="1" si="22"/>
        <v>0.18888231438429537</v>
      </c>
      <c r="O196" s="10">
        <f t="shared" ca="1" si="23"/>
        <v>3.752759552017034</v>
      </c>
      <c r="P196" s="19">
        <f t="shared" ca="1" si="30"/>
        <v>874.73878407293284</v>
      </c>
      <c r="Q196" s="10">
        <f t="shared" ca="1" si="24"/>
        <v>0.22618958397189948</v>
      </c>
      <c r="R196" s="10">
        <f t="shared" ca="1" si="25"/>
        <v>4.8237528463779036</v>
      </c>
      <c r="S196" s="19">
        <f t="shared" ca="1" si="31"/>
        <v>1034.3750603241754</v>
      </c>
      <c r="T196" s="10">
        <f t="shared" ca="1" si="26"/>
        <v>0.107040731146679</v>
      </c>
      <c r="U196" s="10">
        <f t="shared" ca="1" si="27"/>
        <v>2.566676445107821</v>
      </c>
      <c r="V196" s="19">
        <f t="shared" ca="1" si="32"/>
        <v>1036.9417367692831</v>
      </c>
      <c r="W196" s="19">
        <f t="shared" ca="1" si="28"/>
        <v>187.45058122454589</v>
      </c>
    </row>
    <row r="197" spans="12:23" x14ac:dyDescent="0.45">
      <c r="L197" s="9">
        <v>193</v>
      </c>
      <c r="M197" s="19">
        <f t="shared" ca="1" si="29"/>
        <v>855.42460951843225</v>
      </c>
      <c r="N197" s="10">
        <f t="shared" ref="N197:N260" ca="1" si="33">RAND()</f>
        <v>0.68471218398720401</v>
      </c>
      <c r="O197" s="10">
        <f t="shared" ref="O197:O260" ca="1" si="34">IF(N197&lt;$F$8,$C$8+SQRT(N197*($E$8-$C$8)*($D$8-$C$8)),$E$8-SQRT((1-N197)*($E$8-$C$8)*($E$8-$D$8)))</f>
        <v>4.6245993688830964</v>
      </c>
      <c r="P197" s="19">
        <f t="shared" ca="1" si="30"/>
        <v>879.36338344181593</v>
      </c>
      <c r="Q197" s="10">
        <f t="shared" ref="Q197:Q260" ca="1" si="35">RAND()</f>
        <v>0.79357315597256151</v>
      </c>
      <c r="R197" s="10">
        <f t="shared" ref="R197:R260" ca="1" si="36">IF(Q197&lt;$F$9,$C$9+SQRT(Q197*($E$9-$C$9)*($D$9-$C$9)),$E$9-SQRT((1-Q197)*($E$9-$C$9)*($E$9-$D$9)))</f>
        <v>5.8870934162452668</v>
      </c>
      <c r="S197" s="19">
        <f t="shared" ca="1" si="31"/>
        <v>1040.2621537404207</v>
      </c>
      <c r="T197" s="10">
        <f t="shared" ref="T197:T260" ca="1" si="37">RAND()</f>
        <v>0.49192998455343429</v>
      </c>
      <c r="U197" s="10">
        <f t="shared" ref="U197:U260" ca="1" si="38">IF(T197&lt;$F$10,$C$10+SQRT(T197*($E$10-$C$10)*($D$10-$C$10)),$E$10-SQRT((1-T197)*($E$10-$C$10)*($E$10-$D$10)))</f>
        <v>3.2540274650844605</v>
      </c>
      <c r="V197" s="19">
        <f t="shared" ca="1" si="32"/>
        <v>1043.5161812055051</v>
      </c>
      <c r="W197" s="19">
        <f t="shared" ref="W197:W260" ca="1" si="39">V197-M197</f>
        <v>188.09157168707281</v>
      </c>
    </row>
    <row r="198" spans="12:23" x14ac:dyDescent="0.45">
      <c r="L198" s="9">
        <v>194</v>
      </c>
      <c r="M198" s="19">
        <f t="shared" ref="M198:M261" ca="1" si="40">M197-$C$5*LN(1-RAND())</f>
        <v>855.44911304606865</v>
      </c>
      <c r="N198" s="10">
        <f t="shared" ca="1" si="33"/>
        <v>0.52309319765525197</v>
      </c>
      <c r="O198" s="10">
        <f t="shared" ca="1" si="34"/>
        <v>4.3084206154990872</v>
      </c>
      <c r="P198" s="19">
        <f t="shared" ref="P198:P261" ca="1" si="41">MAX(M198,P197)+O198</f>
        <v>883.67180405731506</v>
      </c>
      <c r="Q198" s="10">
        <f t="shared" ca="1" si="35"/>
        <v>0.18376303406696437</v>
      </c>
      <c r="R198" s="10">
        <f t="shared" ca="1" si="36"/>
        <v>4.7424884525707407</v>
      </c>
      <c r="S198" s="19">
        <f t="shared" ref="S198:S261" ca="1" si="42">MAX(P198,S197)+R198</f>
        <v>1045.0046421929915</v>
      </c>
      <c r="T198" s="10">
        <f t="shared" ca="1" si="37"/>
        <v>0.42603360873102092</v>
      </c>
      <c r="U198" s="10">
        <f t="shared" ca="1" si="38"/>
        <v>3.1442526175112429</v>
      </c>
      <c r="V198" s="19">
        <f t="shared" ref="V198:V261" ca="1" si="43">MAX(S198,V197)+U198</f>
        <v>1048.1488948105027</v>
      </c>
      <c r="W198" s="19">
        <f t="shared" ca="1" si="39"/>
        <v>192.69978176443408</v>
      </c>
    </row>
    <row r="199" spans="12:23" x14ac:dyDescent="0.45">
      <c r="L199" s="9">
        <v>195</v>
      </c>
      <c r="M199" s="19">
        <f t="shared" ca="1" si="40"/>
        <v>858.05734973850701</v>
      </c>
      <c r="N199" s="10">
        <f t="shared" ca="1" si="33"/>
        <v>0.45456571842896587</v>
      </c>
      <c r="O199" s="10">
        <f t="shared" ca="1" si="34"/>
        <v>4.1909655366947245</v>
      </c>
      <c r="P199" s="19">
        <f t="shared" ca="1" si="41"/>
        <v>887.86276959400982</v>
      </c>
      <c r="Q199" s="10">
        <f t="shared" ca="1" si="35"/>
        <v>0.32954740012979455</v>
      </c>
      <c r="R199" s="10">
        <f t="shared" ca="1" si="36"/>
        <v>4.9943048830159604</v>
      </c>
      <c r="S199" s="19">
        <f t="shared" ca="1" si="42"/>
        <v>1049.9989470760074</v>
      </c>
      <c r="T199" s="10">
        <f t="shared" ca="1" si="37"/>
        <v>0.56151394100105323</v>
      </c>
      <c r="U199" s="10">
        <f t="shared" ca="1" si="38"/>
        <v>3.3779900265430918</v>
      </c>
      <c r="V199" s="19">
        <f t="shared" ca="1" si="43"/>
        <v>1053.3769371025505</v>
      </c>
      <c r="W199" s="19">
        <f t="shared" ca="1" si="39"/>
        <v>195.31958736404351</v>
      </c>
    </row>
    <row r="200" spans="12:23" x14ac:dyDescent="0.45">
      <c r="L200" s="9">
        <v>196</v>
      </c>
      <c r="M200" s="19">
        <f t="shared" ca="1" si="40"/>
        <v>858.37696872797119</v>
      </c>
      <c r="N200" s="10">
        <f t="shared" ca="1" si="33"/>
        <v>0.4490661104550876</v>
      </c>
      <c r="O200" s="10">
        <f t="shared" ca="1" si="34"/>
        <v>4.1818681738472661</v>
      </c>
      <c r="P200" s="19">
        <f t="shared" ca="1" si="41"/>
        <v>892.04463776785713</v>
      </c>
      <c r="Q200" s="10">
        <f t="shared" ca="1" si="35"/>
        <v>0.77624991824756373</v>
      </c>
      <c r="R200" s="10">
        <f t="shared" ca="1" si="36"/>
        <v>5.8413367657016915</v>
      </c>
      <c r="S200" s="19">
        <f t="shared" ca="1" si="42"/>
        <v>1055.8402838417092</v>
      </c>
      <c r="T200" s="10">
        <f t="shared" ca="1" si="37"/>
        <v>0.69035331562148061</v>
      </c>
      <c r="U200" s="10">
        <f t="shared" ca="1" si="38"/>
        <v>3.636959242622908</v>
      </c>
      <c r="V200" s="19">
        <f t="shared" ca="1" si="43"/>
        <v>1059.477243084332</v>
      </c>
      <c r="W200" s="19">
        <f t="shared" ca="1" si="39"/>
        <v>201.10027435636084</v>
      </c>
    </row>
    <row r="201" spans="12:23" x14ac:dyDescent="0.45">
      <c r="L201" s="9">
        <v>197</v>
      </c>
      <c r="M201" s="19">
        <f t="shared" ca="1" si="40"/>
        <v>861.67547634075083</v>
      </c>
      <c r="N201" s="10">
        <f t="shared" ca="1" si="33"/>
        <v>0.47943880398444116</v>
      </c>
      <c r="O201" s="10">
        <f t="shared" ca="1" si="34"/>
        <v>4.2326949397194173</v>
      </c>
      <c r="P201" s="19">
        <f t="shared" ca="1" si="41"/>
        <v>896.27733270757653</v>
      </c>
      <c r="Q201" s="10">
        <f t="shared" ca="1" si="35"/>
        <v>0.21550180293436993</v>
      </c>
      <c r="R201" s="10">
        <f t="shared" ca="1" si="36"/>
        <v>4.8040556005669695</v>
      </c>
      <c r="S201" s="19">
        <f t="shared" ca="1" si="42"/>
        <v>1060.6443394422761</v>
      </c>
      <c r="T201" s="10">
        <f t="shared" ca="1" si="37"/>
        <v>0.16299812204926212</v>
      </c>
      <c r="U201" s="10">
        <f t="shared" ca="1" si="38"/>
        <v>2.6992813211775259</v>
      </c>
      <c r="V201" s="19">
        <f t="shared" ca="1" si="43"/>
        <v>1063.3436207634536</v>
      </c>
      <c r="W201" s="19">
        <f t="shared" ca="1" si="39"/>
        <v>201.66814442270277</v>
      </c>
    </row>
    <row r="202" spans="12:23" x14ac:dyDescent="0.45">
      <c r="L202" s="9">
        <v>198</v>
      </c>
      <c r="M202" s="19">
        <f t="shared" ca="1" si="40"/>
        <v>864.5024067215046</v>
      </c>
      <c r="N202" s="10">
        <f t="shared" ca="1" si="33"/>
        <v>0.12104818806682049</v>
      </c>
      <c r="O202" s="10">
        <f t="shared" ca="1" si="34"/>
        <v>3.6026147726370983</v>
      </c>
      <c r="P202" s="19">
        <f t="shared" ca="1" si="41"/>
        <v>899.87994748021367</v>
      </c>
      <c r="Q202" s="10">
        <f t="shared" ca="1" si="35"/>
        <v>0.39330567441871422</v>
      </c>
      <c r="R202" s="10">
        <f t="shared" ca="1" si="36"/>
        <v>5.0920781060306179</v>
      </c>
      <c r="S202" s="19">
        <f t="shared" ca="1" si="42"/>
        <v>1065.7364175483067</v>
      </c>
      <c r="T202" s="10">
        <f t="shared" ca="1" si="37"/>
        <v>0.47785715064996337</v>
      </c>
      <c r="U202" s="10">
        <f t="shared" ca="1" si="38"/>
        <v>3.2300121197871947</v>
      </c>
      <c r="V202" s="19">
        <f t="shared" ca="1" si="43"/>
        <v>1068.966429668094</v>
      </c>
      <c r="W202" s="19">
        <f t="shared" ca="1" si="39"/>
        <v>204.46402294658935</v>
      </c>
    </row>
    <row r="203" spans="12:23" x14ac:dyDescent="0.45">
      <c r="L203" s="9">
        <v>199</v>
      </c>
      <c r="M203" s="19">
        <f t="shared" ca="1" si="40"/>
        <v>870.22775402102195</v>
      </c>
      <c r="N203" s="10">
        <f t="shared" ca="1" si="33"/>
        <v>0.97780940803779526</v>
      </c>
      <c r="O203" s="10">
        <f t="shared" ca="1" si="34"/>
        <v>5.6351115899713609</v>
      </c>
      <c r="P203" s="19">
        <f t="shared" ca="1" si="41"/>
        <v>905.51505907018509</v>
      </c>
      <c r="Q203" s="10">
        <f t="shared" ca="1" si="35"/>
        <v>0.20011173713277519</v>
      </c>
      <c r="R203" s="10">
        <f t="shared" ca="1" si="36"/>
        <v>4.7748130170552932</v>
      </c>
      <c r="S203" s="19">
        <f t="shared" ca="1" si="42"/>
        <v>1070.511230565362</v>
      </c>
      <c r="T203" s="10">
        <f t="shared" ca="1" si="37"/>
        <v>6.2546680018132461E-2</v>
      </c>
      <c r="U203" s="10">
        <f t="shared" ca="1" si="38"/>
        <v>2.4331743760362534</v>
      </c>
      <c r="V203" s="19">
        <f t="shared" ca="1" si="43"/>
        <v>1072.9444049413983</v>
      </c>
      <c r="W203" s="19">
        <f t="shared" ca="1" si="39"/>
        <v>202.71665092037631</v>
      </c>
    </row>
    <row r="204" spans="12:23" x14ac:dyDescent="0.45">
      <c r="L204" s="9">
        <v>200</v>
      </c>
      <c r="M204" s="19">
        <f t="shared" ca="1" si="40"/>
        <v>876.48020023196489</v>
      </c>
      <c r="N204" s="10">
        <f t="shared" ca="1" si="33"/>
        <v>5.054434480647596E-2</v>
      </c>
      <c r="O204" s="10">
        <f t="shared" ca="1" si="34"/>
        <v>3.3894008659715946</v>
      </c>
      <c r="P204" s="19">
        <f t="shared" ca="1" si="41"/>
        <v>908.90445993615663</v>
      </c>
      <c r="Q204" s="10">
        <f t="shared" ca="1" si="35"/>
        <v>0.3349330403614853</v>
      </c>
      <c r="R204" s="10">
        <f t="shared" ca="1" si="36"/>
        <v>5.0024010017445724</v>
      </c>
      <c r="S204" s="19">
        <f t="shared" ca="1" si="42"/>
        <v>1075.5136315671066</v>
      </c>
      <c r="T204" s="10">
        <f t="shared" ca="1" si="37"/>
        <v>5.8207878243915601E-2</v>
      </c>
      <c r="U204" s="10">
        <f t="shared" ca="1" si="38"/>
        <v>2.4178799286059895</v>
      </c>
      <c r="V204" s="19">
        <f t="shared" ca="1" si="43"/>
        <v>1077.9315114957126</v>
      </c>
      <c r="W204" s="19">
        <f t="shared" ca="1" si="39"/>
        <v>201.4513112637477</v>
      </c>
    </row>
    <row r="205" spans="12:23" x14ac:dyDescent="0.45">
      <c r="L205" s="9">
        <v>201</v>
      </c>
      <c r="M205" s="19">
        <f t="shared" ca="1" si="40"/>
        <v>886.73235699287727</v>
      </c>
      <c r="N205" s="10">
        <f t="shared" ca="1" si="33"/>
        <v>0.22104833318962347</v>
      </c>
      <c r="O205" s="10">
        <f t="shared" ca="1" si="34"/>
        <v>3.81433715349901</v>
      </c>
      <c r="P205" s="19">
        <f t="shared" ca="1" si="41"/>
        <v>912.7187970896556</v>
      </c>
      <c r="Q205" s="10">
        <f t="shared" ca="1" si="35"/>
        <v>0.2493611952528576</v>
      </c>
      <c r="R205" s="10">
        <f t="shared" ca="1" si="36"/>
        <v>4.8649182538012319</v>
      </c>
      <c r="S205" s="19">
        <f t="shared" ca="1" si="42"/>
        <v>1080.3785498209079</v>
      </c>
      <c r="T205" s="10">
        <f t="shared" ca="1" si="37"/>
        <v>0.74683494181187204</v>
      </c>
      <c r="U205" s="10">
        <f t="shared" ca="1" si="38"/>
        <v>3.7675267349233219</v>
      </c>
      <c r="V205" s="19">
        <f t="shared" ca="1" si="43"/>
        <v>1084.1460765558313</v>
      </c>
      <c r="W205" s="19">
        <f t="shared" ca="1" si="39"/>
        <v>197.41371956295404</v>
      </c>
    </row>
    <row r="206" spans="12:23" x14ac:dyDescent="0.45">
      <c r="L206" s="9">
        <v>202</v>
      </c>
      <c r="M206" s="19">
        <f t="shared" ca="1" si="40"/>
        <v>889.3444604225125</v>
      </c>
      <c r="N206" s="10">
        <f t="shared" ca="1" si="33"/>
        <v>0.41474620598911627</v>
      </c>
      <c r="O206" s="10">
        <f t="shared" ca="1" si="34"/>
        <v>4.126094248884085</v>
      </c>
      <c r="P206" s="19">
        <f t="shared" ca="1" si="41"/>
        <v>916.8448913385397</v>
      </c>
      <c r="Q206" s="10">
        <f t="shared" ca="1" si="35"/>
        <v>0.22685027184187645</v>
      </c>
      <c r="R206" s="10">
        <f t="shared" ca="1" si="36"/>
        <v>4.8249550384873281</v>
      </c>
      <c r="S206" s="19">
        <f t="shared" ca="1" si="42"/>
        <v>1085.2035048593953</v>
      </c>
      <c r="T206" s="10">
        <f t="shared" ca="1" si="37"/>
        <v>0.61687414179987621</v>
      </c>
      <c r="U206" s="10">
        <f t="shared" ca="1" si="38"/>
        <v>3.4838353818926051</v>
      </c>
      <c r="V206" s="19">
        <f t="shared" ca="1" si="43"/>
        <v>1088.6873402412878</v>
      </c>
      <c r="W206" s="19">
        <f t="shared" ca="1" si="39"/>
        <v>199.34287981877526</v>
      </c>
    </row>
    <row r="207" spans="12:23" x14ac:dyDescent="0.45">
      <c r="L207" s="9">
        <v>203</v>
      </c>
      <c r="M207" s="19">
        <f t="shared" ca="1" si="40"/>
        <v>890.59568943682859</v>
      </c>
      <c r="N207" s="10">
        <f t="shared" ca="1" si="33"/>
        <v>0.14745410017240779</v>
      </c>
      <c r="O207" s="10">
        <f t="shared" ca="1" si="34"/>
        <v>3.6651032254599456</v>
      </c>
      <c r="P207" s="19">
        <f t="shared" ca="1" si="41"/>
        <v>920.50999456399961</v>
      </c>
      <c r="Q207" s="10">
        <f t="shared" ca="1" si="35"/>
        <v>0.1153906275240697</v>
      </c>
      <c r="R207" s="10">
        <f t="shared" ca="1" si="36"/>
        <v>4.5883637332230878</v>
      </c>
      <c r="S207" s="19">
        <f t="shared" ca="1" si="42"/>
        <v>1089.7918685926184</v>
      </c>
      <c r="T207" s="10">
        <f t="shared" ca="1" si="37"/>
        <v>1.0294204103525995E-2</v>
      </c>
      <c r="U207" s="10">
        <f t="shared" ca="1" si="38"/>
        <v>2.1757344937983945</v>
      </c>
      <c r="V207" s="19">
        <f t="shared" ca="1" si="43"/>
        <v>1091.9676030864168</v>
      </c>
      <c r="W207" s="19">
        <f t="shared" ca="1" si="39"/>
        <v>201.37191364958824</v>
      </c>
    </row>
    <row r="208" spans="12:23" x14ac:dyDescent="0.45">
      <c r="L208" s="9">
        <v>204</v>
      </c>
      <c r="M208" s="19">
        <f t="shared" ca="1" si="40"/>
        <v>901.73251794147836</v>
      </c>
      <c r="N208" s="10">
        <f t="shared" ca="1" si="33"/>
        <v>7.0440758004798654E-2</v>
      </c>
      <c r="O208" s="10">
        <f t="shared" ca="1" si="34"/>
        <v>3.4596980248101965</v>
      </c>
      <c r="P208" s="19">
        <f t="shared" ca="1" si="41"/>
        <v>923.96969258880983</v>
      </c>
      <c r="Q208" s="10">
        <f t="shared" ca="1" si="35"/>
        <v>0.55390734888304716</v>
      </c>
      <c r="R208" s="10">
        <f t="shared" ca="1" si="36"/>
        <v>5.3639816912082807</v>
      </c>
      <c r="S208" s="19">
        <f t="shared" ca="1" si="42"/>
        <v>1095.1558502838266</v>
      </c>
      <c r="T208" s="10">
        <f t="shared" ca="1" si="37"/>
        <v>0.4826172575557065</v>
      </c>
      <c r="U208" s="10">
        <f t="shared" ca="1" si="38"/>
        <v>3.2380986251592399</v>
      </c>
      <c r="V208" s="19">
        <f t="shared" ca="1" si="43"/>
        <v>1098.3939489089857</v>
      </c>
      <c r="W208" s="19">
        <f t="shared" ca="1" si="39"/>
        <v>196.66143096750739</v>
      </c>
    </row>
    <row r="209" spans="12:23" x14ac:dyDescent="0.45">
      <c r="L209" s="9">
        <v>205</v>
      </c>
      <c r="M209" s="19">
        <f t="shared" ca="1" si="40"/>
        <v>904.77469315937788</v>
      </c>
      <c r="N209" s="10">
        <f t="shared" ca="1" si="33"/>
        <v>0.37249959655840037</v>
      </c>
      <c r="O209" s="10">
        <f t="shared" ca="1" si="34"/>
        <v>4.0596385850441168</v>
      </c>
      <c r="P209" s="19">
        <f t="shared" ca="1" si="41"/>
        <v>928.02933117385396</v>
      </c>
      <c r="Q209" s="10">
        <f t="shared" ca="1" si="35"/>
        <v>0.44558955601433003</v>
      </c>
      <c r="R209" s="10">
        <f t="shared" ca="1" si="36"/>
        <v>5.1761407225572418</v>
      </c>
      <c r="S209" s="19">
        <f t="shared" ca="1" si="42"/>
        <v>1100.3319910063838</v>
      </c>
      <c r="T209" s="10">
        <f t="shared" ca="1" si="37"/>
        <v>0.59773984399872648</v>
      </c>
      <c r="U209" s="10">
        <f t="shared" ca="1" si="38"/>
        <v>3.4464360534539811</v>
      </c>
      <c r="V209" s="19">
        <f t="shared" ca="1" si="43"/>
        <v>1103.7784270598377</v>
      </c>
      <c r="W209" s="19">
        <f t="shared" ca="1" si="39"/>
        <v>199.00373390045979</v>
      </c>
    </row>
    <row r="210" spans="12:23" x14ac:dyDescent="0.45">
      <c r="L210" s="9">
        <v>206</v>
      </c>
      <c r="M210" s="19">
        <f t="shared" ca="1" si="40"/>
        <v>917.26999615532804</v>
      </c>
      <c r="N210" s="10">
        <f t="shared" ca="1" si="33"/>
        <v>0.15881333453188962</v>
      </c>
      <c r="O210" s="10">
        <f t="shared" ca="1" si="34"/>
        <v>3.6902463354453023</v>
      </c>
      <c r="P210" s="19">
        <f t="shared" ca="1" si="41"/>
        <v>931.71957750929926</v>
      </c>
      <c r="Q210" s="10">
        <f t="shared" ca="1" si="35"/>
        <v>0.34121028181213864</v>
      </c>
      <c r="R210" s="10">
        <f t="shared" ca="1" si="36"/>
        <v>5.0118505314923709</v>
      </c>
      <c r="S210" s="19">
        <f t="shared" ca="1" si="42"/>
        <v>1105.3438415378762</v>
      </c>
      <c r="T210" s="10">
        <f t="shared" ca="1" si="37"/>
        <v>0.83629658494177972</v>
      </c>
      <c r="U210" s="10">
        <f t="shared" ca="1" si="38"/>
        <v>4.0089296239169885</v>
      </c>
      <c r="V210" s="19">
        <f t="shared" ca="1" si="43"/>
        <v>1109.3527711617933</v>
      </c>
      <c r="W210" s="19">
        <f t="shared" ca="1" si="39"/>
        <v>192.08277500646523</v>
      </c>
    </row>
    <row r="211" spans="12:23" x14ac:dyDescent="0.45">
      <c r="L211" s="9">
        <v>207</v>
      </c>
      <c r="M211" s="19">
        <f t="shared" ca="1" si="40"/>
        <v>923.95866689711772</v>
      </c>
      <c r="N211" s="10">
        <f t="shared" ca="1" si="33"/>
        <v>0.47761098340004027</v>
      </c>
      <c r="O211" s="10">
        <f t="shared" ca="1" si="34"/>
        <v>4.2295949334686824</v>
      </c>
      <c r="P211" s="19">
        <f t="shared" ca="1" si="41"/>
        <v>935.94917244276792</v>
      </c>
      <c r="Q211" s="10">
        <f t="shared" ca="1" si="35"/>
        <v>0.4402693454848261</v>
      </c>
      <c r="R211" s="10">
        <f t="shared" ca="1" si="36"/>
        <v>5.167410595061992</v>
      </c>
      <c r="S211" s="19">
        <f t="shared" ca="1" si="42"/>
        <v>1110.5112521329381</v>
      </c>
      <c r="T211" s="10">
        <f t="shared" ca="1" si="37"/>
        <v>0.15474012904231571</v>
      </c>
      <c r="U211" s="10">
        <f t="shared" ca="1" si="38"/>
        <v>2.6813372051539144</v>
      </c>
      <c r="V211" s="19">
        <f t="shared" ca="1" si="43"/>
        <v>1113.1925893380921</v>
      </c>
      <c r="W211" s="19">
        <f t="shared" ca="1" si="39"/>
        <v>189.23392244097442</v>
      </c>
    </row>
    <row r="212" spans="12:23" x14ac:dyDescent="0.45">
      <c r="L212" s="9">
        <v>208</v>
      </c>
      <c r="M212" s="19">
        <f t="shared" ca="1" si="40"/>
        <v>924.21209172822591</v>
      </c>
      <c r="N212" s="10">
        <f t="shared" ca="1" si="33"/>
        <v>0.69710841091029585</v>
      </c>
      <c r="O212" s="10">
        <f t="shared" ca="1" si="34"/>
        <v>4.6519089294345779</v>
      </c>
      <c r="P212" s="19">
        <f t="shared" ca="1" si="41"/>
        <v>940.60108137220254</v>
      </c>
      <c r="Q212" s="10">
        <f t="shared" ca="1" si="35"/>
        <v>0.29588042098385292</v>
      </c>
      <c r="R212" s="10">
        <f t="shared" ca="1" si="36"/>
        <v>4.9421471556776888</v>
      </c>
      <c r="S212" s="19">
        <f t="shared" ca="1" si="42"/>
        <v>1115.4533992886159</v>
      </c>
      <c r="T212" s="10">
        <f t="shared" ca="1" si="37"/>
        <v>0.8381985471690887</v>
      </c>
      <c r="U212" s="10">
        <f t="shared" ca="1" si="38"/>
        <v>4.0147037415145288</v>
      </c>
      <c r="V212" s="19">
        <f t="shared" ca="1" si="43"/>
        <v>1119.4681030301304</v>
      </c>
      <c r="W212" s="19">
        <f t="shared" ca="1" si="39"/>
        <v>195.25601130190444</v>
      </c>
    </row>
    <row r="213" spans="12:23" x14ac:dyDescent="0.45">
      <c r="L213" s="9">
        <v>209</v>
      </c>
      <c r="M213" s="19">
        <f t="shared" ca="1" si="40"/>
        <v>929.47939994786316</v>
      </c>
      <c r="N213" s="10">
        <f t="shared" ca="1" si="33"/>
        <v>4.4129273207399011E-2</v>
      </c>
      <c r="O213" s="10">
        <f t="shared" ca="1" si="34"/>
        <v>3.3638513702354258</v>
      </c>
      <c r="P213" s="19">
        <f t="shared" ca="1" si="41"/>
        <v>943.96493274243801</v>
      </c>
      <c r="Q213" s="10">
        <f t="shared" ca="1" si="35"/>
        <v>9.7269698225139978E-2</v>
      </c>
      <c r="R213" s="10">
        <f t="shared" ca="1" si="36"/>
        <v>4.540193571486574</v>
      </c>
      <c r="S213" s="19">
        <f t="shared" ca="1" si="42"/>
        <v>1119.9935928601024</v>
      </c>
      <c r="T213" s="10">
        <f t="shared" ca="1" si="37"/>
        <v>0.56731316017195632</v>
      </c>
      <c r="U213" s="10">
        <f t="shared" ca="1" si="38"/>
        <v>3.3887517140526535</v>
      </c>
      <c r="V213" s="19">
        <f t="shared" ca="1" si="43"/>
        <v>1123.382344574155</v>
      </c>
      <c r="W213" s="19">
        <f t="shared" ca="1" si="39"/>
        <v>193.90294462629186</v>
      </c>
    </row>
    <row r="214" spans="12:23" x14ac:dyDescent="0.45">
      <c r="L214" s="9">
        <v>210</v>
      </c>
      <c r="M214" s="19">
        <f t="shared" ca="1" si="40"/>
        <v>934.14425897906915</v>
      </c>
      <c r="N214" s="10">
        <f t="shared" ca="1" si="33"/>
        <v>0.39518428963955399</v>
      </c>
      <c r="O214" s="10">
        <f t="shared" ca="1" si="34"/>
        <v>4.0950343147020529</v>
      </c>
      <c r="P214" s="19">
        <f t="shared" ca="1" si="41"/>
        <v>948.05996705714006</v>
      </c>
      <c r="Q214" s="10">
        <f t="shared" ca="1" si="35"/>
        <v>9.8186593568405756E-2</v>
      </c>
      <c r="R214" s="10">
        <f t="shared" ca="1" si="36"/>
        <v>4.5427336185507743</v>
      </c>
      <c r="S214" s="19">
        <f t="shared" ca="1" si="42"/>
        <v>1124.5363264786531</v>
      </c>
      <c r="T214" s="10">
        <f t="shared" ca="1" si="37"/>
        <v>0.59827727816871867</v>
      </c>
      <c r="U214" s="10">
        <f t="shared" ca="1" si="38"/>
        <v>3.4474742092359021</v>
      </c>
      <c r="V214" s="19">
        <f t="shared" ca="1" si="43"/>
        <v>1127.983800687889</v>
      </c>
      <c r="W214" s="19">
        <f t="shared" ca="1" si="39"/>
        <v>193.83954170881987</v>
      </c>
    </row>
    <row r="215" spans="12:23" x14ac:dyDescent="0.45">
      <c r="L215" s="9">
        <v>211</v>
      </c>
      <c r="M215" s="19">
        <f t="shared" ca="1" si="40"/>
        <v>953.25992264716422</v>
      </c>
      <c r="N215" s="10">
        <f t="shared" ca="1" si="33"/>
        <v>0.51763746943807787</v>
      </c>
      <c r="O215" s="10">
        <f t="shared" ca="1" si="34"/>
        <v>4.2987724480918104</v>
      </c>
      <c r="P215" s="19">
        <f t="shared" ca="1" si="41"/>
        <v>957.55869509525598</v>
      </c>
      <c r="Q215" s="10">
        <f t="shared" ca="1" si="35"/>
        <v>0.69946805321421979</v>
      </c>
      <c r="R215" s="10">
        <f t="shared" ca="1" si="36"/>
        <v>5.6571702711383391</v>
      </c>
      <c r="S215" s="19">
        <f t="shared" ca="1" si="42"/>
        <v>1130.1934967497914</v>
      </c>
      <c r="T215" s="10">
        <f t="shared" ca="1" si="37"/>
        <v>0.45330464200678477</v>
      </c>
      <c r="U215" s="10">
        <f t="shared" ca="1" si="38"/>
        <v>3.1888754465914575</v>
      </c>
      <c r="V215" s="19">
        <f t="shared" ca="1" si="43"/>
        <v>1133.3823721963829</v>
      </c>
      <c r="W215" s="19">
        <f t="shared" ca="1" si="39"/>
        <v>180.12244954921869</v>
      </c>
    </row>
    <row r="216" spans="12:23" x14ac:dyDescent="0.45">
      <c r="L216" s="9">
        <v>212</v>
      </c>
      <c r="M216" s="19">
        <f t="shared" ca="1" si="40"/>
        <v>957.17763713527108</v>
      </c>
      <c r="N216" s="10">
        <f t="shared" ca="1" si="33"/>
        <v>0.82633137588470862</v>
      </c>
      <c r="O216" s="10">
        <f t="shared" ca="1" si="34"/>
        <v>4.9792102348222</v>
      </c>
      <c r="P216" s="19">
        <f t="shared" ca="1" si="41"/>
        <v>962.53790533007816</v>
      </c>
      <c r="Q216" s="10">
        <f t="shared" ca="1" si="35"/>
        <v>0.62410072012803819</v>
      </c>
      <c r="R216" s="10">
        <f t="shared" ca="1" si="36"/>
        <v>5.4982025172375035</v>
      </c>
      <c r="S216" s="19">
        <f t="shared" ca="1" si="42"/>
        <v>1135.691699267029</v>
      </c>
      <c r="T216" s="10">
        <f t="shared" ca="1" si="37"/>
        <v>0.88151710743619593</v>
      </c>
      <c r="U216" s="10">
        <f t="shared" ca="1" si="38"/>
        <v>4.1568527083701063</v>
      </c>
      <c r="V216" s="19">
        <f t="shared" ca="1" si="43"/>
        <v>1139.848551975399</v>
      </c>
      <c r="W216" s="19">
        <f t="shared" ca="1" si="39"/>
        <v>182.67091484012792</v>
      </c>
    </row>
    <row r="217" spans="12:23" x14ac:dyDescent="0.45">
      <c r="L217" s="9">
        <v>213</v>
      </c>
      <c r="M217" s="19">
        <f t="shared" ca="1" si="40"/>
        <v>958.31667466527801</v>
      </c>
      <c r="N217" s="10">
        <f t="shared" ca="1" si="33"/>
        <v>3.6093578670191584E-2</v>
      </c>
      <c r="O217" s="10">
        <f t="shared" ca="1" si="34"/>
        <v>3.3290603835325285</v>
      </c>
      <c r="P217" s="19">
        <f t="shared" ca="1" si="41"/>
        <v>965.86696571361074</v>
      </c>
      <c r="Q217" s="10">
        <f t="shared" ca="1" si="35"/>
        <v>0.85861269352648306</v>
      </c>
      <c r="R217" s="10">
        <f t="shared" ca="1" si="36"/>
        <v>6.0789550288714986</v>
      </c>
      <c r="S217" s="19">
        <f t="shared" ca="1" si="42"/>
        <v>1141.7706542959004</v>
      </c>
      <c r="T217" s="10">
        <f t="shared" ca="1" si="37"/>
        <v>0.58510933668870224</v>
      </c>
      <c r="U217" s="10">
        <f t="shared" ca="1" si="38"/>
        <v>3.4222344978204822</v>
      </c>
      <c r="V217" s="19">
        <f t="shared" ca="1" si="43"/>
        <v>1145.1928887937208</v>
      </c>
      <c r="W217" s="19">
        <f t="shared" ca="1" si="39"/>
        <v>186.87621412844283</v>
      </c>
    </row>
    <row r="218" spans="12:23" x14ac:dyDescent="0.45">
      <c r="L218" s="9">
        <v>214</v>
      </c>
      <c r="M218" s="19">
        <f t="shared" ca="1" si="40"/>
        <v>962.43977467606214</v>
      </c>
      <c r="N218" s="10">
        <f t="shared" ca="1" si="33"/>
        <v>0.45036602235491552</v>
      </c>
      <c r="O218" s="10">
        <f t="shared" ca="1" si="34"/>
        <v>4.1840143541672727</v>
      </c>
      <c r="P218" s="19">
        <f t="shared" ca="1" si="41"/>
        <v>970.05098006777803</v>
      </c>
      <c r="Q218" s="10">
        <f t="shared" ca="1" si="35"/>
        <v>0.56283503684749059</v>
      </c>
      <c r="R218" s="10">
        <f t="shared" ca="1" si="36"/>
        <v>5.3804353119078394</v>
      </c>
      <c r="S218" s="19">
        <f t="shared" ca="1" si="42"/>
        <v>1147.1510896078082</v>
      </c>
      <c r="T218" s="10">
        <f t="shared" ca="1" si="37"/>
        <v>0.40566981421707971</v>
      </c>
      <c r="U218" s="10">
        <f t="shared" ca="1" si="38"/>
        <v>3.1116194465369218</v>
      </c>
      <c r="V218" s="19">
        <f t="shared" ca="1" si="43"/>
        <v>1150.2627090543451</v>
      </c>
      <c r="W218" s="19">
        <f t="shared" ca="1" si="39"/>
        <v>187.82293437828298</v>
      </c>
    </row>
    <row r="219" spans="12:23" x14ac:dyDescent="0.45">
      <c r="L219" s="9">
        <v>215</v>
      </c>
      <c r="M219" s="19">
        <f t="shared" ca="1" si="40"/>
        <v>967.68808906956633</v>
      </c>
      <c r="N219" s="10">
        <f t="shared" ca="1" si="33"/>
        <v>0.97432719066426576</v>
      </c>
      <c r="O219" s="10">
        <f t="shared" ca="1" si="34"/>
        <v>5.6075247064917262</v>
      </c>
      <c r="P219" s="19">
        <f t="shared" ca="1" si="41"/>
        <v>975.65850477426977</v>
      </c>
      <c r="Q219" s="10">
        <f t="shared" ca="1" si="35"/>
        <v>0.28944236718570748</v>
      </c>
      <c r="R219" s="10">
        <f t="shared" ca="1" si="36"/>
        <v>4.9318407061065335</v>
      </c>
      <c r="S219" s="19">
        <f t="shared" ca="1" si="42"/>
        <v>1152.0829303139149</v>
      </c>
      <c r="T219" s="10">
        <f t="shared" ca="1" si="37"/>
        <v>0.70357981612486598</v>
      </c>
      <c r="U219" s="10">
        <f t="shared" ca="1" si="38"/>
        <v>3.6663879487456619</v>
      </c>
      <c r="V219" s="19">
        <f t="shared" ca="1" si="43"/>
        <v>1155.7493182626606</v>
      </c>
      <c r="W219" s="19">
        <f t="shared" ca="1" si="39"/>
        <v>188.06122919309428</v>
      </c>
    </row>
    <row r="220" spans="12:23" x14ac:dyDescent="0.45">
      <c r="L220" s="9">
        <v>216</v>
      </c>
      <c r="M220" s="19">
        <f t="shared" ca="1" si="40"/>
        <v>969.19185592337226</v>
      </c>
      <c r="N220" s="10">
        <f t="shared" ca="1" si="33"/>
        <v>0.7856529276326345</v>
      </c>
      <c r="O220" s="10">
        <f t="shared" ca="1" si="34"/>
        <v>4.8659442543665712</v>
      </c>
      <c r="P220" s="19">
        <f t="shared" ca="1" si="41"/>
        <v>980.52444902863635</v>
      </c>
      <c r="Q220" s="10">
        <f t="shared" ca="1" si="35"/>
        <v>0.38790417887826223</v>
      </c>
      <c r="R220" s="10">
        <f t="shared" ca="1" si="36"/>
        <v>5.0836036613658369</v>
      </c>
      <c r="S220" s="19">
        <f t="shared" ca="1" si="42"/>
        <v>1157.1665339752808</v>
      </c>
      <c r="T220" s="10">
        <f t="shared" ca="1" si="37"/>
        <v>0.53558070642190236</v>
      </c>
      <c r="U220" s="10">
        <f t="shared" ca="1" si="38"/>
        <v>3.3307139965037189</v>
      </c>
      <c r="V220" s="19">
        <f t="shared" ca="1" si="43"/>
        <v>1160.4972479717844</v>
      </c>
      <c r="W220" s="19">
        <f t="shared" ca="1" si="39"/>
        <v>191.30539204841216</v>
      </c>
    </row>
    <row r="221" spans="12:23" x14ac:dyDescent="0.45">
      <c r="L221" s="9">
        <v>217</v>
      </c>
      <c r="M221" s="19">
        <f t="shared" ca="1" si="40"/>
        <v>971.54874634157136</v>
      </c>
      <c r="N221" s="10">
        <f t="shared" ca="1" si="33"/>
        <v>0.23112909455682329</v>
      </c>
      <c r="O221" s="10">
        <f t="shared" ca="1" si="34"/>
        <v>3.8326987952858285</v>
      </c>
      <c r="P221" s="19">
        <f t="shared" ca="1" si="41"/>
        <v>984.35714782392222</v>
      </c>
      <c r="Q221" s="10">
        <f t="shared" ca="1" si="35"/>
        <v>0.89953257752931437</v>
      </c>
      <c r="R221" s="10">
        <f t="shared" ca="1" si="36"/>
        <v>6.2235951218442054</v>
      </c>
      <c r="S221" s="19">
        <f t="shared" ca="1" si="42"/>
        <v>1163.3901290971251</v>
      </c>
      <c r="T221" s="10">
        <f t="shared" ca="1" si="37"/>
        <v>0.14631699674292531</v>
      </c>
      <c r="U221" s="10">
        <f t="shared" ca="1" si="38"/>
        <v>2.662533765349945</v>
      </c>
      <c r="V221" s="19">
        <f t="shared" ca="1" si="43"/>
        <v>1166.052662862475</v>
      </c>
      <c r="W221" s="19">
        <f t="shared" ca="1" si="39"/>
        <v>194.50391652090366</v>
      </c>
    </row>
    <row r="222" spans="12:23" x14ac:dyDescent="0.45">
      <c r="L222" s="9">
        <v>218</v>
      </c>
      <c r="M222" s="19">
        <f t="shared" ca="1" si="40"/>
        <v>976.95035987551864</v>
      </c>
      <c r="N222" s="10">
        <f t="shared" ca="1" si="33"/>
        <v>0.22674001813473155</v>
      </c>
      <c r="O222" s="10">
        <f t="shared" ca="1" si="34"/>
        <v>3.8247545419118314</v>
      </c>
      <c r="P222" s="19">
        <f t="shared" ca="1" si="41"/>
        <v>988.18190236583405</v>
      </c>
      <c r="Q222" s="10">
        <f t="shared" ca="1" si="35"/>
        <v>3.3195394350016283E-2</v>
      </c>
      <c r="R222" s="10">
        <f t="shared" ca="1" si="36"/>
        <v>4.3155727856613257</v>
      </c>
      <c r="S222" s="19">
        <f t="shared" ca="1" si="42"/>
        <v>1167.7057018827863</v>
      </c>
      <c r="T222" s="10">
        <f t="shared" ca="1" si="37"/>
        <v>0.20418279899072467</v>
      </c>
      <c r="U222" s="10">
        <f t="shared" ca="1" si="38"/>
        <v>2.782654711205506</v>
      </c>
      <c r="V222" s="19">
        <f t="shared" ca="1" si="43"/>
        <v>1170.4883565939917</v>
      </c>
      <c r="W222" s="19">
        <f t="shared" ca="1" si="39"/>
        <v>193.5379967184731</v>
      </c>
    </row>
    <row r="223" spans="12:23" x14ac:dyDescent="0.45">
      <c r="L223" s="9">
        <v>219</v>
      </c>
      <c r="M223" s="19">
        <f t="shared" ca="1" si="40"/>
        <v>987.53677076479414</v>
      </c>
      <c r="N223" s="10">
        <f t="shared" ca="1" si="33"/>
        <v>7.1616349318121553E-2</v>
      </c>
      <c r="O223" s="10">
        <f t="shared" ca="1" si="34"/>
        <v>3.4635181204164134</v>
      </c>
      <c r="P223" s="19">
        <f t="shared" ca="1" si="41"/>
        <v>991.64542048625049</v>
      </c>
      <c r="Q223" s="10">
        <f t="shared" ca="1" si="35"/>
        <v>0.56931751239233985</v>
      </c>
      <c r="R223" s="10">
        <f t="shared" ca="1" si="36"/>
        <v>5.3924879702951021</v>
      </c>
      <c r="S223" s="19">
        <f t="shared" ca="1" si="42"/>
        <v>1173.0981898530815</v>
      </c>
      <c r="T223" s="10">
        <f t="shared" ca="1" si="37"/>
        <v>0.63204202269821208</v>
      </c>
      <c r="U223" s="10">
        <f t="shared" ca="1" si="38"/>
        <v>3.5141507937173682</v>
      </c>
      <c r="V223" s="19">
        <f t="shared" ca="1" si="43"/>
        <v>1176.6123406467989</v>
      </c>
      <c r="W223" s="19">
        <f t="shared" ca="1" si="39"/>
        <v>189.07556988200474</v>
      </c>
    </row>
    <row r="224" spans="12:23" x14ac:dyDescent="0.45">
      <c r="L224" s="9">
        <v>220</v>
      </c>
      <c r="M224" s="19">
        <f t="shared" ca="1" si="40"/>
        <v>987.54384234336067</v>
      </c>
      <c r="N224" s="10">
        <f t="shared" ca="1" si="33"/>
        <v>0.72528598567806257</v>
      </c>
      <c r="O224" s="10">
        <f t="shared" ca="1" si="34"/>
        <v>4.716144834519242</v>
      </c>
      <c r="P224" s="19">
        <f t="shared" ca="1" si="41"/>
        <v>996.36156532076973</v>
      </c>
      <c r="Q224" s="10">
        <f t="shared" ca="1" si="35"/>
        <v>0.36888250852363391</v>
      </c>
      <c r="R224" s="10">
        <f t="shared" ca="1" si="36"/>
        <v>5.0540542276676366</v>
      </c>
      <c r="S224" s="19">
        <f t="shared" ca="1" si="42"/>
        <v>1178.1522440807491</v>
      </c>
      <c r="T224" s="10">
        <f t="shared" ca="1" si="37"/>
        <v>0.33081699706236711</v>
      </c>
      <c r="U224" s="10">
        <f t="shared" ca="1" si="38"/>
        <v>2.9962183451367985</v>
      </c>
      <c r="V224" s="19">
        <f t="shared" ca="1" si="43"/>
        <v>1181.148462425886</v>
      </c>
      <c r="W224" s="19">
        <f t="shared" ca="1" si="39"/>
        <v>193.60462008252534</v>
      </c>
    </row>
    <row r="225" spans="12:23" x14ac:dyDescent="0.45">
      <c r="L225" s="9">
        <v>221</v>
      </c>
      <c r="M225" s="19">
        <f t="shared" ca="1" si="40"/>
        <v>1006.6199283907807</v>
      </c>
      <c r="N225" s="10">
        <f t="shared" ca="1" si="33"/>
        <v>0.78279196419003283</v>
      </c>
      <c r="O225" s="10">
        <f t="shared" ca="1" si="34"/>
        <v>4.8584010271291396</v>
      </c>
      <c r="P225" s="19">
        <f t="shared" ca="1" si="41"/>
        <v>1011.4783294179099</v>
      </c>
      <c r="Q225" s="10">
        <f t="shared" ca="1" si="35"/>
        <v>0.57298788356007146</v>
      </c>
      <c r="R225" s="10">
        <f t="shared" ca="1" si="36"/>
        <v>5.3993524127280326</v>
      </c>
      <c r="S225" s="19">
        <f t="shared" ca="1" si="42"/>
        <v>1183.5515964934771</v>
      </c>
      <c r="T225" s="10">
        <f t="shared" ca="1" si="37"/>
        <v>6.3193633873234401E-2</v>
      </c>
      <c r="U225" s="10">
        <f t="shared" ca="1" si="38"/>
        <v>2.4354088901477589</v>
      </c>
      <c r="V225" s="19">
        <f t="shared" ca="1" si="43"/>
        <v>1185.9870053836248</v>
      </c>
      <c r="W225" s="19">
        <f t="shared" ca="1" si="39"/>
        <v>179.36707699284409</v>
      </c>
    </row>
    <row r="226" spans="12:23" x14ac:dyDescent="0.45">
      <c r="L226" s="9">
        <v>222</v>
      </c>
      <c r="M226" s="19">
        <f t="shared" ca="1" si="40"/>
        <v>1008.5807108602514</v>
      </c>
      <c r="N226" s="10">
        <f t="shared" ca="1" si="33"/>
        <v>0.83806282778029173</v>
      </c>
      <c r="O226" s="10">
        <f t="shared" ca="1" si="34"/>
        <v>5.0142905938775622</v>
      </c>
      <c r="P226" s="19">
        <f t="shared" ca="1" si="41"/>
        <v>1016.4926200117875</v>
      </c>
      <c r="Q226" s="10">
        <f t="shared" ca="1" si="35"/>
        <v>0.73730843902685517</v>
      </c>
      <c r="R226" s="10">
        <f t="shared" ca="1" si="36"/>
        <v>5.7445521253995171</v>
      </c>
      <c r="S226" s="19">
        <f t="shared" ca="1" si="42"/>
        <v>1189.2961486188765</v>
      </c>
      <c r="T226" s="10">
        <f t="shared" ca="1" si="37"/>
        <v>4.5471533371858164E-2</v>
      </c>
      <c r="U226" s="10">
        <f t="shared" ca="1" si="38"/>
        <v>2.3693434717381296</v>
      </c>
      <c r="V226" s="19">
        <f t="shared" ca="1" si="43"/>
        <v>1191.6654920906146</v>
      </c>
      <c r="W226" s="19">
        <f t="shared" ca="1" si="39"/>
        <v>183.08478123036321</v>
      </c>
    </row>
    <row r="227" spans="12:23" x14ac:dyDescent="0.45">
      <c r="L227" s="9">
        <v>223</v>
      </c>
      <c r="M227" s="19">
        <f t="shared" ca="1" si="40"/>
        <v>1029.5047525256743</v>
      </c>
      <c r="N227" s="10">
        <f t="shared" ca="1" si="33"/>
        <v>0.21826275117440475</v>
      </c>
      <c r="O227" s="10">
        <f t="shared" ca="1" si="34"/>
        <v>3.8091898748274193</v>
      </c>
      <c r="P227" s="19">
        <f t="shared" ca="1" si="41"/>
        <v>1033.3139424005017</v>
      </c>
      <c r="Q227" s="10">
        <f t="shared" ca="1" si="35"/>
        <v>0.99048059409980527</v>
      </c>
      <c r="R227" s="10">
        <f t="shared" ca="1" si="36"/>
        <v>6.7610095495607236</v>
      </c>
      <c r="S227" s="19">
        <f t="shared" ca="1" si="42"/>
        <v>1196.0571581684371</v>
      </c>
      <c r="T227" s="10">
        <f t="shared" ca="1" si="37"/>
        <v>0.50939390245837379</v>
      </c>
      <c r="U227" s="10">
        <f t="shared" ca="1" si="38"/>
        <v>3.2842970579818438</v>
      </c>
      <c r="V227" s="19">
        <f t="shared" ca="1" si="43"/>
        <v>1199.3414552264189</v>
      </c>
      <c r="W227" s="19">
        <f t="shared" ca="1" si="39"/>
        <v>169.83670270074458</v>
      </c>
    </row>
    <row r="228" spans="12:23" x14ac:dyDescent="0.45">
      <c r="L228" s="9">
        <v>224</v>
      </c>
      <c r="M228" s="19">
        <f t="shared" ca="1" si="40"/>
        <v>1032.0166719404356</v>
      </c>
      <c r="N228" s="10">
        <f t="shared" ca="1" si="33"/>
        <v>0.92567699166646067</v>
      </c>
      <c r="O228" s="10">
        <f t="shared" ca="1" si="34"/>
        <v>5.3322140687306776</v>
      </c>
      <c r="P228" s="19">
        <f t="shared" ca="1" si="41"/>
        <v>1038.6461564692324</v>
      </c>
      <c r="Q228" s="10">
        <f t="shared" ca="1" si="35"/>
        <v>0.22984733979685434</v>
      </c>
      <c r="R228" s="10">
        <f t="shared" ca="1" si="36"/>
        <v>4.8303866686011787</v>
      </c>
      <c r="S228" s="19">
        <f t="shared" ca="1" si="42"/>
        <v>1200.8875448370384</v>
      </c>
      <c r="T228" s="10">
        <f t="shared" ca="1" si="37"/>
        <v>0.17835357288847375</v>
      </c>
      <c r="U228" s="10">
        <f t="shared" ca="1" si="38"/>
        <v>2.7314784471639757</v>
      </c>
      <c r="V228" s="19">
        <f t="shared" ca="1" si="43"/>
        <v>1203.6190232842023</v>
      </c>
      <c r="W228" s="19">
        <f t="shared" ca="1" si="39"/>
        <v>171.60235134376671</v>
      </c>
    </row>
    <row r="229" spans="12:23" x14ac:dyDescent="0.45">
      <c r="L229" s="9">
        <v>225</v>
      </c>
      <c r="M229" s="19">
        <f t="shared" ca="1" si="40"/>
        <v>1034.00043017706</v>
      </c>
      <c r="N229" s="10">
        <f t="shared" ca="1" si="33"/>
        <v>0.38272109286736788</v>
      </c>
      <c r="O229" s="10">
        <f t="shared" ca="1" si="34"/>
        <v>4.0755069647318045</v>
      </c>
      <c r="P229" s="19">
        <f t="shared" ca="1" si="41"/>
        <v>1042.7216634339643</v>
      </c>
      <c r="Q229" s="10">
        <f t="shared" ca="1" si="35"/>
        <v>0.7829051188561762</v>
      </c>
      <c r="R229" s="10">
        <f t="shared" ca="1" si="36"/>
        <v>5.8586984242265574</v>
      </c>
      <c r="S229" s="19">
        <f t="shared" ca="1" si="42"/>
        <v>1206.7462432612649</v>
      </c>
      <c r="T229" s="10">
        <f t="shared" ca="1" si="37"/>
        <v>0.32145808714092461</v>
      </c>
      <c r="U229" s="10">
        <f t="shared" ca="1" si="38"/>
        <v>2.9820255910223388</v>
      </c>
      <c r="V229" s="19">
        <f t="shared" ca="1" si="43"/>
        <v>1209.7282688522873</v>
      </c>
      <c r="W229" s="19">
        <f t="shared" ca="1" si="39"/>
        <v>175.7278386752273</v>
      </c>
    </row>
    <row r="230" spans="12:23" x14ac:dyDescent="0.45">
      <c r="L230" s="9">
        <v>226</v>
      </c>
      <c r="M230" s="19">
        <f t="shared" ca="1" si="40"/>
        <v>1034.3145830339336</v>
      </c>
      <c r="N230" s="10">
        <f t="shared" ca="1" si="33"/>
        <v>0.94098659196555612</v>
      </c>
      <c r="O230" s="10">
        <f t="shared" ca="1" si="34"/>
        <v>5.4049534066926661</v>
      </c>
      <c r="P230" s="19">
        <f t="shared" ca="1" si="41"/>
        <v>1048.1266168406569</v>
      </c>
      <c r="Q230" s="10">
        <f t="shared" ca="1" si="35"/>
        <v>0.48503383878177686</v>
      </c>
      <c r="R230" s="10">
        <f t="shared" ca="1" si="36"/>
        <v>5.2422181684551017</v>
      </c>
      <c r="S230" s="19">
        <f t="shared" ca="1" si="42"/>
        <v>1211.98846142972</v>
      </c>
      <c r="T230" s="10">
        <f t="shared" ca="1" si="37"/>
        <v>0.66334892998815065</v>
      </c>
      <c r="U230" s="10">
        <f t="shared" ca="1" si="38"/>
        <v>3.5787658813302095</v>
      </c>
      <c r="V230" s="19">
        <f t="shared" ca="1" si="43"/>
        <v>1215.5672273110501</v>
      </c>
      <c r="W230" s="19">
        <f t="shared" ca="1" si="39"/>
        <v>181.25264427711659</v>
      </c>
    </row>
    <row r="231" spans="12:23" x14ac:dyDescent="0.45">
      <c r="L231" s="9">
        <v>227</v>
      </c>
      <c r="M231" s="19">
        <f t="shared" ca="1" si="40"/>
        <v>1036.7187804748371</v>
      </c>
      <c r="N231" s="10">
        <f t="shared" ca="1" si="33"/>
        <v>0.75731971677482945</v>
      </c>
      <c r="O231" s="10">
        <f t="shared" ca="1" si="34"/>
        <v>4.7933178963160916</v>
      </c>
      <c r="P231" s="19">
        <f t="shared" ca="1" si="41"/>
        <v>1052.9199347369729</v>
      </c>
      <c r="Q231" s="10">
        <f t="shared" ca="1" si="35"/>
        <v>0.92464608465073572</v>
      </c>
      <c r="R231" s="10">
        <f t="shared" ca="1" si="36"/>
        <v>6.3275987120063011</v>
      </c>
      <c r="S231" s="19">
        <f t="shared" ca="1" si="42"/>
        <v>1218.3160601417262</v>
      </c>
      <c r="T231" s="10">
        <f t="shared" ca="1" si="37"/>
        <v>0.15447780670482281</v>
      </c>
      <c r="U231" s="10">
        <f t="shared" ca="1" si="38"/>
        <v>2.6807594436469233</v>
      </c>
      <c r="V231" s="19">
        <f t="shared" ca="1" si="43"/>
        <v>1220.996819585373</v>
      </c>
      <c r="W231" s="19">
        <f t="shared" ca="1" si="39"/>
        <v>184.27803911053593</v>
      </c>
    </row>
    <row r="232" spans="12:23" x14ac:dyDescent="0.45">
      <c r="L232" s="9">
        <v>228</v>
      </c>
      <c r="M232" s="19">
        <f t="shared" ca="1" si="40"/>
        <v>1043.3469668767236</v>
      </c>
      <c r="N232" s="10">
        <f t="shared" ca="1" si="33"/>
        <v>0.62544507022667706</v>
      </c>
      <c r="O232" s="10">
        <f t="shared" ca="1" si="34"/>
        <v>4.5008904047268796</v>
      </c>
      <c r="P232" s="19">
        <f t="shared" ca="1" si="41"/>
        <v>1057.4208251416999</v>
      </c>
      <c r="Q232" s="10">
        <f t="shared" ca="1" si="35"/>
        <v>0.29183403730744129</v>
      </c>
      <c r="R232" s="10">
        <f t="shared" ca="1" si="36"/>
        <v>4.9356826983130144</v>
      </c>
      <c r="S232" s="19">
        <f t="shared" ca="1" si="42"/>
        <v>1223.2517428400392</v>
      </c>
      <c r="T232" s="10">
        <f t="shared" ca="1" si="37"/>
        <v>0.42118220286798991</v>
      </c>
      <c r="U232" s="10">
        <f t="shared" ca="1" si="38"/>
        <v>3.1364263409266431</v>
      </c>
      <c r="V232" s="19">
        <f t="shared" ca="1" si="43"/>
        <v>1226.3881691809659</v>
      </c>
      <c r="W232" s="19">
        <f t="shared" ca="1" si="39"/>
        <v>183.04120230424223</v>
      </c>
    </row>
    <row r="233" spans="12:23" x14ac:dyDescent="0.45">
      <c r="L233" s="9">
        <v>229</v>
      </c>
      <c r="M233" s="19">
        <f t="shared" ca="1" si="40"/>
        <v>1048.8192847786513</v>
      </c>
      <c r="N233" s="10">
        <f t="shared" ca="1" si="33"/>
        <v>0.53873061484196438</v>
      </c>
      <c r="O233" s="10">
        <f t="shared" ca="1" si="34"/>
        <v>4.3363845663891514</v>
      </c>
      <c r="P233" s="19">
        <f t="shared" ca="1" si="41"/>
        <v>1061.757209708089</v>
      </c>
      <c r="Q233" s="10">
        <f t="shared" ca="1" si="35"/>
        <v>0.19902970841146195</v>
      </c>
      <c r="R233" s="10">
        <f t="shared" ca="1" si="36"/>
        <v>4.7727154231891493</v>
      </c>
      <c r="S233" s="19">
        <f t="shared" ca="1" si="42"/>
        <v>1228.0244582632283</v>
      </c>
      <c r="T233" s="10">
        <f t="shared" ca="1" si="37"/>
        <v>0.84618053380350722</v>
      </c>
      <c r="U233" s="10">
        <f t="shared" ca="1" si="38"/>
        <v>4.0393144129430496</v>
      </c>
      <c r="V233" s="19">
        <f t="shared" ca="1" si="43"/>
        <v>1232.0637726761713</v>
      </c>
      <c r="W233" s="19">
        <f t="shared" ca="1" si="39"/>
        <v>183.24448789752</v>
      </c>
    </row>
    <row r="234" spans="12:23" x14ac:dyDescent="0.45">
      <c r="L234" s="9">
        <v>230</v>
      </c>
      <c r="M234" s="19">
        <f t="shared" ca="1" si="40"/>
        <v>1049.1854920983362</v>
      </c>
      <c r="N234" s="10">
        <f t="shared" ca="1" si="33"/>
        <v>0.56195424313602782</v>
      </c>
      <c r="O234" s="10">
        <f t="shared" ca="1" si="34"/>
        <v>4.3788045950028627</v>
      </c>
      <c r="P234" s="19">
        <f t="shared" ca="1" si="41"/>
        <v>1066.136014303092</v>
      </c>
      <c r="Q234" s="10">
        <f t="shared" ca="1" si="35"/>
        <v>0.90230038412621616</v>
      </c>
      <c r="R234" s="10">
        <f t="shared" ca="1" si="36"/>
        <v>6.2343645154234926</v>
      </c>
      <c r="S234" s="19">
        <f t="shared" ca="1" si="42"/>
        <v>1234.2588227786518</v>
      </c>
      <c r="T234" s="10">
        <f t="shared" ca="1" si="37"/>
        <v>0.6285791658312927</v>
      </c>
      <c r="U234" s="10">
        <f t="shared" ca="1" si="38"/>
        <v>3.5071754942350912</v>
      </c>
      <c r="V234" s="19">
        <f t="shared" ca="1" si="43"/>
        <v>1237.7659982728869</v>
      </c>
      <c r="W234" s="19">
        <f t="shared" ca="1" si="39"/>
        <v>188.58050617455069</v>
      </c>
    </row>
    <row r="235" spans="12:23" x14ac:dyDescent="0.45">
      <c r="L235" s="9">
        <v>231</v>
      </c>
      <c r="M235" s="19">
        <f t="shared" ca="1" si="40"/>
        <v>1053.8192448265006</v>
      </c>
      <c r="N235" s="10">
        <f t="shared" ca="1" si="33"/>
        <v>0.41063067721996871</v>
      </c>
      <c r="O235" s="10">
        <f t="shared" ca="1" si="34"/>
        <v>4.1195171001361945</v>
      </c>
      <c r="P235" s="19">
        <f t="shared" ca="1" si="41"/>
        <v>1070.2555314032281</v>
      </c>
      <c r="Q235" s="10">
        <f t="shared" ca="1" si="35"/>
        <v>0.85892543391887444</v>
      </c>
      <c r="R235" s="10">
        <f t="shared" ca="1" si="36"/>
        <v>6.079974241400409</v>
      </c>
      <c r="S235" s="19">
        <f t="shared" ca="1" si="42"/>
        <v>1240.3387970200522</v>
      </c>
      <c r="T235" s="10">
        <f t="shared" ca="1" si="37"/>
        <v>0.94120028051514515</v>
      </c>
      <c r="U235" s="10">
        <f t="shared" ca="1" si="38"/>
        <v>4.4060317206204278</v>
      </c>
      <c r="V235" s="19">
        <f t="shared" ca="1" si="43"/>
        <v>1244.7448287406726</v>
      </c>
      <c r="W235" s="19">
        <f t="shared" ca="1" si="39"/>
        <v>190.92558391417197</v>
      </c>
    </row>
    <row r="236" spans="12:23" x14ac:dyDescent="0.45">
      <c r="L236" s="9">
        <v>232</v>
      </c>
      <c r="M236" s="19">
        <f t="shared" ca="1" si="40"/>
        <v>1061.2348854612728</v>
      </c>
      <c r="N236" s="10">
        <f t="shared" ca="1" si="33"/>
        <v>5.4050146872887228E-2</v>
      </c>
      <c r="O236" s="10">
        <f t="shared" ca="1" si="34"/>
        <v>3.4026790789433461</v>
      </c>
      <c r="P236" s="19">
        <f t="shared" ca="1" si="41"/>
        <v>1073.6582104821714</v>
      </c>
      <c r="Q236" s="10">
        <f t="shared" ca="1" si="35"/>
        <v>0.37567030807170232</v>
      </c>
      <c r="R236" s="10">
        <f t="shared" ca="1" si="36"/>
        <v>5.0645470422741381</v>
      </c>
      <c r="S236" s="19">
        <f t="shared" ca="1" si="42"/>
        <v>1245.4033440623264</v>
      </c>
      <c r="T236" s="10">
        <f t="shared" ca="1" si="37"/>
        <v>0.54721231737849685</v>
      </c>
      <c r="U236" s="10">
        <f t="shared" ca="1" si="38"/>
        <v>3.3517505966240977</v>
      </c>
      <c r="V236" s="19">
        <f t="shared" ca="1" si="43"/>
        <v>1248.7550946589504</v>
      </c>
      <c r="W236" s="19">
        <f t="shared" ca="1" si="39"/>
        <v>187.52020919767756</v>
      </c>
    </row>
    <row r="237" spans="12:23" x14ac:dyDescent="0.45">
      <c r="L237" s="9">
        <v>233</v>
      </c>
      <c r="M237" s="19">
        <f t="shared" ca="1" si="40"/>
        <v>1063.4703234393169</v>
      </c>
      <c r="N237" s="10">
        <f t="shared" ca="1" si="33"/>
        <v>0.41269265024072621</v>
      </c>
      <c r="O237" s="10">
        <f t="shared" ca="1" si="34"/>
        <v>4.1228095199059736</v>
      </c>
      <c r="P237" s="19">
        <f t="shared" ca="1" si="41"/>
        <v>1077.7810200020774</v>
      </c>
      <c r="Q237" s="10">
        <f t="shared" ca="1" si="35"/>
        <v>0.64405083297654975</v>
      </c>
      <c r="R237" s="10">
        <f t="shared" ca="1" si="36"/>
        <v>5.5385982748947153</v>
      </c>
      <c r="S237" s="19">
        <f t="shared" ca="1" si="42"/>
        <v>1250.941942337221</v>
      </c>
      <c r="T237" s="10">
        <f t="shared" ca="1" si="37"/>
        <v>0.90148046937027893</v>
      </c>
      <c r="U237" s="10">
        <f t="shared" ca="1" si="38"/>
        <v>4.2311585444460436</v>
      </c>
      <c r="V237" s="19">
        <f t="shared" ca="1" si="43"/>
        <v>1255.1731008816671</v>
      </c>
      <c r="W237" s="19">
        <f t="shared" ca="1" si="39"/>
        <v>191.70277744235023</v>
      </c>
    </row>
    <row r="238" spans="12:23" x14ac:dyDescent="0.45">
      <c r="L238" s="9">
        <v>234</v>
      </c>
      <c r="M238" s="19">
        <f t="shared" ca="1" si="40"/>
        <v>1068.9719608591456</v>
      </c>
      <c r="N238" s="10">
        <f t="shared" ca="1" si="33"/>
        <v>0.18586636996111439</v>
      </c>
      <c r="O238" s="10">
        <f t="shared" ca="1" si="34"/>
        <v>3.7467255920907916</v>
      </c>
      <c r="P238" s="19">
        <f t="shared" ca="1" si="41"/>
        <v>1081.5277455941682</v>
      </c>
      <c r="Q238" s="10">
        <f t="shared" ca="1" si="35"/>
        <v>0.12603751226208137</v>
      </c>
      <c r="R238" s="10">
        <f t="shared" ca="1" si="36"/>
        <v>4.6149085596950528</v>
      </c>
      <c r="S238" s="19">
        <f t="shared" ca="1" si="42"/>
        <v>1255.5568508969161</v>
      </c>
      <c r="T238" s="10">
        <f t="shared" ca="1" si="37"/>
        <v>0.58134601501693761</v>
      </c>
      <c r="U238" s="10">
        <f t="shared" ca="1" si="38"/>
        <v>3.415094983950655</v>
      </c>
      <c r="V238" s="19">
        <f t="shared" ca="1" si="43"/>
        <v>1258.9719458808668</v>
      </c>
      <c r="W238" s="19">
        <f t="shared" ca="1" si="39"/>
        <v>189.99998502172116</v>
      </c>
    </row>
    <row r="239" spans="12:23" x14ac:dyDescent="0.45">
      <c r="L239" s="9">
        <v>235</v>
      </c>
      <c r="M239" s="19">
        <f t="shared" ca="1" si="40"/>
        <v>1069.7401137081731</v>
      </c>
      <c r="N239" s="10">
        <f t="shared" ca="1" si="33"/>
        <v>0.53851783734161973</v>
      </c>
      <c r="O239" s="10">
        <f t="shared" ca="1" si="34"/>
        <v>4.3360009086690336</v>
      </c>
      <c r="P239" s="19">
        <f t="shared" ca="1" si="41"/>
        <v>1085.8637465028373</v>
      </c>
      <c r="Q239" s="10">
        <f t="shared" ca="1" si="35"/>
        <v>0.9702662099283047</v>
      </c>
      <c r="R239" s="10">
        <f t="shared" ca="1" si="36"/>
        <v>6.5776225142953617</v>
      </c>
      <c r="S239" s="19">
        <f t="shared" ca="1" si="42"/>
        <v>1262.1344734112115</v>
      </c>
      <c r="T239" s="10">
        <f t="shared" ca="1" si="37"/>
        <v>0.23252524095824378</v>
      </c>
      <c r="U239" s="10">
        <f t="shared" ca="1" si="38"/>
        <v>2.835209987293454</v>
      </c>
      <c r="V239" s="19">
        <f t="shared" ca="1" si="43"/>
        <v>1264.9696833985049</v>
      </c>
      <c r="W239" s="19">
        <f t="shared" ca="1" si="39"/>
        <v>195.2295696903318</v>
      </c>
    </row>
    <row r="240" spans="12:23" x14ac:dyDescent="0.45">
      <c r="L240" s="9">
        <v>236</v>
      </c>
      <c r="M240" s="19">
        <f t="shared" ca="1" si="40"/>
        <v>1070.606173680314</v>
      </c>
      <c r="N240" s="10">
        <f t="shared" ca="1" si="33"/>
        <v>0.73045021372154062</v>
      </c>
      <c r="O240" s="10">
        <f t="shared" ca="1" si="34"/>
        <v>4.7282694005133177</v>
      </c>
      <c r="P240" s="19">
        <f t="shared" ca="1" si="41"/>
        <v>1090.5920159033506</v>
      </c>
      <c r="Q240" s="10">
        <f t="shared" ca="1" si="35"/>
        <v>0.98734060711301297</v>
      </c>
      <c r="R240" s="10">
        <f t="shared" ca="1" si="36"/>
        <v>6.7243981906410584</v>
      </c>
      <c r="S240" s="19">
        <f t="shared" ca="1" si="42"/>
        <v>1268.8588716018526</v>
      </c>
      <c r="T240" s="10">
        <f t="shared" ca="1" si="37"/>
        <v>0.4568746434159815</v>
      </c>
      <c r="U240" s="10">
        <f t="shared" ca="1" si="38"/>
        <v>3.1947985875520395</v>
      </c>
      <c r="V240" s="19">
        <f t="shared" ca="1" si="43"/>
        <v>1272.0536701894046</v>
      </c>
      <c r="W240" s="19">
        <f t="shared" ca="1" si="39"/>
        <v>201.44749650909057</v>
      </c>
    </row>
    <row r="241" spans="12:23" x14ac:dyDescent="0.45">
      <c r="L241" s="9">
        <v>237</v>
      </c>
      <c r="M241" s="19">
        <f t="shared" ca="1" si="40"/>
        <v>1071.810270767513</v>
      </c>
      <c r="N241" s="10">
        <f t="shared" ca="1" si="33"/>
        <v>0.26915380334350336</v>
      </c>
      <c r="O241" s="10">
        <f t="shared" ca="1" si="34"/>
        <v>3.8985885654906309</v>
      </c>
      <c r="P241" s="19">
        <f t="shared" ca="1" si="41"/>
        <v>1094.4906044688412</v>
      </c>
      <c r="Q241" s="10">
        <f t="shared" ca="1" si="35"/>
        <v>3.9554913491305022E-2</v>
      </c>
      <c r="R241" s="10">
        <f t="shared" ca="1" si="36"/>
        <v>4.3444774890670148</v>
      </c>
      <c r="S241" s="19">
        <f t="shared" ca="1" si="42"/>
        <v>1273.2033490909196</v>
      </c>
      <c r="T241" s="10">
        <f t="shared" ca="1" si="37"/>
        <v>0.50549094181998155</v>
      </c>
      <c r="U241" s="10">
        <f t="shared" ca="1" si="38"/>
        <v>3.2774860380594557</v>
      </c>
      <c r="V241" s="19">
        <f t="shared" ca="1" si="43"/>
        <v>1276.4808351289789</v>
      </c>
      <c r="W241" s="19">
        <f t="shared" ca="1" si="39"/>
        <v>204.67056436146595</v>
      </c>
    </row>
    <row r="242" spans="12:23" x14ac:dyDescent="0.45">
      <c r="L242" s="9">
        <v>238</v>
      </c>
      <c r="M242" s="19">
        <f t="shared" ca="1" si="40"/>
        <v>1074.5637930359264</v>
      </c>
      <c r="N242" s="10">
        <f t="shared" ca="1" si="33"/>
        <v>0.94385354795956544</v>
      </c>
      <c r="O242" s="10">
        <f t="shared" ca="1" si="34"/>
        <v>5.4195874637444437</v>
      </c>
      <c r="P242" s="19">
        <f t="shared" ca="1" si="41"/>
        <v>1099.9101919325856</v>
      </c>
      <c r="Q242" s="10">
        <f t="shared" ca="1" si="35"/>
        <v>0.56427228583174027</v>
      </c>
      <c r="R242" s="10">
        <f t="shared" ca="1" si="36"/>
        <v>5.3830997912642973</v>
      </c>
      <c r="S242" s="19">
        <f t="shared" ca="1" si="42"/>
        <v>1278.586448882184</v>
      </c>
      <c r="T242" s="10">
        <f t="shared" ca="1" si="37"/>
        <v>0.42765950205907932</v>
      </c>
      <c r="U242" s="10">
        <f t="shared" ca="1" si="38"/>
        <v>3.1468828996403051</v>
      </c>
      <c r="V242" s="19">
        <f t="shared" ca="1" si="43"/>
        <v>1281.7333317818243</v>
      </c>
      <c r="W242" s="19">
        <f t="shared" ca="1" si="39"/>
        <v>207.16953874589785</v>
      </c>
    </row>
    <row r="243" spans="12:23" x14ac:dyDescent="0.45">
      <c r="L243" s="9">
        <v>239</v>
      </c>
      <c r="M243" s="19">
        <f t="shared" ca="1" si="40"/>
        <v>1076.4096957158333</v>
      </c>
      <c r="N243" s="10">
        <f t="shared" ca="1" si="33"/>
        <v>0.33031448325435409</v>
      </c>
      <c r="O243" s="10">
        <f t="shared" ca="1" si="34"/>
        <v>3.9954614255525236</v>
      </c>
      <c r="P243" s="19">
        <f t="shared" ca="1" si="41"/>
        <v>1103.9056533581381</v>
      </c>
      <c r="Q243" s="10">
        <f t="shared" ca="1" si="35"/>
        <v>0.23947651612683307</v>
      </c>
      <c r="R243" s="10">
        <f t="shared" ca="1" si="36"/>
        <v>4.8476022347661072</v>
      </c>
      <c r="S243" s="19">
        <f t="shared" ca="1" si="42"/>
        <v>1283.4340511169501</v>
      </c>
      <c r="T243" s="10">
        <f t="shared" ca="1" si="37"/>
        <v>2.2304859479513439E-2</v>
      </c>
      <c r="U243" s="10">
        <f t="shared" ca="1" si="38"/>
        <v>2.2586785233422759</v>
      </c>
      <c r="V243" s="19">
        <f t="shared" ca="1" si="43"/>
        <v>1285.6927296402923</v>
      </c>
      <c r="W243" s="19">
        <f t="shared" ca="1" si="39"/>
        <v>209.283033924459</v>
      </c>
    </row>
    <row r="244" spans="12:23" x14ac:dyDescent="0.45">
      <c r="L244" s="9">
        <v>240</v>
      </c>
      <c r="M244" s="19">
        <f t="shared" ca="1" si="40"/>
        <v>1089.4537182329198</v>
      </c>
      <c r="N244" s="10">
        <f t="shared" ca="1" si="33"/>
        <v>0.39483946449581608</v>
      </c>
      <c r="O244" s="10">
        <f t="shared" ca="1" si="34"/>
        <v>4.0944913505771998</v>
      </c>
      <c r="P244" s="19">
        <f t="shared" ca="1" si="41"/>
        <v>1108.0001447087154</v>
      </c>
      <c r="Q244" s="10">
        <f t="shared" ca="1" si="35"/>
        <v>0.79990019102498355</v>
      </c>
      <c r="R244" s="10">
        <f t="shared" ca="1" si="36"/>
        <v>5.9042815809478704</v>
      </c>
      <c r="S244" s="19">
        <f t="shared" ca="1" si="42"/>
        <v>1289.3383326978978</v>
      </c>
      <c r="T244" s="10">
        <f t="shared" ca="1" si="37"/>
        <v>0.86464879012272045</v>
      </c>
      <c r="U244" s="10">
        <f t="shared" ca="1" si="38"/>
        <v>4.0988300608299912</v>
      </c>
      <c r="V244" s="19">
        <f t="shared" ca="1" si="43"/>
        <v>1293.4371627587279</v>
      </c>
      <c r="W244" s="19">
        <f t="shared" ca="1" si="39"/>
        <v>203.98344452580818</v>
      </c>
    </row>
    <row r="245" spans="12:23" x14ac:dyDescent="0.45">
      <c r="L245" s="9">
        <v>241</v>
      </c>
      <c r="M245" s="19">
        <f t="shared" ca="1" si="40"/>
        <v>1093.467255766938</v>
      </c>
      <c r="N245" s="10">
        <f t="shared" ca="1" si="33"/>
        <v>0.49718906694954512</v>
      </c>
      <c r="O245" s="10">
        <f t="shared" ca="1" si="34"/>
        <v>4.2630873371689848</v>
      </c>
      <c r="P245" s="19">
        <f t="shared" ca="1" si="41"/>
        <v>1112.2632320458845</v>
      </c>
      <c r="Q245" s="10">
        <f t="shared" ca="1" si="35"/>
        <v>0.60606082493738933</v>
      </c>
      <c r="R245" s="10">
        <f t="shared" ca="1" si="36"/>
        <v>5.4625881975294766</v>
      </c>
      <c r="S245" s="19">
        <f t="shared" ca="1" si="42"/>
        <v>1294.8009208954272</v>
      </c>
      <c r="T245" s="10">
        <f t="shared" ca="1" si="37"/>
        <v>0.72415754018731615</v>
      </c>
      <c r="U245" s="10">
        <f t="shared" ca="1" si="38"/>
        <v>3.7135106845076002</v>
      </c>
      <c r="V245" s="19">
        <f t="shared" ca="1" si="43"/>
        <v>1298.5144315799348</v>
      </c>
      <c r="W245" s="19">
        <f t="shared" ca="1" si="39"/>
        <v>205.04717581299678</v>
      </c>
    </row>
    <row r="246" spans="12:23" x14ac:dyDescent="0.45">
      <c r="L246" s="9">
        <v>242</v>
      </c>
      <c r="M246" s="19">
        <f t="shared" ca="1" si="40"/>
        <v>1110.9724625877413</v>
      </c>
      <c r="N246" s="10">
        <f t="shared" ca="1" si="33"/>
        <v>0.40645278582865796</v>
      </c>
      <c r="O246" s="10">
        <f t="shared" ca="1" si="34"/>
        <v>4.1128637343773899</v>
      </c>
      <c r="P246" s="19">
        <f t="shared" ca="1" si="41"/>
        <v>1116.3760957802619</v>
      </c>
      <c r="Q246" s="10">
        <f t="shared" ca="1" si="35"/>
        <v>0.98026825833354958</v>
      </c>
      <c r="R246" s="10">
        <f t="shared" ca="1" si="36"/>
        <v>6.6559208666618934</v>
      </c>
      <c r="S246" s="19">
        <f t="shared" ca="1" si="42"/>
        <v>1301.4568417620892</v>
      </c>
      <c r="T246" s="10">
        <f t="shared" ca="1" si="37"/>
        <v>0.18724064599208623</v>
      </c>
      <c r="U246" s="10">
        <f t="shared" ca="1" si="38"/>
        <v>2.7494811124880059</v>
      </c>
      <c r="V246" s="19">
        <f t="shared" ca="1" si="43"/>
        <v>1304.2063228745772</v>
      </c>
      <c r="W246" s="19">
        <f t="shared" ca="1" si="39"/>
        <v>193.23386028683581</v>
      </c>
    </row>
    <row r="247" spans="12:23" x14ac:dyDescent="0.45">
      <c r="L247" s="9">
        <v>243</v>
      </c>
      <c r="M247" s="19">
        <f t="shared" ca="1" si="40"/>
        <v>1111.8105354245934</v>
      </c>
      <c r="N247" s="10">
        <f t="shared" ca="1" si="33"/>
        <v>0.12392751787931577</v>
      </c>
      <c r="O247" s="10">
        <f t="shared" ca="1" si="34"/>
        <v>3.6097397425442654</v>
      </c>
      <c r="P247" s="19">
        <f t="shared" ca="1" si="41"/>
        <v>1119.9858355228062</v>
      </c>
      <c r="Q247" s="10">
        <f t="shared" ca="1" si="35"/>
        <v>0.15576586674761106</v>
      </c>
      <c r="R247" s="10">
        <f t="shared" ca="1" si="36"/>
        <v>4.6835916911745148</v>
      </c>
      <c r="S247" s="19">
        <f t="shared" ca="1" si="42"/>
        <v>1306.1404334532638</v>
      </c>
      <c r="T247" s="10">
        <f t="shared" ca="1" si="37"/>
        <v>0.61236127297159293</v>
      </c>
      <c r="U247" s="10">
        <f t="shared" ca="1" si="38"/>
        <v>3.4749320139185786</v>
      </c>
      <c r="V247" s="19">
        <f t="shared" ca="1" si="43"/>
        <v>1309.6153654671823</v>
      </c>
      <c r="W247" s="19">
        <f t="shared" ca="1" si="39"/>
        <v>197.80483004258895</v>
      </c>
    </row>
    <row r="248" spans="12:23" x14ac:dyDescent="0.45">
      <c r="L248" s="9">
        <v>244</v>
      </c>
      <c r="M248" s="19">
        <f t="shared" ca="1" si="40"/>
        <v>1113.5737925171165</v>
      </c>
      <c r="N248" s="10">
        <f t="shared" ca="1" si="33"/>
        <v>4.7851796357130216E-2</v>
      </c>
      <c r="O248" s="10">
        <f t="shared" ca="1" si="34"/>
        <v>3.3788870399886894</v>
      </c>
      <c r="P248" s="19">
        <f t="shared" ca="1" si="41"/>
        <v>1123.3647225627949</v>
      </c>
      <c r="Q248" s="10">
        <f t="shared" ca="1" si="35"/>
        <v>0.29879273773918413</v>
      </c>
      <c r="R248" s="10">
        <f t="shared" ca="1" si="36"/>
        <v>4.9467725245366765</v>
      </c>
      <c r="S248" s="19">
        <f t="shared" ca="1" si="42"/>
        <v>1311.0872059778005</v>
      </c>
      <c r="T248" s="10">
        <f t="shared" ca="1" si="37"/>
        <v>0.26070601505481017</v>
      </c>
      <c r="U248" s="10">
        <f t="shared" ca="1" si="38"/>
        <v>2.8843743806581186</v>
      </c>
      <c r="V248" s="19">
        <f t="shared" ca="1" si="43"/>
        <v>1313.9715803584586</v>
      </c>
      <c r="W248" s="19">
        <f t="shared" ca="1" si="39"/>
        <v>200.39778784134205</v>
      </c>
    </row>
    <row r="249" spans="12:23" x14ac:dyDescent="0.45">
      <c r="L249" s="9">
        <v>245</v>
      </c>
      <c r="M249" s="19">
        <f t="shared" ca="1" si="40"/>
        <v>1116.3791823693562</v>
      </c>
      <c r="N249" s="10">
        <f t="shared" ca="1" si="33"/>
        <v>7.6509887793310805E-2</v>
      </c>
      <c r="O249" s="10">
        <f t="shared" ca="1" si="34"/>
        <v>3.4790925415615783</v>
      </c>
      <c r="P249" s="19">
        <f t="shared" ca="1" si="41"/>
        <v>1126.8438151043565</v>
      </c>
      <c r="Q249" s="10">
        <f t="shared" ca="1" si="35"/>
        <v>0.54061419401547994</v>
      </c>
      <c r="R249" s="10">
        <f t="shared" ca="1" si="36"/>
        <v>5.3397847019416069</v>
      </c>
      <c r="S249" s="19">
        <f t="shared" ca="1" si="42"/>
        <v>1316.4269906797422</v>
      </c>
      <c r="T249" s="10">
        <f t="shared" ca="1" si="37"/>
        <v>0.67059511662974203</v>
      </c>
      <c r="U249" s="10">
        <f t="shared" ca="1" si="38"/>
        <v>3.5941446375172346</v>
      </c>
      <c r="V249" s="19">
        <f t="shared" ca="1" si="43"/>
        <v>1320.0211353172594</v>
      </c>
      <c r="W249" s="19">
        <f t="shared" ca="1" si="39"/>
        <v>203.64195294790329</v>
      </c>
    </row>
    <row r="250" spans="12:23" x14ac:dyDescent="0.45">
      <c r="L250" s="9">
        <v>246</v>
      </c>
      <c r="M250" s="19">
        <f t="shared" ca="1" si="40"/>
        <v>1130.8413780655092</v>
      </c>
      <c r="N250" s="10">
        <f t="shared" ca="1" si="33"/>
        <v>0.31406326342879753</v>
      </c>
      <c r="O250" s="10">
        <f t="shared" ca="1" si="34"/>
        <v>3.9706646126682443</v>
      </c>
      <c r="P250" s="19">
        <f t="shared" ca="1" si="41"/>
        <v>1134.8120426781775</v>
      </c>
      <c r="Q250" s="10">
        <f t="shared" ca="1" si="35"/>
        <v>0.21253314221235697</v>
      </c>
      <c r="R250" s="10">
        <f t="shared" ca="1" si="36"/>
        <v>4.7984982320813687</v>
      </c>
      <c r="S250" s="19">
        <f t="shared" ca="1" si="42"/>
        <v>1321.2254889118235</v>
      </c>
      <c r="T250" s="10">
        <f t="shared" ca="1" si="37"/>
        <v>0.5470618277101128</v>
      </c>
      <c r="U250" s="10">
        <f t="shared" ca="1" si="38"/>
        <v>3.3514767111929165</v>
      </c>
      <c r="V250" s="19">
        <f t="shared" ca="1" si="43"/>
        <v>1324.5769656230163</v>
      </c>
      <c r="W250" s="19">
        <f t="shared" ca="1" si="39"/>
        <v>193.73558755750719</v>
      </c>
    </row>
    <row r="251" spans="12:23" x14ac:dyDescent="0.45">
      <c r="L251" s="9">
        <v>247</v>
      </c>
      <c r="M251" s="19">
        <f t="shared" ca="1" si="40"/>
        <v>1139.7050695123351</v>
      </c>
      <c r="N251" s="10">
        <f t="shared" ca="1" si="33"/>
        <v>0.27850960677575609</v>
      </c>
      <c r="O251" s="10">
        <f t="shared" ca="1" si="34"/>
        <v>3.9140726559345644</v>
      </c>
      <c r="P251" s="19">
        <f t="shared" ca="1" si="41"/>
        <v>1143.6191421682697</v>
      </c>
      <c r="Q251" s="10">
        <f t="shared" ca="1" si="35"/>
        <v>0.72989473996444731</v>
      </c>
      <c r="R251" s="10">
        <f t="shared" ca="1" si="36"/>
        <v>5.7269597177570084</v>
      </c>
      <c r="S251" s="19">
        <f t="shared" ca="1" si="42"/>
        <v>1326.9524486295804</v>
      </c>
      <c r="T251" s="10">
        <f t="shared" ca="1" si="37"/>
        <v>0.68158439041342567</v>
      </c>
      <c r="U251" s="10">
        <f t="shared" ca="1" si="38"/>
        <v>3.6177939164077428</v>
      </c>
      <c r="V251" s="19">
        <f t="shared" ca="1" si="43"/>
        <v>1330.5702425459881</v>
      </c>
      <c r="W251" s="19">
        <f t="shared" ca="1" si="39"/>
        <v>190.86517303365304</v>
      </c>
    </row>
    <row r="252" spans="12:23" x14ac:dyDescent="0.45">
      <c r="L252" s="9">
        <v>248</v>
      </c>
      <c r="M252" s="19">
        <f t="shared" ca="1" si="40"/>
        <v>1144.637658823108</v>
      </c>
      <c r="N252" s="10">
        <f t="shared" ca="1" si="33"/>
        <v>0.20132570254026783</v>
      </c>
      <c r="O252" s="10">
        <f t="shared" ca="1" si="34"/>
        <v>3.7771596410138675</v>
      </c>
      <c r="P252" s="19">
        <f t="shared" ca="1" si="41"/>
        <v>1148.4148184641219</v>
      </c>
      <c r="Q252" s="10">
        <f t="shared" ca="1" si="35"/>
        <v>0.86880413727602035</v>
      </c>
      <c r="R252" s="10">
        <f t="shared" ca="1" si="36"/>
        <v>6.112771068808124</v>
      </c>
      <c r="S252" s="19">
        <f t="shared" ca="1" si="42"/>
        <v>1333.0652196983885</v>
      </c>
      <c r="T252" s="10">
        <f t="shared" ca="1" si="37"/>
        <v>0.41291797236278194</v>
      </c>
      <c r="U252" s="10">
        <f t="shared" ca="1" si="38"/>
        <v>3.1231696491629011</v>
      </c>
      <c r="V252" s="19">
        <f t="shared" ca="1" si="43"/>
        <v>1336.1883893475515</v>
      </c>
      <c r="W252" s="19">
        <f t="shared" ca="1" si="39"/>
        <v>191.55073052444345</v>
      </c>
    </row>
    <row r="253" spans="12:23" x14ac:dyDescent="0.45">
      <c r="L253" s="9">
        <v>249</v>
      </c>
      <c r="M253" s="19">
        <f t="shared" ca="1" si="40"/>
        <v>1156.6547974436812</v>
      </c>
      <c r="N253" s="10">
        <f t="shared" ca="1" si="33"/>
        <v>0.48095150122792008</v>
      </c>
      <c r="O253" s="10">
        <f t="shared" ca="1" si="34"/>
        <v>4.2352646111576728</v>
      </c>
      <c r="P253" s="19">
        <f t="shared" ca="1" si="41"/>
        <v>1160.8900620548388</v>
      </c>
      <c r="Q253" s="10">
        <f t="shared" ca="1" si="35"/>
        <v>0.30608835096541354</v>
      </c>
      <c r="R253" s="10">
        <f t="shared" ca="1" si="36"/>
        <v>4.9582614741792765</v>
      </c>
      <c r="S253" s="19">
        <f t="shared" ca="1" si="42"/>
        <v>1338.0234811725679</v>
      </c>
      <c r="T253" s="10">
        <f t="shared" ca="1" si="37"/>
        <v>0.72366093783460905</v>
      </c>
      <c r="U253" s="10">
        <f t="shared" ca="1" si="38"/>
        <v>3.7123531644925514</v>
      </c>
      <c r="V253" s="19">
        <f t="shared" ca="1" si="43"/>
        <v>1341.7358343370604</v>
      </c>
      <c r="W253" s="19">
        <f t="shared" ca="1" si="39"/>
        <v>185.08103689337918</v>
      </c>
    </row>
    <row r="254" spans="12:23" x14ac:dyDescent="0.45">
      <c r="L254" s="9">
        <v>250</v>
      </c>
      <c r="M254" s="19">
        <f t="shared" ca="1" si="40"/>
        <v>1166.2446954173463</v>
      </c>
      <c r="N254" s="10">
        <f t="shared" ca="1" si="33"/>
        <v>0.43737589515149311</v>
      </c>
      <c r="O254" s="10">
        <f t="shared" ca="1" si="34"/>
        <v>4.1626800417208107</v>
      </c>
      <c r="P254" s="19">
        <f t="shared" ca="1" si="41"/>
        <v>1170.407375459067</v>
      </c>
      <c r="Q254" s="10">
        <f t="shared" ca="1" si="35"/>
        <v>0.8595486925630893</v>
      </c>
      <c r="R254" s="10">
        <f t="shared" ca="1" si="36"/>
        <v>6.0820087992679532</v>
      </c>
      <c r="S254" s="19">
        <f t="shared" ca="1" si="42"/>
        <v>1344.1054899718358</v>
      </c>
      <c r="T254" s="10">
        <f t="shared" ca="1" si="37"/>
        <v>0.63698118750332255</v>
      </c>
      <c r="U254" s="10">
        <f t="shared" ca="1" si="38"/>
        <v>3.5241568935079632</v>
      </c>
      <c r="V254" s="19">
        <f t="shared" ca="1" si="43"/>
        <v>1347.6296468653438</v>
      </c>
      <c r="W254" s="19">
        <f t="shared" ca="1" si="39"/>
        <v>181.38495144799754</v>
      </c>
    </row>
    <row r="255" spans="12:23" x14ac:dyDescent="0.45">
      <c r="L255" s="9">
        <v>251</v>
      </c>
      <c r="M255" s="19">
        <f t="shared" ca="1" si="40"/>
        <v>1175.5563337029955</v>
      </c>
      <c r="N255" s="10">
        <f t="shared" ca="1" si="33"/>
        <v>0.52915309518053844</v>
      </c>
      <c r="O255" s="10">
        <f t="shared" ca="1" si="34"/>
        <v>4.3192021451356002</v>
      </c>
      <c r="P255" s="19">
        <f t="shared" ca="1" si="41"/>
        <v>1179.8755358481312</v>
      </c>
      <c r="Q255" s="10">
        <f t="shared" ca="1" si="35"/>
        <v>0.38786473249036257</v>
      </c>
      <c r="R255" s="10">
        <f t="shared" ca="1" si="36"/>
        <v>5.0835419114789318</v>
      </c>
      <c r="S255" s="19">
        <f t="shared" ca="1" si="42"/>
        <v>1349.1890318833148</v>
      </c>
      <c r="T255" s="10">
        <f t="shared" ca="1" si="37"/>
        <v>0.61189543265570367</v>
      </c>
      <c r="U255" s="10">
        <f t="shared" ca="1" si="38"/>
        <v>3.4740159227351755</v>
      </c>
      <c r="V255" s="19">
        <f t="shared" ca="1" si="43"/>
        <v>1352.6630478060499</v>
      </c>
      <c r="W255" s="19">
        <f t="shared" ca="1" si="39"/>
        <v>177.1067141030544</v>
      </c>
    </row>
    <row r="256" spans="12:23" x14ac:dyDescent="0.45">
      <c r="L256" s="9">
        <v>252</v>
      </c>
      <c r="M256" s="19">
        <f t="shared" ca="1" si="40"/>
        <v>1176.3258863193666</v>
      </c>
      <c r="N256" s="10">
        <f t="shared" ca="1" si="33"/>
        <v>0.68769248282488971</v>
      </c>
      <c r="O256" s="10">
        <f t="shared" ca="1" si="34"/>
        <v>4.6311153799349407</v>
      </c>
      <c r="P256" s="19">
        <f t="shared" ca="1" si="41"/>
        <v>1184.5066512280662</v>
      </c>
      <c r="Q256" s="10">
        <f t="shared" ca="1" si="35"/>
        <v>5.720073918905455E-2</v>
      </c>
      <c r="R256" s="10">
        <f t="shared" ca="1" si="36"/>
        <v>4.4142489801643015</v>
      </c>
      <c r="S256" s="19">
        <f t="shared" ca="1" si="42"/>
        <v>1353.6032808634791</v>
      </c>
      <c r="T256" s="10">
        <f t="shared" ca="1" si="37"/>
        <v>0.47674074551800227</v>
      </c>
      <c r="U256" s="10">
        <f t="shared" ca="1" si="38"/>
        <v>3.2281209051145767</v>
      </c>
      <c r="V256" s="19">
        <f t="shared" ca="1" si="43"/>
        <v>1356.8314017685937</v>
      </c>
      <c r="W256" s="19">
        <f t="shared" ca="1" si="39"/>
        <v>180.505515449227</v>
      </c>
    </row>
    <row r="257" spans="12:23" x14ac:dyDescent="0.45">
      <c r="L257" s="9">
        <v>253</v>
      </c>
      <c r="M257" s="19">
        <f t="shared" ca="1" si="40"/>
        <v>1187.9635616683315</v>
      </c>
      <c r="N257" s="10">
        <f t="shared" ca="1" si="33"/>
        <v>0.65512140322022139</v>
      </c>
      <c r="O257" s="10">
        <f t="shared" ca="1" si="34"/>
        <v>4.5615037084932499</v>
      </c>
      <c r="P257" s="19">
        <f t="shared" ca="1" si="41"/>
        <v>1192.5250653768248</v>
      </c>
      <c r="Q257" s="10">
        <f t="shared" ca="1" si="35"/>
        <v>0.38327772773558366</v>
      </c>
      <c r="R257" s="10">
        <f t="shared" ca="1" si="36"/>
        <v>5.0763748718665331</v>
      </c>
      <c r="S257" s="19">
        <f t="shared" ca="1" si="42"/>
        <v>1358.6796557353457</v>
      </c>
      <c r="T257" s="10">
        <f t="shared" ca="1" si="37"/>
        <v>0.20371635251587994</v>
      </c>
      <c r="U257" s="10">
        <f t="shared" ca="1" si="38"/>
        <v>2.7817602302161704</v>
      </c>
      <c r="V257" s="19">
        <f t="shared" ca="1" si="43"/>
        <v>1361.4614159655619</v>
      </c>
      <c r="W257" s="19">
        <f t="shared" ca="1" si="39"/>
        <v>173.49785429723033</v>
      </c>
    </row>
    <row r="258" spans="12:23" x14ac:dyDescent="0.45">
      <c r="L258" s="9">
        <v>254</v>
      </c>
      <c r="M258" s="19">
        <f t="shared" ca="1" si="40"/>
        <v>1190.8592790960174</v>
      </c>
      <c r="N258" s="10">
        <f t="shared" ca="1" si="33"/>
        <v>0.11378761423312056</v>
      </c>
      <c r="O258" s="10">
        <f t="shared" ca="1" si="34"/>
        <v>3.5842626487286018</v>
      </c>
      <c r="P258" s="19">
        <f t="shared" ca="1" si="41"/>
        <v>1196.1093280255534</v>
      </c>
      <c r="Q258" s="10">
        <f t="shared" ca="1" si="35"/>
        <v>6.6809969202215713E-2</v>
      </c>
      <c r="R258" s="10">
        <f t="shared" ca="1" si="36"/>
        <v>4.4476939887988749</v>
      </c>
      <c r="S258" s="19">
        <f t="shared" ca="1" si="42"/>
        <v>1363.1273497241446</v>
      </c>
      <c r="T258" s="10">
        <f t="shared" ca="1" si="37"/>
        <v>0.11361245934610809</v>
      </c>
      <c r="U258" s="10">
        <f t="shared" ca="1" si="38"/>
        <v>2.5838127936576281</v>
      </c>
      <c r="V258" s="19">
        <f t="shared" ca="1" si="43"/>
        <v>1365.7111625178022</v>
      </c>
      <c r="W258" s="19">
        <f t="shared" ca="1" si="39"/>
        <v>174.85188342178481</v>
      </c>
    </row>
    <row r="259" spans="12:23" x14ac:dyDescent="0.45">
      <c r="L259" s="9">
        <v>255</v>
      </c>
      <c r="M259" s="19">
        <f t="shared" ca="1" si="40"/>
        <v>1198.0507061141341</v>
      </c>
      <c r="N259" s="10">
        <f t="shared" ca="1" si="33"/>
        <v>0.17765683982892078</v>
      </c>
      <c r="O259" s="10">
        <f t="shared" ca="1" si="34"/>
        <v>3.7300482994204991</v>
      </c>
      <c r="P259" s="19">
        <f t="shared" ca="1" si="41"/>
        <v>1201.7807544135546</v>
      </c>
      <c r="Q259" s="10">
        <f t="shared" ca="1" si="35"/>
        <v>0.74597972002696855</v>
      </c>
      <c r="R259" s="10">
        <f t="shared" ca="1" si="36"/>
        <v>5.7654467691354139</v>
      </c>
      <c r="S259" s="19">
        <f t="shared" ca="1" si="42"/>
        <v>1368.89279649328</v>
      </c>
      <c r="T259" s="10">
        <f t="shared" ca="1" si="37"/>
        <v>0.22116512863580595</v>
      </c>
      <c r="U259" s="10">
        <f t="shared" ca="1" si="38"/>
        <v>2.8145522610044234</v>
      </c>
      <c r="V259" s="19">
        <f t="shared" ca="1" si="43"/>
        <v>1371.7073487542843</v>
      </c>
      <c r="W259" s="19">
        <f t="shared" ca="1" si="39"/>
        <v>173.65664264015027</v>
      </c>
    </row>
    <row r="260" spans="12:23" x14ac:dyDescent="0.45">
      <c r="L260" s="9">
        <v>256</v>
      </c>
      <c r="M260" s="19">
        <f t="shared" ca="1" si="40"/>
        <v>1203.5627432736376</v>
      </c>
      <c r="N260" s="10">
        <f t="shared" ca="1" si="33"/>
        <v>0.15466875691610538</v>
      </c>
      <c r="O260" s="10">
        <f t="shared" ca="1" si="34"/>
        <v>3.6811800575092581</v>
      </c>
      <c r="P260" s="19">
        <f t="shared" ca="1" si="41"/>
        <v>1207.2439233311468</v>
      </c>
      <c r="Q260" s="10">
        <f t="shared" ca="1" si="35"/>
        <v>0.29819354304390777</v>
      </c>
      <c r="R260" s="10">
        <f t="shared" ca="1" si="36"/>
        <v>4.9458227260600811</v>
      </c>
      <c r="S260" s="19">
        <f t="shared" ca="1" si="42"/>
        <v>1373.83861921934</v>
      </c>
      <c r="T260" s="10">
        <f t="shared" ca="1" si="37"/>
        <v>4.4112579356475945E-2</v>
      </c>
      <c r="U260" s="10">
        <f t="shared" ca="1" si="38"/>
        <v>2.3637825422823751</v>
      </c>
      <c r="V260" s="19">
        <f t="shared" ca="1" si="43"/>
        <v>1376.2024017616225</v>
      </c>
      <c r="W260" s="19">
        <f t="shared" ca="1" si="39"/>
        <v>172.63965848798489</v>
      </c>
    </row>
    <row r="261" spans="12:23" x14ac:dyDescent="0.45">
      <c r="L261" s="9">
        <v>257</v>
      </c>
      <c r="M261" s="19">
        <f t="shared" ca="1" si="40"/>
        <v>1205.7034078278982</v>
      </c>
      <c r="N261" s="10">
        <f t="shared" ref="N261:N304" ca="1" si="44">RAND()</f>
        <v>0.59486100320484236</v>
      </c>
      <c r="O261" s="10">
        <f t="shared" ref="O261:O324" ca="1" si="45">IF(N261&lt;$F$8,$C$8+SQRT(N261*($E$8-$C$8)*($D$8-$C$8)),$E$8-SQRT((1-N261)*($E$8-$C$8)*($E$8-$D$8)))</f>
        <v>4.4408867966786545</v>
      </c>
      <c r="P261" s="19">
        <f t="shared" ca="1" si="41"/>
        <v>1211.6848101278254</v>
      </c>
      <c r="Q261" s="10">
        <f t="shared" ref="Q261:Q304" ca="1" si="46">RAND()</f>
        <v>0.32287303178019711</v>
      </c>
      <c r="R261" s="10">
        <f t="shared" ref="R261:R324" ca="1" si="47">IF(Q261&lt;$F$9,$C$9+SQRT(Q261*($E$9-$C$9)*($D$9-$C$9)),$E$9-SQRT((1-Q261)*($E$9-$C$9)*($E$9-$D$9)))</f>
        <v>4.984184482371365</v>
      </c>
      <c r="S261" s="19">
        <f t="shared" ca="1" si="42"/>
        <v>1378.8228037017113</v>
      </c>
      <c r="T261" s="10">
        <f t="shared" ref="T261:T304" ca="1" si="48">RAND()</f>
        <v>0.68141540696370739</v>
      </c>
      <c r="U261" s="10">
        <f t="shared" ref="U261:U324" ca="1" si="49">IF(T261&lt;$F$10,$C$10+SQRT(T261*($E$10-$C$10)*($D$10-$C$10)),$E$10-SQRT((1-T261)*($E$10-$C$10)*($E$10-$D$10)))</f>
        <v>3.6174271960515947</v>
      </c>
      <c r="V261" s="19">
        <f t="shared" ca="1" si="43"/>
        <v>1382.4402308977628</v>
      </c>
      <c r="W261" s="19">
        <f t="shared" ref="W261:W324" ca="1" si="50">V261-M261</f>
        <v>176.73682306986461</v>
      </c>
    </row>
    <row r="262" spans="12:23" x14ac:dyDescent="0.45">
      <c r="L262" s="9">
        <v>258</v>
      </c>
      <c r="M262" s="19">
        <f t="shared" ref="M262:M304" ca="1" si="51">M261-$C$5*LN(1-RAND())</f>
        <v>1208.2173580157441</v>
      </c>
      <c r="N262" s="10">
        <f t="shared" ca="1" si="44"/>
        <v>0.93599996711701483</v>
      </c>
      <c r="O262" s="10">
        <f t="shared" ca="1" si="45"/>
        <v>5.3803225054127664</v>
      </c>
      <c r="P262" s="19">
        <f t="shared" ref="P262:P325" ca="1" si="52">MAX(M262,P261)+O262</f>
        <v>1217.0651326332381</v>
      </c>
      <c r="Q262" s="10">
        <f t="shared" ca="1" si="46"/>
        <v>0.22490612823924772</v>
      </c>
      <c r="R262" s="10">
        <f t="shared" ca="1" si="47"/>
        <v>4.8214124327752428</v>
      </c>
      <c r="S262" s="19">
        <f t="shared" ref="S262:S325" ca="1" si="53">MAX(P262,S261)+R262</f>
        <v>1383.6442161344867</v>
      </c>
      <c r="T262" s="10">
        <f t="shared" ca="1" si="48"/>
        <v>0.57623220688011789</v>
      </c>
      <c r="U262" s="10">
        <f t="shared" ca="1" si="49"/>
        <v>3.4054446517228407</v>
      </c>
      <c r="V262" s="19">
        <f t="shared" ref="V262:V325" ca="1" si="54">MAX(S262,V261)+U262</f>
        <v>1387.0496607862094</v>
      </c>
      <c r="W262" s="19">
        <f t="shared" ca="1" si="50"/>
        <v>178.83230277046528</v>
      </c>
    </row>
    <row r="263" spans="12:23" x14ac:dyDescent="0.45">
      <c r="L263" s="9">
        <v>259</v>
      </c>
      <c r="M263" s="19">
        <f t="shared" ca="1" si="51"/>
        <v>1209.7754963059485</v>
      </c>
      <c r="N263" s="10">
        <f t="shared" ca="1" si="44"/>
        <v>0.81497608553076628</v>
      </c>
      <c r="O263" s="10">
        <f t="shared" ca="1" si="45"/>
        <v>4.9463665310861646</v>
      </c>
      <c r="P263" s="19">
        <f t="shared" ca="1" si="52"/>
        <v>1222.0114991643243</v>
      </c>
      <c r="Q263" s="10">
        <f t="shared" ca="1" si="46"/>
        <v>0.46386800409090101</v>
      </c>
      <c r="R263" s="10">
        <f t="shared" ca="1" si="47"/>
        <v>5.2064582593497875</v>
      </c>
      <c r="S263" s="19">
        <f t="shared" ca="1" si="53"/>
        <v>1388.8506743938365</v>
      </c>
      <c r="T263" s="10">
        <f t="shared" ca="1" si="48"/>
        <v>0.13840325299649947</v>
      </c>
      <c r="U263" s="10">
        <f t="shared" ca="1" si="49"/>
        <v>2.6443677203193054</v>
      </c>
      <c r="V263" s="19">
        <f t="shared" ca="1" si="54"/>
        <v>1391.4950421141557</v>
      </c>
      <c r="W263" s="19">
        <f t="shared" ca="1" si="50"/>
        <v>181.71954580820716</v>
      </c>
    </row>
    <row r="264" spans="12:23" x14ac:dyDescent="0.45">
      <c r="L264" s="9">
        <v>260</v>
      </c>
      <c r="M264" s="19">
        <f t="shared" ca="1" si="51"/>
        <v>1221.6935092340609</v>
      </c>
      <c r="N264" s="10">
        <f t="shared" ca="1" si="44"/>
        <v>0.82474311594041028</v>
      </c>
      <c r="O264" s="10">
        <f t="shared" ca="1" si="45"/>
        <v>4.9745531196802348</v>
      </c>
      <c r="P264" s="19">
        <f t="shared" ca="1" si="52"/>
        <v>1226.9860522840045</v>
      </c>
      <c r="Q264" s="10">
        <f t="shared" ca="1" si="46"/>
        <v>0.44963643809640197</v>
      </c>
      <c r="R264" s="10">
        <f t="shared" ca="1" si="47"/>
        <v>5.1828094840051611</v>
      </c>
      <c r="S264" s="19">
        <f t="shared" ca="1" si="53"/>
        <v>1394.0334838778417</v>
      </c>
      <c r="T264" s="10">
        <f t="shared" ca="1" si="48"/>
        <v>0.83571081327965491</v>
      </c>
      <c r="U264" s="10">
        <f t="shared" ca="1" si="49"/>
        <v>4.0071580587414379</v>
      </c>
      <c r="V264" s="19">
        <f t="shared" ca="1" si="54"/>
        <v>1398.0406419365831</v>
      </c>
      <c r="W264" s="19">
        <f t="shared" ca="1" si="50"/>
        <v>176.34713270252223</v>
      </c>
    </row>
    <row r="265" spans="12:23" x14ac:dyDescent="0.45">
      <c r="L265" s="9">
        <v>261</v>
      </c>
      <c r="M265" s="19">
        <f t="shared" ca="1" si="51"/>
        <v>1225.3344459993764</v>
      </c>
      <c r="N265" s="10">
        <f t="shared" ca="1" si="44"/>
        <v>0.26396918972837768</v>
      </c>
      <c r="O265" s="10">
        <f t="shared" ca="1" si="45"/>
        <v>3.8898918862340151</v>
      </c>
      <c r="P265" s="19">
        <f t="shared" ca="1" si="52"/>
        <v>1230.8759441702384</v>
      </c>
      <c r="Q265" s="10">
        <f t="shared" ca="1" si="46"/>
        <v>9.183224377239052E-2</v>
      </c>
      <c r="R265" s="10">
        <f t="shared" ca="1" si="47"/>
        <v>4.5248778251337844</v>
      </c>
      <c r="S265" s="19">
        <f t="shared" ca="1" si="53"/>
        <v>1398.5583617029754</v>
      </c>
      <c r="T265" s="10">
        <f t="shared" ca="1" si="48"/>
        <v>0.60672151175199907</v>
      </c>
      <c r="U265" s="10">
        <f t="shared" ca="1" si="49"/>
        <v>3.4638779574890526</v>
      </c>
      <c r="V265" s="19">
        <f t="shared" ca="1" si="54"/>
        <v>1402.0222396604645</v>
      </c>
      <c r="W265" s="19">
        <f t="shared" ca="1" si="50"/>
        <v>176.68779366108811</v>
      </c>
    </row>
    <row r="266" spans="12:23" x14ac:dyDescent="0.45">
      <c r="L266" s="9">
        <v>262</v>
      </c>
      <c r="M266" s="19">
        <f t="shared" ca="1" si="51"/>
        <v>1235.8895104121666</v>
      </c>
      <c r="N266" s="10">
        <f t="shared" ca="1" si="44"/>
        <v>0.11144367543247635</v>
      </c>
      <c r="O266" s="10">
        <f t="shared" ca="1" si="45"/>
        <v>3.5782136510818723</v>
      </c>
      <c r="P266" s="19">
        <f t="shared" ca="1" si="52"/>
        <v>1239.4677240632484</v>
      </c>
      <c r="Q266" s="10">
        <f t="shared" ca="1" si="46"/>
        <v>0.14364693756918046</v>
      </c>
      <c r="R266" s="10">
        <f t="shared" ca="1" si="47"/>
        <v>4.6564608234369675</v>
      </c>
      <c r="S266" s="19">
        <f t="shared" ca="1" si="53"/>
        <v>1403.2148225264123</v>
      </c>
      <c r="T266" s="10">
        <f t="shared" ca="1" si="48"/>
        <v>0.74357344997951369</v>
      </c>
      <c r="U266" s="10">
        <f t="shared" ca="1" si="49"/>
        <v>3.7596132457483602</v>
      </c>
      <c r="V266" s="19">
        <f t="shared" ca="1" si="54"/>
        <v>1406.9744357721606</v>
      </c>
      <c r="W266" s="19">
        <f t="shared" ca="1" si="50"/>
        <v>171.08492535999403</v>
      </c>
    </row>
    <row r="267" spans="12:23" x14ac:dyDescent="0.45">
      <c r="L267" s="9">
        <v>263</v>
      </c>
      <c r="M267" s="19">
        <f t="shared" ca="1" si="51"/>
        <v>1238.9695912768887</v>
      </c>
      <c r="N267" s="10">
        <f t="shared" ca="1" si="44"/>
        <v>0.26094772228356311</v>
      </c>
      <c r="O267" s="10">
        <f t="shared" ca="1" si="45"/>
        <v>3.8847842487582436</v>
      </c>
      <c r="P267" s="19">
        <f t="shared" ca="1" si="52"/>
        <v>1243.3525083120066</v>
      </c>
      <c r="Q267" s="10">
        <f t="shared" ca="1" si="46"/>
        <v>0.84200226483960239</v>
      </c>
      <c r="R267" s="10">
        <f t="shared" ca="1" si="47"/>
        <v>6.0263540628327021</v>
      </c>
      <c r="S267" s="19">
        <f t="shared" ca="1" si="53"/>
        <v>1409.241176589245</v>
      </c>
      <c r="T267" s="10">
        <f t="shared" ca="1" si="48"/>
        <v>9.8310174255175076E-3</v>
      </c>
      <c r="U267" s="10">
        <f t="shared" ca="1" si="49"/>
        <v>2.17173541357726</v>
      </c>
      <c r="V267" s="19">
        <f t="shared" ca="1" si="54"/>
        <v>1411.4129120028222</v>
      </c>
      <c r="W267" s="19">
        <f t="shared" ca="1" si="50"/>
        <v>172.44332072593352</v>
      </c>
    </row>
    <row r="268" spans="12:23" x14ac:dyDescent="0.45">
      <c r="L268" s="9">
        <v>264</v>
      </c>
      <c r="M268" s="19">
        <f t="shared" ca="1" si="51"/>
        <v>1239.8588131651345</v>
      </c>
      <c r="N268" s="10">
        <f t="shared" ca="1" si="44"/>
        <v>0.91137097108384479</v>
      </c>
      <c r="O268" s="10">
        <f t="shared" ca="1" si="45"/>
        <v>5.2707715217458038</v>
      </c>
      <c r="P268" s="19">
        <f t="shared" ca="1" si="52"/>
        <v>1248.6232798337523</v>
      </c>
      <c r="Q268" s="10">
        <f t="shared" ca="1" si="46"/>
        <v>0.59319702630270721</v>
      </c>
      <c r="R268" s="10">
        <f t="shared" ca="1" si="47"/>
        <v>5.4376883018476256</v>
      </c>
      <c r="S268" s="19">
        <f t="shared" ca="1" si="53"/>
        <v>1414.6788648910926</v>
      </c>
      <c r="T268" s="10">
        <f t="shared" ca="1" si="48"/>
        <v>0.7000676994374222</v>
      </c>
      <c r="U268" s="10">
        <f t="shared" ca="1" si="49"/>
        <v>3.658510602585519</v>
      </c>
      <c r="V268" s="19">
        <f t="shared" ca="1" si="54"/>
        <v>1418.3373754936781</v>
      </c>
      <c r="W268" s="19">
        <f t="shared" ca="1" si="50"/>
        <v>178.4785623285436</v>
      </c>
    </row>
    <row r="269" spans="12:23" x14ac:dyDescent="0.45">
      <c r="L269" s="9">
        <v>265</v>
      </c>
      <c r="M269" s="19">
        <f t="shared" ca="1" si="51"/>
        <v>1244.2521936017729</v>
      </c>
      <c r="N269" s="10">
        <f t="shared" ca="1" si="44"/>
        <v>0.82011402202715156</v>
      </c>
      <c r="O269" s="10">
        <f t="shared" ca="1" si="45"/>
        <v>4.9610987208415374</v>
      </c>
      <c r="P269" s="19">
        <f t="shared" ca="1" si="52"/>
        <v>1253.584378554594</v>
      </c>
      <c r="Q269" s="10">
        <f t="shared" ca="1" si="46"/>
        <v>0.1646141796161037</v>
      </c>
      <c r="R269" s="10">
        <f t="shared" ca="1" si="47"/>
        <v>4.7027393107321593</v>
      </c>
      <c r="S269" s="19">
        <f t="shared" ca="1" si="53"/>
        <v>1419.3816042018248</v>
      </c>
      <c r="T269" s="10">
        <f t="shared" ca="1" si="48"/>
        <v>0.92172258036745314</v>
      </c>
      <c r="U269" s="10">
        <f t="shared" ca="1" si="49"/>
        <v>4.3146792591820375</v>
      </c>
      <c r="V269" s="19">
        <f t="shared" ca="1" si="54"/>
        <v>1423.6962834610067</v>
      </c>
      <c r="W269" s="19">
        <f t="shared" ca="1" si="50"/>
        <v>179.44408985923383</v>
      </c>
    </row>
    <row r="270" spans="12:23" x14ac:dyDescent="0.45">
      <c r="L270" s="9">
        <v>266</v>
      </c>
      <c r="M270" s="19">
        <f t="shared" ca="1" si="51"/>
        <v>1253.1945211725797</v>
      </c>
      <c r="N270" s="10">
        <f t="shared" ca="1" si="44"/>
        <v>0.33343644828930008</v>
      </c>
      <c r="O270" s="10">
        <f t="shared" ca="1" si="45"/>
        <v>4.0001546784153028</v>
      </c>
      <c r="P270" s="19">
        <f t="shared" ca="1" si="52"/>
        <v>1257.5845332330093</v>
      </c>
      <c r="Q270" s="10">
        <f t="shared" ca="1" si="46"/>
        <v>0.38654268286032178</v>
      </c>
      <c r="R270" s="10">
        <f t="shared" ca="1" si="47"/>
        <v>5.0814735073921788</v>
      </c>
      <c r="S270" s="19">
        <f t="shared" ca="1" si="53"/>
        <v>1424.463077709217</v>
      </c>
      <c r="T270" s="10">
        <f t="shared" ca="1" si="48"/>
        <v>0.14402008539595912</v>
      </c>
      <c r="U270" s="10">
        <f t="shared" ca="1" si="49"/>
        <v>2.6573129058430829</v>
      </c>
      <c r="V270" s="19">
        <f t="shared" ca="1" si="54"/>
        <v>1427.1203906150602</v>
      </c>
      <c r="W270" s="19">
        <f t="shared" ca="1" si="50"/>
        <v>173.92586944248046</v>
      </c>
    </row>
    <row r="271" spans="12:23" x14ac:dyDescent="0.45">
      <c r="L271" s="9">
        <v>267</v>
      </c>
      <c r="M271" s="19">
        <f t="shared" ca="1" si="51"/>
        <v>1254.7418472558397</v>
      </c>
      <c r="N271" s="10">
        <f t="shared" ca="1" si="44"/>
        <v>0.89425444020374667</v>
      </c>
      <c r="O271" s="10">
        <f t="shared" ca="1" si="45"/>
        <v>5.2034616401092038</v>
      </c>
      <c r="P271" s="19">
        <f t="shared" ca="1" si="52"/>
        <v>1262.7879948731186</v>
      </c>
      <c r="Q271" s="10">
        <f t="shared" ca="1" si="46"/>
        <v>9.2289191479884347E-2</v>
      </c>
      <c r="R271" s="10">
        <f t="shared" ca="1" si="47"/>
        <v>4.526182073468541</v>
      </c>
      <c r="S271" s="19">
        <f t="shared" ca="1" si="53"/>
        <v>1428.9892597826856</v>
      </c>
      <c r="T271" s="10">
        <f t="shared" ca="1" si="48"/>
        <v>0.23001948605530687</v>
      </c>
      <c r="U271" s="10">
        <f t="shared" ca="1" si="49"/>
        <v>2.8306975732274173</v>
      </c>
      <c r="V271" s="19">
        <f t="shared" ca="1" si="54"/>
        <v>1431.8199573559129</v>
      </c>
      <c r="W271" s="19">
        <f t="shared" ca="1" si="50"/>
        <v>177.07811010007322</v>
      </c>
    </row>
    <row r="272" spans="12:23" x14ac:dyDescent="0.45">
      <c r="L272" s="9">
        <v>268</v>
      </c>
      <c r="M272" s="19">
        <f t="shared" ca="1" si="51"/>
        <v>1256.5226693880711</v>
      </c>
      <c r="N272" s="10">
        <f t="shared" ca="1" si="44"/>
        <v>0.23982509348398429</v>
      </c>
      <c r="O272" s="10">
        <f t="shared" ca="1" si="45"/>
        <v>3.8482188871110763</v>
      </c>
      <c r="P272" s="19">
        <f t="shared" ca="1" si="52"/>
        <v>1266.6362137602296</v>
      </c>
      <c r="Q272" s="10">
        <f t="shared" ca="1" si="46"/>
        <v>0.70038736798848678</v>
      </c>
      <c r="R272" s="10">
        <f t="shared" ca="1" si="47"/>
        <v>5.6592256744443983</v>
      </c>
      <c r="S272" s="19">
        <f t="shared" ca="1" si="53"/>
        <v>1434.6484854571299</v>
      </c>
      <c r="T272" s="10">
        <f t="shared" ca="1" si="48"/>
        <v>0.73290086740792437</v>
      </c>
      <c r="U272" s="10">
        <f t="shared" ca="1" si="49"/>
        <v>3.7340636684443984</v>
      </c>
      <c r="V272" s="19">
        <f t="shared" ca="1" si="54"/>
        <v>1438.3825491255743</v>
      </c>
      <c r="W272" s="19">
        <f t="shared" ca="1" si="50"/>
        <v>181.85987973750321</v>
      </c>
    </row>
    <row r="273" spans="12:23" x14ac:dyDescent="0.45">
      <c r="L273" s="9">
        <v>269</v>
      </c>
      <c r="M273" s="19">
        <f t="shared" ca="1" si="51"/>
        <v>1257.6646709184681</v>
      </c>
      <c r="N273" s="10">
        <f t="shared" ca="1" si="44"/>
        <v>0.58482073646874078</v>
      </c>
      <c r="O273" s="10">
        <f t="shared" ca="1" si="45"/>
        <v>4.4216858420493228</v>
      </c>
      <c r="P273" s="19">
        <f t="shared" ca="1" si="52"/>
        <v>1271.0578996022789</v>
      </c>
      <c r="Q273" s="10">
        <f t="shared" ca="1" si="46"/>
        <v>0.91631329397321915</v>
      </c>
      <c r="R273" s="10">
        <f t="shared" ca="1" si="47"/>
        <v>6.291395571449991</v>
      </c>
      <c r="S273" s="19">
        <f t="shared" ca="1" si="53"/>
        <v>1440.93988102858</v>
      </c>
      <c r="T273" s="10">
        <f t="shared" ca="1" si="48"/>
        <v>0.21606284088361127</v>
      </c>
      <c r="U273" s="10">
        <f t="shared" ca="1" si="49"/>
        <v>2.8051015604573335</v>
      </c>
      <c r="V273" s="19">
        <f t="shared" ca="1" si="54"/>
        <v>1443.7449825890374</v>
      </c>
      <c r="W273" s="19">
        <f t="shared" ca="1" si="50"/>
        <v>186.08031167056924</v>
      </c>
    </row>
    <row r="274" spans="12:23" x14ac:dyDescent="0.45">
      <c r="L274" s="9">
        <v>270</v>
      </c>
      <c r="M274" s="19">
        <f t="shared" ca="1" si="51"/>
        <v>1260.2779259021356</v>
      </c>
      <c r="N274" s="10">
        <f t="shared" ca="1" si="44"/>
        <v>0.77098468277215582</v>
      </c>
      <c r="O274" s="10">
        <f t="shared" ca="1" si="45"/>
        <v>4.8277833377028525</v>
      </c>
      <c r="P274" s="19">
        <f t="shared" ca="1" si="52"/>
        <v>1275.8856829399817</v>
      </c>
      <c r="Q274" s="10">
        <f t="shared" ca="1" si="46"/>
        <v>0.29448208003443987</v>
      </c>
      <c r="R274" s="10">
        <f t="shared" ca="1" si="47"/>
        <v>4.9399182092625509</v>
      </c>
      <c r="S274" s="19">
        <f t="shared" ca="1" si="53"/>
        <v>1445.8797992378425</v>
      </c>
      <c r="T274" s="10">
        <f t="shared" ca="1" si="48"/>
        <v>4.8400573855132079E-2</v>
      </c>
      <c r="U274" s="10">
        <f t="shared" ca="1" si="49"/>
        <v>2.3810534366271958</v>
      </c>
      <c r="V274" s="19">
        <f t="shared" ca="1" si="54"/>
        <v>1448.2608526744696</v>
      </c>
      <c r="W274" s="19">
        <f t="shared" ca="1" si="50"/>
        <v>187.98292677233394</v>
      </c>
    </row>
    <row r="275" spans="12:23" x14ac:dyDescent="0.45">
      <c r="L275" s="9">
        <v>271</v>
      </c>
      <c r="M275" s="19">
        <f t="shared" ca="1" si="51"/>
        <v>1261.3738955011431</v>
      </c>
      <c r="N275" s="10">
        <f t="shared" ca="1" si="44"/>
        <v>0.84235704429637848</v>
      </c>
      <c r="O275" s="10">
        <f t="shared" ca="1" si="45"/>
        <v>5.0274478244218823</v>
      </c>
      <c r="P275" s="19">
        <f t="shared" ca="1" si="52"/>
        <v>1280.9131307644036</v>
      </c>
      <c r="Q275" s="10">
        <f t="shared" ca="1" si="46"/>
        <v>0.73742890733616384</v>
      </c>
      <c r="R275" s="10">
        <f t="shared" ca="1" si="47"/>
        <v>5.7448400277323142</v>
      </c>
      <c r="S275" s="19">
        <f t="shared" ca="1" si="53"/>
        <v>1451.6246392655748</v>
      </c>
      <c r="T275" s="10">
        <f t="shared" ca="1" si="48"/>
        <v>0.74328040896052527</v>
      </c>
      <c r="U275" s="10">
        <f t="shared" ca="1" si="49"/>
        <v>3.7589046989707646</v>
      </c>
      <c r="V275" s="19">
        <f t="shared" ca="1" si="54"/>
        <v>1455.3835439645457</v>
      </c>
      <c r="W275" s="19">
        <f t="shared" ca="1" si="50"/>
        <v>194.00964846340253</v>
      </c>
    </row>
    <row r="276" spans="12:23" x14ac:dyDescent="0.45">
      <c r="L276" s="9">
        <v>272</v>
      </c>
      <c r="M276" s="19">
        <f t="shared" ca="1" si="51"/>
        <v>1261.509710777407</v>
      </c>
      <c r="N276" s="10">
        <f t="shared" ca="1" si="44"/>
        <v>0.1448552568632584</v>
      </c>
      <c r="O276" s="10">
        <f t="shared" ca="1" si="45"/>
        <v>3.6592160272549319</v>
      </c>
      <c r="P276" s="19">
        <f t="shared" ca="1" si="52"/>
        <v>1284.5723467916584</v>
      </c>
      <c r="Q276" s="10">
        <f t="shared" ca="1" si="46"/>
        <v>0.96977638942851319</v>
      </c>
      <c r="R276" s="10">
        <f t="shared" ca="1" si="47"/>
        <v>6.5741577012215426</v>
      </c>
      <c r="S276" s="19">
        <f t="shared" ca="1" si="53"/>
        <v>1458.1987969667964</v>
      </c>
      <c r="T276" s="10">
        <f t="shared" ca="1" si="48"/>
        <v>8.4052505809050437E-2</v>
      </c>
      <c r="U276" s="10">
        <f t="shared" ca="1" si="49"/>
        <v>2.5021528825239892</v>
      </c>
      <c r="V276" s="19">
        <f t="shared" ca="1" si="54"/>
        <v>1460.7009498493203</v>
      </c>
      <c r="W276" s="19">
        <f t="shared" ca="1" si="50"/>
        <v>199.19123907191329</v>
      </c>
    </row>
    <row r="277" spans="12:23" x14ac:dyDescent="0.45">
      <c r="L277" s="9">
        <v>273</v>
      </c>
      <c r="M277" s="19">
        <f t="shared" ca="1" si="51"/>
        <v>1270.1360994908007</v>
      </c>
      <c r="N277" s="10">
        <f t="shared" ca="1" si="44"/>
        <v>0.10762176704238702</v>
      </c>
      <c r="O277" s="10">
        <f t="shared" ca="1" si="45"/>
        <v>3.5682123732612316</v>
      </c>
      <c r="P277" s="19">
        <f t="shared" ca="1" si="52"/>
        <v>1288.1405591649198</v>
      </c>
      <c r="Q277" s="10">
        <f t="shared" ca="1" si="46"/>
        <v>0.72624974204614912</v>
      </c>
      <c r="R277" s="10">
        <f t="shared" ca="1" si="47"/>
        <v>5.7183988343782204</v>
      </c>
      <c r="S277" s="19">
        <f t="shared" ca="1" si="53"/>
        <v>1463.9171958011746</v>
      </c>
      <c r="T277" s="10">
        <f t="shared" ca="1" si="48"/>
        <v>0.41029564612353164</v>
      </c>
      <c r="U277" s="10">
        <f t="shared" ca="1" si="49"/>
        <v>3.1189826892718902</v>
      </c>
      <c r="V277" s="19">
        <f t="shared" ca="1" si="54"/>
        <v>1467.0361784904464</v>
      </c>
      <c r="W277" s="19">
        <f t="shared" ca="1" si="50"/>
        <v>196.90007899964576</v>
      </c>
    </row>
    <row r="278" spans="12:23" x14ac:dyDescent="0.45">
      <c r="L278" s="9">
        <v>274</v>
      </c>
      <c r="M278" s="19">
        <f t="shared" ca="1" si="51"/>
        <v>1274.7590378692744</v>
      </c>
      <c r="N278" s="10">
        <f t="shared" ca="1" si="44"/>
        <v>0.23441541671939148</v>
      </c>
      <c r="O278" s="10">
        <f t="shared" ca="1" si="45"/>
        <v>3.838597788071358</v>
      </c>
      <c r="P278" s="19">
        <f t="shared" ca="1" si="52"/>
        <v>1291.9791569529912</v>
      </c>
      <c r="Q278" s="10">
        <f t="shared" ca="1" si="46"/>
        <v>0.69938306091436875</v>
      </c>
      <c r="R278" s="10">
        <f t="shared" ca="1" si="47"/>
        <v>5.6569804042703673</v>
      </c>
      <c r="S278" s="19">
        <f t="shared" ca="1" si="53"/>
        <v>1469.5741762054449</v>
      </c>
      <c r="T278" s="10">
        <f t="shared" ca="1" si="48"/>
        <v>0.78155701169864811</v>
      </c>
      <c r="U278" s="10">
        <f t="shared" ca="1" si="49"/>
        <v>3.8551603038817568</v>
      </c>
      <c r="V278" s="19">
        <f t="shared" ca="1" si="54"/>
        <v>1473.4293365093267</v>
      </c>
      <c r="W278" s="19">
        <f t="shared" ca="1" si="50"/>
        <v>198.67029864005235</v>
      </c>
    </row>
    <row r="279" spans="12:23" x14ac:dyDescent="0.45">
      <c r="L279" s="9">
        <v>275</v>
      </c>
      <c r="M279" s="19">
        <f t="shared" ca="1" si="51"/>
        <v>1278.8822440766128</v>
      </c>
      <c r="N279" s="10">
        <f t="shared" ca="1" si="44"/>
        <v>0.38503406852959421</v>
      </c>
      <c r="O279" s="10">
        <f t="shared" ca="1" si="45"/>
        <v>4.0791159356113047</v>
      </c>
      <c r="P279" s="19">
        <f t="shared" ca="1" si="52"/>
        <v>1296.0582728886025</v>
      </c>
      <c r="Q279" s="10">
        <f t="shared" ca="1" si="46"/>
        <v>0.27199528434658393</v>
      </c>
      <c r="R279" s="10">
        <f t="shared" ca="1" si="47"/>
        <v>4.9033193527428445</v>
      </c>
      <c r="S279" s="19">
        <f t="shared" ca="1" si="53"/>
        <v>1474.4774955581877</v>
      </c>
      <c r="T279" s="10">
        <f t="shared" ca="1" si="48"/>
        <v>0.50373251584677314</v>
      </c>
      <c r="U279" s="10">
        <f t="shared" ca="1" si="49"/>
        <v>3.2744262099465695</v>
      </c>
      <c r="V279" s="19">
        <f t="shared" ca="1" si="54"/>
        <v>1477.7519217681343</v>
      </c>
      <c r="W279" s="19">
        <f t="shared" ca="1" si="50"/>
        <v>198.86967769152147</v>
      </c>
    </row>
    <row r="280" spans="12:23" x14ac:dyDescent="0.45">
      <c r="L280" s="9">
        <v>276</v>
      </c>
      <c r="M280" s="19">
        <f t="shared" ca="1" si="51"/>
        <v>1279.7138247646203</v>
      </c>
      <c r="N280" s="10">
        <f t="shared" ca="1" si="44"/>
        <v>0.78831325019604537</v>
      </c>
      <c r="O280" s="10">
        <f t="shared" ca="1" si="45"/>
        <v>4.8730037716018177</v>
      </c>
      <c r="P280" s="19">
        <f t="shared" ca="1" si="52"/>
        <v>1300.9312766602043</v>
      </c>
      <c r="Q280" s="10">
        <f t="shared" ca="1" si="46"/>
        <v>0.93233645468803361</v>
      </c>
      <c r="R280" s="10">
        <f t="shared" ca="1" si="47"/>
        <v>6.362833403361571</v>
      </c>
      <c r="S280" s="19">
        <f t="shared" ca="1" si="53"/>
        <v>1480.8403289615492</v>
      </c>
      <c r="T280" s="10">
        <f t="shared" ca="1" si="48"/>
        <v>0.87831907198944781</v>
      </c>
      <c r="U280" s="10">
        <f t="shared" ca="1" si="49"/>
        <v>4.1455495520140957</v>
      </c>
      <c r="V280" s="19">
        <f t="shared" ca="1" si="54"/>
        <v>1484.9858785135632</v>
      </c>
      <c r="W280" s="19">
        <f t="shared" ca="1" si="50"/>
        <v>205.27205374894288</v>
      </c>
    </row>
    <row r="281" spans="12:23" x14ac:dyDescent="0.45">
      <c r="L281" s="9">
        <v>277</v>
      </c>
      <c r="M281" s="19">
        <f t="shared" ca="1" si="51"/>
        <v>1280.6406147578182</v>
      </c>
      <c r="N281" s="10">
        <f t="shared" ca="1" si="44"/>
        <v>0.92471998746712825</v>
      </c>
      <c r="O281" s="10">
        <f t="shared" ca="1" si="45"/>
        <v>5.3279285192799577</v>
      </c>
      <c r="P281" s="19">
        <f t="shared" ca="1" si="52"/>
        <v>1306.2592051794843</v>
      </c>
      <c r="Q281" s="10">
        <f t="shared" ca="1" si="46"/>
        <v>5.7788620374245592E-2</v>
      </c>
      <c r="R281" s="10">
        <f t="shared" ca="1" si="47"/>
        <v>4.4163722626721631</v>
      </c>
      <c r="S281" s="19">
        <f t="shared" ca="1" si="53"/>
        <v>1485.2567012242214</v>
      </c>
      <c r="T281" s="10">
        <f t="shared" ca="1" si="48"/>
        <v>0.10039818009625878</v>
      </c>
      <c r="U281" s="10">
        <f t="shared" ca="1" si="49"/>
        <v>2.5488119352645096</v>
      </c>
      <c r="V281" s="19">
        <f t="shared" ca="1" si="54"/>
        <v>1487.8055131594858</v>
      </c>
      <c r="W281" s="19">
        <f t="shared" ca="1" si="50"/>
        <v>207.16489840166764</v>
      </c>
    </row>
    <row r="282" spans="12:23" x14ac:dyDescent="0.45">
      <c r="L282" s="9">
        <v>278</v>
      </c>
      <c r="M282" s="19">
        <f t="shared" ca="1" si="51"/>
        <v>1281.0594059285163</v>
      </c>
      <c r="N282" s="10">
        <f t="shared" ca="1" si="44"/>
        <v>0.95217709482149337</v>
      </c>
      <c r="O282" s="10">
        <f t="shared" ca="1" si="45"/>
        <v>5.4643345903728342</v>
      </c>
      <c r="P282" s="19">
        <f t="shared" ca="1" si="52"/>
        <v>1311.7235397698571</v>
      </c>
      <c r="Q282" s="10">
        <f t="shared" ca="1" si="46"/>
        <v>0.55609643705791145</v>
      </c>
      <c r="R282" s="10">
        <f t="shared" ca="1" si="47"/>
        <v>5.3680008034154767</v>
      </c>
      <c r="S282" s="19">
        <f t="shared" ca="1" si="53"/>
        <v>1490.6247020276369</v>
      </c>
      <c r="T282" s="10">
        <f t="shared" ca="1" si="48"/>
        <v>0.12643050137096168</v>
      </c>
      <c r="U282" s="10">
        <f t="shared" ca="1" si="49"/>
        <v>2.6158664661376565</v>
      </c>
      <c r="V282" s="19">
        <f t="shared" ca="1" si="54"/>
        <v>1493.2405684937746</v>
      </c>
      <c r="W282" s="19">
        <f t="shared" ca="1" si="50"/>
        <v>212.18116256525832</v>
      </c>
    </row>
    <row r="283" spans="12:23" x14ac:dyDescent="0.45">
      <c r="L283" s="9">
        <v>279</v>
      </c>
      <c r="M283" s="19">
        <f t="shared" ca="1" si="51"/>
        <v>1285.4653170766601</v>
      </c>
      <c r="N283" s="10">
        <f t="shared" ca="1" si="44"/>
        <v>0.52046195313424326</v>
      </c>
      <c r="O283" s="10">
        <f t="shared" ca="1" si="45"/>
        <v>4.303760547211998</v>
      </c>
      <c r="P283" s="19">
        <f t="shared" ca="1" si="52"/>
        <v>1316.0273003170691</v>
      </c>
      <c r="Q283" s="10">
        <f t="shared" ca="1" si="46"/>
        <v>0.45780289754767889</v>
      </c>
      <c r="R283" s="10">
        <f t="shared" ca="1" si="47"/>
        <v>5.196341879758271</v>
      </c>
      <c r="S283" s="19">
        <f t="shared" ca="1" si="53"/>
        <v>1495.8210439073951</v>
      </c>
      <c r="T283" s="10">
        <f t="shared" ca="1" si="48"/>
        <v>0.14545740139095997</v>
      </c>
      <c r="U283" s="10">
        <f t="shared" ca="1" si="49"/>
        <v>2.6605847441266564</v>
      </c>
      <c r="V283" s="19">
        <f t="shared" ca="1" si="54"/>
        <v>1498.4816286515218</v>
      </c>
      <c r="W283" s="19">
        <f t="shared" ca="1" si="50"/>
        <v>213.01631157486167</v>
      </c>
    </row>
    <row r="284" spans="12:23" x14ac:dyDescent="0.45">
      <c r="L284" s="9">
        <v>280</v>
      </c>
      <c r="M284" s="19">
        <f t="shared" ca="1" si="51"/>
        <v>1286.129600908914</v>
      </c>
      <c r="N284" s="10">
        <f t="shared" ca="1" si="44"/>
        <v>0.97295783940009273</v>
      </c>
      <c r="O284" s="10">
        <f t="shared" ca="1" si="45"/>
        <v>5.5971936400707607</v>
      </c>
      <c r="P284" s="19">
        <f t="shared" ca="1" si="52"/>
        <v>1321.62449395714</v>
      </c>
      <c r="Q284" s="10">
        <f t="shared" ca="1" si="46"/>
        <v>0.47443960240223915</v>
      </c>
      <c r="R284" s="10">
        <f t="shared" ca="1" si="47"/>
        <v>5.2242290728850849</v>
      </c>
      <c r="S284" s="19">
        <f t="shared" ca="1" si="53"/>
        <v>1501.0452729802801</v>
      </c>
      <c r="T284" s="10">
        <f t="shared" ca="1" si="48"/>
        <v>0.30765317583109542</v>
      </c>
      <c r="U284" s="10">
        <f t="shared" ca="1" si="49"/>
        <v>2.9607078262891826</v>
      </c>
      <c r="V284" s="19">
        <f t="shared" ca="1" si="54"/>
        <v>1504.0059808065691</v>
      </c>
      <c r="W284" s="19">
        <f t="shared" ca="1" si="50"/>
        <v>217.87637989765517</v>
      </c>
    </row>
    <row r="285" spans="12:23" x14ac:dyDescent="0.45">
      <c r="L285" s="9">
        <v>281</v>
      </c>
      <c r="M285" s="19">
        <f t="shared" ca="1" si="51"/>
        <v>1291.3901378798719</v>
      </c>
      <c r="N285" s="10">
        <f t="shared" ca="1" si="44"/>
        <v>0.94309219976940739</v>
      </c>
      <c r="O285" s="10">
        <f t="shared" ca="1" si="45"/>
        <v>5.4156655055676106</v>
      </c>
      <c r="P285" s="19">
        <f t="shared" ca="1" si="52"/>
        <v>1327.0401594627076</v>
      </c>
      <c r="Q285" s="10">
        <f t="shared" ca="1" si="46"/>
        <v>0.75436604230337567</v>
      </c>
      <c r="R285" s="10">
        <f t="shared" ca="1" si="47"/>
        <v>5.7859968096500953</v>
      </c>
      <c r="S285" s="19">
        <f t="shared" ca="1" si="53"/>
        <v>1506.83126978993</v>
      </c>
      <c r="T285" s="10">
        <f t="shared" ca="1" si="48"/>
        <v>0.41530205773856532</v>
      </c>
      <c r="U285" s="10">
        <f t="shared" ca="1" si="49"/>
        <v>3.12698434241232</v>
      </c>
      <c r="V285" s="19">
        <f t="shared" ca="1" si="54"/>
        <v>1509.9582541323423</v>
      </c>
      <c r="W285" s="19">
        <f t="shared" ca="1" si="50"/>
        <v>218.56811625247042</v>
      </c>
    </row>
    <row r="286" spans="12:23" x14ac:dyDescent="0.45">
      <c r="L286" s="9">
        <v>282</v>
      </c>
      <c r="M286" s="19">
        <f t="shared" ca="1" si="51"/>
        <v>1292.8473888095928</v>
      </c>
      <c r="N286" s="10">
        <f t="shared" ca="1" si="44"/>
        <v>0.89989257804109146</v>
      </c>
      <c r="O286" s="10">
        <f t="shared" ca="1" si="45"/>
        <v>5.2249873989711837</v>
      </c>
      <c r="P286" s="19">
        <f t="shared" ca="1" si="52"/>
        <v>1332.2651468616789</v>
      </c>
      <c r="Q286" s="10">
        <f t="shared" ca="1" si="46"/>
        <v>0.71444430795604774</v>
      </c>
      <c r="R286" s="10">
        <f t="shared" ca="1" si="47"/>
        <v>5.6910560927741347</v>
      </c>
      <c r="S286" s="19">
        <f t="shared" ca="1" si="53"/>
        <v>1512.5223258827041</v>
      </c>
      <c r="T286" s="10">
        <f t="shared" ca="1" si="48"/>
        <v>0.92942229081388961</v>
      </c>
      <c r="U286" s="10">
        <f t="shared" ca="1" si="49"/>
        <v>4.3492571513134681</v>
      </c>
      <c r="V286" s="19">
        <f t="shared" ca="1" si="54"/>
        <v>1516.8715830340175</v>
      </c>
      <c r="W286" s="19">
        <f t="shared" ca="1" si="50"/>
        <v>224.02419422442472</v>
      </c>
    </row>
    <row r="287" spans="12:23" x14ac:dyDescent="0.45">
      <c r="L287" s="9">
        <v>283</v>
      </c>
      <c r="M287" s="19">
        <f t="shared" ca="1" si="51"/>
        <v>1296.2881419805422</v>
      </c>
      <c r="N287" s="10">
        <f t="shared" ca="1" si="44"/>
        <v>0.98438010838944012</v>
      </c>
      <c r="O287" s="10">
        <f t="shared" ca="1" si="45"/>
        <v>5.6938638380338595</v>
      </c>
      <c r="P287" s="19">
        <f t="shared" ca="1" si="52"/>
        <v>1337.9590106997127</v>
      </c>
      <c r="Q287" s="10">
        <f t="shared" ca="1" si="46"/>
        <v>0.58954209227649756</v>
      </c>
      <c r="R287" s="10">
        <f t="shared" ca="1" si="47"/>
        <v>5.4306856763729536</v>
      </c>
      <c r="S287" s="19">
        <f t="shared" ca="1" si="53"/>
        <v>1517.9530115590771</v>
      </c>
      <c r="T287" s="10">
        <f t="shared" ca="1" si="48"/>
        <v>0.43938604145326932</v>
      </c>
      <c r="U287" s="10">
        <f t="shared" ca="1" si="49"/>
        <v>3.1659651717373567</v>
      </c>
      <c r="V287" s="19">
        <f t="shared" ca="1" si="54"/>
        <v>1521.1189767308144</v>
      </c>
      <c r="W287" s="19">
        <f t="shared" ca="1" si="50"/>
        <v>224.83083475027229</v>
      </c>
    </row>
    <row r="288" spans="12:23" x14ac:dyDescent="0.45">
      <c r="L288" s="9">
        <v>284</v>
      </c>
      <c r="M288" s="19">
        <f t="shared" ca="1" si="51"/>
        <v>1300.0320598122096</v>
      </c>
      <c r="N288" s="10">
        <f t="shared" ca="1" si="44"/>
        <v>5.9008395961271609E-2</v>
      </c>
      <c r="O288" s="10">
        <f t="shared" ca="1" si="45"/>
        <v>3.4207436130041842</v>
      </c>
      <c r="P288" s="19">
        <f t="shared" ca="1" si="52"/>
        <v>1341.3797543127168</v>
      </c>
      <c r="Q288" s="10">
        <f t="shared" ca="1" si="46"/>
        <v>0.72953863311329226</v>
      </c>
      <c r="R288" s="10">
        <f t="shared" ca="1" si="47"/>
        <v>5.7261208058374429</v>
      </c>
      <c r="S288" s="19">
        <f t="shared" ca="1" si="53"/>
        <v>1523.6791323649145</v>
      </c>
      <c r="T288" s="10">
        <f t="shared" ca="1" si="48"/>
        <v>0.34270189695538322</v>
      </c>
      <c r="U288" s="10">
        <f t="shared" ca="1" si="49"/>
        <v>3.0141025660251985</v>
      </c>
      <c r="V288" s="19">
        <f t="shared" ca="1" si="54"/>
        <v>1526.6932349309398</v>
      </c>
      <c r="W288" s="19">
        <f t="shared" ca="1" si="50"/>
        <v>226.66117511873017</v>
      </c>
    </row>
    <row r="289" spans="12:23" x14ac:dyDescent="0.45">
      <c r="L289" s="9">
        <v>285</v>
      </c>
      <c r="M289" s="19">
        <f t="shared" ca="1" si="51"/>
        <v>1301.0605151301845</v>
      </c>
      <c r="N289" s="10">
        <f t="shared" ca="1" si="44"/>
        <v>0.59522136847127605</v>
      </c>
      <c r="O289" s="10">
        <f t="shared" ca="1" si="45"/>
        <v>4.441580355240494</v>
      </c>
      <c r="P289" s="19">
        <f t="shared" ca="1" si="52"/>
        <v>1345.8213346679574</v>
      </c>
      <c r="Q289" s="10">
        <f t="shared" ca="1" si="46"/>
        <v>0.93746806275668682</v>
      </c>
      <c r="R289" s="10">
        <f t="shared" ca="1" si="47"/>
        <v>6.3874711243868747</v>
      </c>
      <c r="S289" s="19">
        <f t="shared" ca="1" si="53"/>
        <v>1530.0666034893013</v>
      </c>
      <c r="T289" s="10">
        <f t="shared" ca="1" si="48"/>
        <v>0.61201651117773082</v>
      </c>
      <c r="U289" s="10">
        <f t="shared" ca="1" si="49"/>
        <v>3.4742539749572945</v>
      </c>
      <c r="V289" s="19">
        <f t="shared" ca="1" si="54"/>
        <v>1533.5408574642586</v>
      </c>
      <c r="W289" s="19">
        <f t="shared" ca="1" si="50"/>
        <v>232.48034233407407</v>
      </c>
    </row>
    <row r="290" spans="12:23" x14ac:dyDescent="0.45">
      <c r="L290" s="9">
        <v>286</v>
      </c>
      <c r="M290" s="19">
        <f t="shared" ca="1" si="51"/>
        <v>1335.2252908380744</v>
      </c>
      <c r="N290" s="10">
        <f t="shared" ca="1" si="44"/>
        <v>0.70213082974401753</v>
      </c>
      <c r="O290" s="10">
        <f t="shared" ca="1" si="45"/>
        <v>4.6631323844389474</v>
      </c>
      <c r="P290" s="19">
        <f t="shared" ca="1" si="52"/>
        <v>1350.4844670523964</v>
      </c>
      <c r="Q290" s="10">
        <f t="shared" ca="1" si="46"/>
        <v>0.70427165726634977</v>
      </c>
      <c r="R290" s="10">
        <f t="shared" ca="1" si="47"/>
        <v>5.6679451751516003</v>
      </c>
      <c r="S290" s="19">
        <f t="shared" ca="1" si="53"/>
        <v>1535.7345486644529</v>
      </c>
      <c r="T290" s="10">
        <f t="shared" ca="1" si="48"/>
        <v>0.31513686779957473</v>
      </c>
      <c r="U290" s="10">
        <f t="shared" ca="1" si="49"/>
        <v>2.9723222734251871</v>
      </c>
      <c r="V290" s="19">
        <f t="shared" ca="1" si="54"/>
        <v>1538.706870937878</v>
      </c>
      <c r="W290" s="19">
        <f t="shared" ca="1" si="50"/>
        <v>203.48158009980352</v>
      </c>
    </row>
    <row r="291" spans="12:23" x14ac:dyDescent="0.45">
      <c r="L291" s="9">
        <v>287</v>
      </c>
      <c r="M291" s="19">
        <f t="shared" ca="1" si="51"/>
        <v>1340.425898621349</v>
      </c>
      <c r="N291" s="10">
        <f t="shared" ca="1" si="44"/>
        <v>0.13976249213229763</v>
      </c>
      <c r="O291" s="10">
        <f t="shared" ca="1" si="45"/>
        <v>3.6475241125988229</v>
      </c>
      <c r="P291" s="19">
        <f t="shared" ca="1" si="52"/>
        <v>1354.1319911649953</v>
      </c>
      <c r="Q291" s="10">
        <f t="shared" ca="1" si="46"/>
        <v>0.37954176470932066</v>
      </c>
      <c r="R291" s="10">
        <f t="shared" ca="1" si="47"/>
        <v>5.0705572276576651</v>
      </c>
      <c r="S291" s="19">
        <f t="shared" ca="1" si="53"/>
        <v>1540.8051058921105</v>
      </c>
      <c r="T291" s="10">
        <f t="shared" ca="1" si="48"/>
        <v>0.81122190865054622</v>
      </c>
      <c r="U291" s="10">
        <f t="shared" ca="1" si="49"/>
        <v>3.9357309794526936</v>
      </c>
      <c r="V291" s="19">
        <f t="shared" ca="1" si="54"/>
        <v>1544.7408368715633</v>
      </c>
      <c r="W291" s="19">
        <f t="shared" ca="1" si="50"/>
        <v>204.31493825021425</v>
      </c>
    </row>
    <row r="292" spans="12:23" x14ac:dyDescent="0.45">
      <c r="L292" s="9">
        <v>288</v>
      </c>
      <c r="M292" s="19">
        <f t="shared" ca="1" si="51"/>
        <v>1345.119733331383</v>
      </c>
      <c r="N292" s="10">
        <f t="shared" ca="1" si="44"/>
        <v>0.70038018113771949</v>
      </c>
      <c r="O292" s="10">
        <f t="shared" ca="1" si="45"/>
        <v>4.6592095938687201</v>
      </c>
      <c r="P292" s="19">
        <f t="shared" ca="1" si="52"/>
        <v>1358.7912007588641</v>
      </c>
      <c r="Q292" s="10">
        <f t="shared" ca="1" si="46"/>
        <v>0.44438887060111465</v>
      </c>
      <c r="R292" s="10">
        <f t="shared" ca="1" si="47"/>
        <v>5.1741668267902154</v>
      </c>
      <c r="S292" s="19">
        <f t="shared" ca="1" si="53"/>
        <v>1545.9792727189008</v>
      </c>
      <c r="T292" s="10">
        <f t="shared" ca="1" si="48"/>
        <v>0.89551718012974624</v>
      </c>
      <c r="U292" s="10">
        <f t="shared" ca="1" si="49"/>
        <v>4.2082317768301616</v>
      </c>
      <c r="V292" s="19">
        <f t="shared" ca="1" si="54"/>
        <v>1550.187504495731</v>
      </c>
      <c r="W292" s="19">
        <f t="shared" ca="1" si="50"/>
        <v>205.06777116434796</v>
      </c>
    </row>
    <row r="293" spans="12:23" x14ac:dyDescent="0.45">
      <c r="L293" s="9">
        <v>289</v>
      </c>
      <c r="M293" s="19">
        <f t="shared" ca="1" si="51"/>
        <v>1357.8317969957975</v>
      </c>
      <c r="N293" s="10">
        <f t="shared" ca="1" si="44"/>
        <v>0.76519384620971775</v>
      </c>
      <c r="O293" s="10">
        <f t="shared" ca="1" si="45"/>
        <v>4.8130556362062737</v>
      </c>
      <c r="P293" s="19">
        <f t="shared" ca="1" si="52"/>
        <v>1363.6042563950703</v>
      </c>
      <c r="Q293" s="10">
        <f t="shared" ca="1" si="46"/>
        <v>0.68068783174060765</v>
      </c>
      <c r="R293" s="10">
        <f t="shared" ca="1" si="47"/>
        <v>5.6158493544572705</v>
      </c>
      <c r="S293" s="19">
        <f t="shared" ca="1" si="53"/>
        <v>1551.595122073358</v>
      </c>
      <c r="T293" s="10">
        <f t="shared" ca="1" si="48"/>
        <v>0.63948415690037386</v>
      </c>
      <c r="U293" s="10">
        <f t="shared" ca="1" si="49"/>
        <v>3.5292535709382946</v>
      </c>
      <c r="V293" s="19">
        <f t="shared" ca="1" si="54"/>
        <v>1555.1243756442964</v>
      </c>
      <c r="W293" s="19">
        <f t="shared" ca="1" si="50"/>
        <v>197.29257864849887</v>
      </c>
    </row>
    <row r="294" spans="12:23" x14ac:dyDescent="0.45">
      <c r="L294" s="9">
        <v>290</v>
      </c>
      <c r="M294" s="19">
        <f t="shared" ca="1" si="51"/>
        <v>1361.509151576287</v>
      </c>
      <c r="N294" s="10">
        <f t="shared" ca="1" si="44"/>
        <v>0.92569489504983449</v>
      </c>
      <c r="O294" s="10">
        <f t="shared" ca="1" si="45"/>
        <v>5.3322945037660743</v>
      </c>
      <c r="P294" s="19">
        <f t="shared" ca="1" si="52"/>
        <v>1368.9365508988362</v>
      </c>
      <c r="Q294" s="10">
        <f t="shared" ca="1" si="46"/>
        <v>0.70960722744943838</v>
      </c>
      <c r="R294" s="10">
        <f t="shared" ca="1" si="47"/>
        <v>5.6800164261236548</v>
      </c>
      <c r="S294" s="19">
        <f t="shared" ca="1" si="53"/>
        <v>1557.2751384994817</v>
      </c>
      <c r="T294" s="10">
        <f t="shared" ca="1" si="48"/>
        <v>0.45707229278835837</v>
      </c>
      <c r="U294" s="10">
        <f t="shared" ca="1" si="49"/>
        <v>3.1951270839004069</v>
      </c>
      <c r="V294" s="19">
        <f t="shared" ca="1" si="54"/>
        <v>1560.4702655833821</v>
      </c>
      <c r="W294" s="19">
        <f t="shared" ca="1" si="50"/>
        <v>198.96111400709515</v>
      </c>
    </row>
    <row r="295" spans="12:23" x14ac:dyDescent="0.45">
      <c r="L295" s="9">
        <v>291</v>
      </c>
      <c r="M295" s="19">
        <f t="shared" ca="1" si="51"/>
        <v>1366.0626016009876</v>
      </c>
      <c r="N295" s="10">
        <f t="shared" ca="1" si="44"/>
        <v>0.75874769648942164</v>
      </c>
      <c r="O295" s="10">
        <f t="shared" ca="1" si="45"/>
        <v>4.796873314624154</v>
      </c>
      <c r="P295" s="19">
        <f t="shared" ca="1" si="52"/>
        <v>1373.7334242134605</v>
      </c>
      <c r="Q295" s="10">
        <f t="shared" ca="1" si="46"/>
        <v>0.37292867300592125</v>
      </c>
      <c r="R295" s="10">
        <f t="shared" ca="1" si="47"/>
        <v>5.0603020951796456</v>
      </c>
      <c r="S295" s="19">
        <f t="shared" ca="1" si="53"/>
        <v>1562.3354405946613</v>
      </c>
      <c r="T295" s="10">
        <f t="shared" ca="1" si="48"/>
        <v>0.47159825436351055</v>
      </c>
      <c r="U295" s="10">
        <f t="shared" ca="1" si="49"/>
        <v>3.219435349722191</v>
      </c>
      <c r="V295" s="19">
        <f t="shared" ca="1" si="54"/>
        <v>1565.5548759443836</v>
      </c>
      <c r="W295" s="19">
        <f t="shared" ca="1" si="50"/>
        <v>199.49227434339605</v>
      </c>
    </row>
    <row r="296" spans="12:23" x14ac:dyDescent="0.45">
      <c r="L296" s="9">
        <v>292</v>
      </c>
      <c r="M296" s="19">
        <f t="shared" ca="1" si="51"/>
        <v>1380.5471779270674</v>
      </c>
      <c r="N296" s="10">
        <f t="shared" ca="1" si="44"/>
        <v>0.82064037741894658</v>
      </c>
      <c r="O296" s="10">
        <f t="shared" ca="1" si="45"/>
        <v>4.962619772944211</v>
      </c>
      <c r="P296" s="19">
        <f t="shared" ca="1" si="52"/>
        <v>1385.5097977000116</v>
      </c>
      <c r="Q296" s="10">
        <f t="shared" ca="1" si="46"/>
        <v>5.989926002743251E-2</v>
      </c>
      <c r="R296" s="10">
        <f t="shared" ca="1" si="47"/>
        <v>4.4239077494954504</v>
      </c>
      <c r="S296" s="19">
        <f t="shared" ca="1" si="53"/>
        <v>1566.7593483441567</v>
      </c>
      <c r="T296" s="10">
        <f t="shared" ca="1" si="48"/>
        <v>0.50791978444595387</v>
      </c>
      <c r="U296" s="10">
        <f t="shared" ca="1" si="49"/>
        <v>3.2817214156824637</v>
      </c>
      <c r="V296" s="19">
        <f t="shared" ca="1" si="54"/>
        <v>1570.0410697598393</v>
      </c>
      <c r="W296" s="19">
        <f t="shared" ca="1" si="50"/>
        <v>189.49389183277185</v>
      </c>
    </row>
    <row r="297" spans="12:23" x14ac:dyDescent="0.45">
      <c r="L297" s="9">
        <v>293</v>
      </c>
      <c r="M297" s="19">
        <f t="shared" ca="1" si="51"/>
        <v>1380.5691684111373</v>
      </c>
      <c r="N297" s="10">
        <f t="shared" ca="1" si="44"/>
        <v>0.80611526366094244</v>
      </c>
      <c r="O297" s="10">
        <f t="shared" ca="1" si="45"/>
        <v>4.9214322376251243</v>
      </c>
      <c r="P297" s="19">
        <f t="shared" ca="1" si="52"/>
        <v>1390.4312299376368</v>
      </c>
      <c r="Q297" s="10">
        <f t="shared" ca="1" si="46"/>
        <v>0.87850286738428163</v>
      </c>
      <c r="R297" s="10">
        <f t="shared" ca="1" si="47"/>
        <v>6.1461951067753766</v>
      </c>
      <c r="S297" s="19">
        <f t="shared" ca="1" si="53"/>
        <v>1572.9055434509321</v>
      </c>
      <c r="T297" s="10">
        <f t="shared" ca="1" si="48"/>
        <v>0.97275844894971297</v>
      </c>
      <c r="U297" s="10">
        <f t="shared" ca="1" si="49"/>
        <v>4.5957113576889377</v>
      </c>
      <c r="V297" s="19">
        <f t="shared" ca="1" si="54"/>
        <v>1577.5012548086211</v>
      </c>
      <c r="W297" s="19">
        <f t="shared" ca="1" si="50"/>
        <v>196.93208639748377</v>
      </c>
    </row>
    <row r="298" spans="12:23" x14ac:dyDescent="0.45">
      <c r="L298" s="9">
        <v>294</v>
      </c>
      <c r="M298" s="19">
        <f t="shared" ca="1" si="51"/>
        <v>1381.5524571550586</v>
      </c>
      <c r="N298" s="10">
        <f t="shared" ca="1" si="44"/>
        <v>0.21520120007248378</v>
      </c>
      <c r="O298" s="10">
        <f t="shared" ca="1" si="45"/>
        <v>3.803494617416602</v>
      </c>
      <c r="P298" s="19">
        <f t="shared" ca="1" si="52"/>
        <v>1394.2347245550534</v>
      </c>
      <c r="Q298" s="10">
        <f t="shared" ca="1" si="46"/>
        <v>0.36816571492709993</v>
      </c>
      <c r="R298" s="10">
        <f t="shared" ca="1" si="47"/>
        <v>5.0529494843642606</v>
      </c>
      <c r="S298" s="19">
        <f t="shared" ca="1" si="53"/>
        <v>1577.9584929352964</v>
      </c>
      <c r="T298" s="10">
        <f t="shared" ca="1" si="48"/>
        <v>0.44187838725099426</v>
      </c>
      <c r="U298" s="10">
        <f t="shared" ca="1" si="49"/>
        <v>3.1700465370687607</v>
      </c>
      <c r="V298" s="19">
        <f t="shared" ca="1" si="54"/>
        <v>1581.1285394723652</v>
      </c>
      <c r="W298" s="19">
        <f t="shared" ca="1" si="50"/>
        <v>199.5760823173066</v>
      </c>
    </row>
    <row r="299" spans="12:23" x14ac:dyDescent="0.45">
      <c r="L299" s="9">
        <v>295</v>
      </c>
      <c r="M299" s="19">
        <f t="shared" ca="1" si="51"/>
        <v>1393.7450366650437</v>
      </c>
      <c r="N299" s="10">
        <f t="shared" ca="1" si="44"/>
        <v>0.14771271325914392</v>
      </c>
      <c r="O299" s="10">
        <f t="shared" ca="1" si="45"/>
        <v>3.6656862172055478</v>
      </c>
      <c r="P299" s="19">
        <f t="shared" ca="1" si="52"/>
        <v>1397.900410772259</v>
      </c>
      <c r="Q299" s="10">
        <f t="shared" ca="1" si="46"/>
        <v>0.79435756700223581</v>
      </c>
      <c r="R299" s="10">
        <f t="shared" ca="1" si="47"/>
        <v>5.8892099217284191</v>
      </c>
      <c r="S299" s="19">
        <f t="shared" ca="1" si="53"/>
        <v>1583.8477028570248</v>
      </c>
      <c r="T299" s="10">
        <f t="shared" ca="1" si="48"/>
        <v>0.7227273590401353</v>
      </c>
      <c r="U299" s="10">
        <f t="shared" ca="1" si="49"/>
        <v>3.7101799172911019</v>
      </c>
      <c r="V299" s="19">
        <f t="shared" ca="1" si="54"/>
        <v>1587.5578827743159</v>
      </c>
      <c r="W299" s="19">
        <f t="shared" ca="1" si="50"/>
        <v>193.81284610927219</v>
      </c>
    </row>
    <row r="300" spans="12:23" x14ac:dyDescent="0.45">
      <c r="L300" s="9">
        <v>296</v>
      </c>
      <c r="M300" s="19">
        <f t="shared" ca="1" si="51"/>
        <v>1397.7727144008877</v>
      </c>
      <c r="N300" s="10">
        <f t="shared" ca="1" si="44"/>
        <v>0.92502386113889645</v>
      </c>
      <c r="O300" s="10">
        <f t="shared" ca="1" si="45"/>
        <v>5.3292863254960272</v>
      </c>
      <c r="P300" s="19">
        <f t="shared" ca="1" si="52"/>
        <v>1403.229697097755</v>
      </c>
      <c r="Q300" s="10">
        <f t="shared" ca="1" si="46"/>
        <v>0.6667130609969536</v>
      </c>
      <c r="R300" s="10">
        <f t="shared" ca="1" si="47"/>
        <v>5.5858848582883081</v>
      </c>
      <c r="S300" s="19">
        <f t="shared" ca="1" si="53"/>
        <v>1589.4335877153133</v>
      </c>
      <c r="T300" s="10">
        <f t="shared" ca="1" si="48"/>
        <v>0.80525232939447755</v>
      </c>
      <c r="U300" s="10">
        <f t="shared" ca="1" si="49"/>
        <v>3.919034679726896</v>
      </c>
      <c r="V300" s="19">
        <f t="shared" ca="1" si="54"/>
        <v>1593.35262239504</v>
      </c>
      <c r="W300" s="19">
        <f t="shared" ca="1" si="50"/>
        <v>195.57990799415234</v>
      </c>
    </row>
    <row r="301" spans="12:23" x14ac:dyDescent="0.45">
      <c r="L301" s="9">
        <v>297</v>
      </c>
      <c r="M301" s="19">
        <f t="shared" ca="1" si="51"/>
        <v>1402.4497266307148</v>
      </c>
      <c r="N301" s="10">
        <f t="shared" ca="1" si="44"/>
        <v>0.23187155096233569</v>
      </c>
      <c r="O301" s="10">
        <f t="shared" ca="1" si="45"/>
        <v>3.8340351628600602</v>
      </c>
      <c r="P301" s="19">
        <f t="shared" ca="1" si="52"/>
        <v>1407.0637322606151</v>
      </c>
      <c r="Q301" s="10">
        <f t="shared" ca="1" si="46"/>
        <v>0.3543399540389276</v>
      </c>
      <c r="R301" s="10">
        <f t="shared" ca="1" si="47"/>
        <v>5.0317621394337433</v>
      </c>
      <c r="S301" s="19">
        <f t="shared" ca="1" si="53"/>
        <v>1594.465349854747</v>
      </c>
      <c r="T301" s="10">
        <f t="shared" ca="1" si="48"/>
        <v>0.45464099771100075</v>
      </c>
      <c r="U301" s="10">
        <f t="shared" ca="1" si="49"/>
        <v>3.1910903798879291</v>
      </c>
      <c r="V301" s="19">
        <f t="shared" ca="1" si="54"/>
        <v>1597.6564402346351</v>
      </c>
      <c r="W301" s="19">
        <f t="shared" ca="1" si="50"/>
        <v>195.20671360392021</v>
      </c>
    </row>
    <row r="302" spans="12:23" x14ac:dyDescent="0.45">
      <c r="L302" s="9">
        <v>298</v>
      </c>
      <c r="M302" s="19">
        <f t="shared" ca="1" si="51"/>
        <v>1404.2375066150539</v>
      </c>
      <c r="N302" s="10">
        <f t="shared" ca="1" si="44"/>
        <v>0.65601137583939961</v>
      </c>
      <c r="O302" s="10">
        <f t="shared" ca="1" si="45"/>
        <v>4.5633609552279317</v>
      </c>
      <c r="P302" s="19">
        <f t="shared" ca="1" si="52"/>
        <v>1411.6270932158429</v>
      </c>
      <c r="Q302" s="10">
        <f t="shared" ca="1" si="46"/>
        <v>0.34352361537209397</v>
      </c>
      <c r="R302" s="10">
        <f t="shared" ca="1" si="47"/>
        <v>5.0153442848273571</v>
      </c>
      <c r="S302" s="19">
        <f t="shared" ca="1" si="53"/>
        <v>1599.4806941395743</v>
      </c>
      <c r="T302" s="10">
        <f t="shared" ca="1" si="48"/>
        <v>0.59403151582328229</v>
      </c>
      <c r="U302" s="10">
        <f t="shared" ca="1" si="49"/>
        <v>3.4392915374547668</v>
      </c>
      <c r="V302" s="19">
        <f t="shared" ca="1" si="54"/>
        <v>1602.919985677029</v>
      </c>
      <c r="W302" s="19">
        <f t="shared" ca="1" si="50"/>
        <v>198.68247906197507</v>
      </c>
    </row>
    <row r="303" spans="12:23" x14ac:dyDescent="0.45">
      <c r="L303" s="9">
        <v>299</v>
      </c>
      <c r="M303" s="19">
        <f t="shared" ca="1" si="51"/>
        <v>1408.1694291911217</v>
      </c>
      <c r="N303" s="10">
        <f t="shared" ca="1" si="44"/>
        <v>0.25078703664444768</v>
      </c>
      <c r="O303" s="10">
        <f t="shared" ca="1" si="45"/>
        <v>3.8673875200470338</v>
      </c>
      <c r="P303" s="19">
        <f t="shared" ca="1" si="52"/>
        <v>1415.49448073589</v>
      </c>
      <c r="Q303" s="10">
        <f t="shared" ca="1" si="46"/>
        <v>0.68250971986779574</v>
      </c>
      <c r="R303" s="10">
        <f t="shared" ca="1" si="47"/>
        <v>5.6198037527970071</v>
      </c>
      <c r="S303" s="19">
        <f t="shared" ca="1" si="53"/>
        <v>1605.1004978923713</v>
      </c>
      <c r="T303" s="10">
        <f t="shared" ca="1" si="48"/>
        <v>1.4392223262234549E-2</v>
      </c>
      <c r="U303" s="10">
        <f t="shared" ca="1" si="49"/>
        <v>2.2077899655582618</v>
      </c>
      <c r="V303" s="19">
        <f t="shared" ca="1" si="54"/>
        <v>1607.3082878579296</v>
      </c>
      <c r="W303" s="19">
        <f t="shared" ca="1" si="50"/>
        <v>199.13885866680789</v>
      </c>
    </row>
    <row r="304" spans="12:23" x14ac:dyDescent="0.45">
      <c r="L304" s="9">
        <v>300</v>
      </c>
      <c r="M304" s="19">
        <f t="shared" ca="1" si="51"/>
        <v>1408.4121451912279</v>
      </c>
      <c r="N304" s="10">
        <f t="shared" ca="1" si="44"/>
        <v>0.74985728044531663</v>
      </c>
      <c r="O304" s="10">
        <f t="shared" ca="1" si="45"/>
        <v>4.7749055884022242</v>
      </c>
      <c r="P304" s="19">
        <f t="shared" ca="1" si="52"/>
        <v>1420.2693863242921</v>
      </c>
      <c r="Q304" s="10">
        <f t="shared" ca="1" si="46"/>
        <v>0.81702799215224231</v>
      </c>
      <c r="R304" s="10">
        <f t="shared" ca="1" si="47"/>
        <v>5.9522251925692498</v>
      </c>
      <c r="S304" s="19">
        <f t="shared" ca="1" si="53"/>
        <v>1611.0527230849407</v>
      </c>
      <c r="T304" s="10">
        <f t="shared" ca="1" si="48"/>
        <v>3.9786170805915955E-2</v>
      </c>
      <c r="U304" s="10">
        <f t="shared" ca="1" si="49"/>
        <v>2.3454830132115729</v>
      </c>
      <c r="V304" s="19">
        <f t="shared" ca="1" si="54"/>
        <v>1613.3982060981523</v>
      </c>
      <c r="W304" s="19">
        <f t="shared" ca="1" si="50"/>
        <v>204.98606090692442</v>
      </c>
    </row>
  </sheetData>
  <mergeCells count="8">
    <mergeCell ref="H20:I21"/>
    <mergeCell ref="D19:E19"/>
    <mergeCell ref="B19:C19"/>
    <mergeCell ref="F19:G19"/>
    <mergeCell ref="B20:C21"/>
    <mergeCell ref="F20:G21"/>
    <mergeCell ref="D20:E21"/>
    <mergeCell ref="H19:I19"/>
  </mergeCells>
  <conditionalFormatting sqref="C15:C17">
    <cfRule type="expression" dxfId="5" priority="1">
      <formula>C15=MAX($C$15:$C$17)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4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3" customWidth="1"/>
    <col min="2" max="2" width="34" customWidth="1"/>
    <col min="3" max="9" width="12" customWidth="1"/>
    <col min="10" max="11" width="3" customWidth="1"/>
    <col min="12" max="12" width="6" customWidth="1"/>
    <col min="13" max="24" width="9" customWidth="1"/>
  </cols>
  <sheetData>
    <row r="1" spans="1:24" ht="15" customHeight="1" x14ac:dyDescent="0.6">
      <c r="A1" s="1" t="s">
        <v>134</v>
      </c>
    </row>
    <row r="2" spans="1:24" ht="15" customHeight="1" x14ac:dyDescent="0.45">
      <c r="A2" s="2" t="s">
        <v>135</v>
      </c>
    </row>
    <row r="3" spans="1:24" ht="15" customHeight="1" x14ac:dyDescent="0.45"/>
    <row r="4" spans="1:24" ht="28.05" customHeight="1" x14ac:dyDescent="0.45">
      <c r="L4" s="3" t="s">
        <v>136</v>
      </c>
      <c r="M4" s="3" t="s">
        <v>137</v>
      </c>
      <c r="N4" s="3" t="s">
        <v>138</v>
      </c>
      <c r="O4" s="3" t="s">
        <v>139</v>
      </c>
      <c r="P4" s="3" t="s">
        <v>140</v>
      </c>
      <c r="Q4" s="3" t="s">
        <v>141</v>
      </c>
      <c r="R4" s="3" t="s">
        <v>142</v>
      </c>
      <c r="S4" s="3" t="s">
        <v>143</v>
      </c>
      <c r="T4" s="3" t="s">
        <v>144</v>
      </c>
      <c r="U4" s="3" t="s">
        <v>145</v>
      </c>
      <c r="V4" s="3" t="s">
        <v>146</v>
      </c>
      <c r="W4" s="3" t="s">
        <v>147</v>
      </c>
      <c r="X4" s="20" t="s">
        <v>148</v>
      </c>
    </row>
    <row r="5" spans="1:24" ht="15" customHeight="1" x14ac:dyDescent="0.45">
      <c r="B5" s="4" t="s">
        <v>149</v>
      </c>
      <c r="C5" s="16" t="s">
        <v>150</v>
      </c>
      <c r="L5" s="9">
        <v>1</v>
      </c>
      <c r="M5" s="17">
        <v>4.34</v>
      </c>
      <c r="N5" s="11">
        <f t="shared" ref="N5:N36" si="0">IF(M5&gt;0,LN(M5),"")</f>
        <v>1.4678743481123135</v>
      </c>
      <c r="O5" s="10">
        <f t="shared" ref="O5:O36" si="1">SMALL($M$5:$M$204,L5)</f>
        <v>0.55000000000000004</v>
      </c>
      <c r="P5" s="12">
        <f t="shared" ref="P5:P36" si="2">CHOOSE($C$6,T5,U5,V5,W5)</f>
        <v>1.1674060841402049E-2</v>
      </c>
      <c r="Q5" s="12">
        <f t="shared" ref="Q5:Q36" si="3">L5/$C$9-P5</f>
        <v>-6.6740608414020486E-3</v>
      </c>
      <c r="R5" s="12">
        <f t="shared" ref="R5:R36" si="4">P5-(L5-1)/$C$9</f>
        <v>1.1674060841402049E-2</v>
      </c>
      <c r="S5" s="11">
        <f t="shared" ref="S5:S36" si="5">(2*L5-1)*LN(P5)+(2*$C$9+1-2*L5)*LN(1-P5)</f>
        <v>-9.1357382647375545</v>
      </c>
      <c r="T5" s="12">
        <f t="shared" ref="T5:T36" si="6">MIN(1-0.000000000001,MAX(0.000000000001,1-EXP(-(O5)/$C$10)))</f>
        <v>0.11496184561505129</v>
      </c>
      <c r="U5" s="12">
        <f t="shared" ref="U5:U36" si="7">MIN(1-0.000000000001,MAX(0.000000000001,_xlfn.GAMMA.DIST(O5,$C$12,$C$13,TRUE)))</f>
        <v>1.1674060841402049E-2</v>
      </c>
      <c r="V5" s="12">
        <f t="shared" ref="V5:V36" si="8">MIN(1-0.000000000001,MAX(0.000000000001,_xlfn.NORM.DIST(O5,$C$10,$C$11,TRUE)))</f>
        <v>8.05540070883458E-2</v>
      </c>
      <c r="W5" s="12">
        <f t="shared" ref="W5:W36" si="9">MIN(1-0.000000000001,MAX(0.000000000001,_xlfn.LOGNORM.DIST(O5,$C$14,$C$15,TRUE)))</f>
        <v>2.1693270624413351E-3</v>
      </c>
      <c r="X5">
        <f t="shared" ref="X5:X36" si="10">L5/$C$9</f>
        <v>5.0000000000000001E-3</v>
      </c>
    </row>
    <row r="6" spans="1:24" ht="15" customHeight="1" x14ac:dyDescent="0.45">
      <c r="B6" s="7" t="s">
        <v>151</v>
      </c>
      <c r="C6" s="9">
        <f>MATCH(C5,{"Exponencial","Gamma","Normal","Lognormal"},0)</f>
        <v>2</v>
      </c>
      <c r="L6" s="9">
        <v>2</v>
      </c>
      <c r="M6" s="17">
        <v>3.58</v>
      </c>
      <c r="N6" s="11">
        <f t="shared" si="0"/>
        <v>1.275362800412609</v>
      </c>
      <c r="O6" s="10">
        <f t="shared" si="1"/>
        <v>0.62</v>
      </c>
      <c r="P6" s="12">
        <f t="shared" si="2"/>
        <v>1.5406644684579274E-2</v>
      </c>
      <c r="Q6" s="12">
        <f t="shared" si="3"/>
        <v>-5.4066446845792739E-3</v>
      </c>
      <c r="R6" s="12">
        <f t="shared" si="4"/>
        <v>1.0406644684579275E-2</v>
      </c>
      <c r="S6" s="11">
        <f t="shared" si="5"/>
        <v>-18.682913605517545</v>
      </c>
      <c r="T6" s="12">
        <f t="shared" si="6"/>
        <v>0.12861174496728345</v>
      </c>
      <c r="U6" s="12">
        <f t="shared" si="7"/>
        <v>1.5406644684579274E-2</v>
      </c>
      <c r="V6" s="12">
        <f t="shared" si="8"/>
        <v>8.4326755585621374E-2</v>
      </c>
      <c r="W6" s="12">
        <f t="shared" si="9"/>
        <v>3.7611464441125843E-3</v>
      </c>
      <c r="X6">
        <f t="shared" si="10"/>
        <v>0.01</v>
      </c>
    </row>
    <row r="7" spans="1:24" ht="15" customHeight="1" x14ac:dyDescent="0.45">
      <c r="L7" s="9">
        <v>3</v>
      </c>
      <c r="M7" s="17">
        <v>3.13</v>
      </c>
      <c r="N7" s="11">
        <f t="shared" si="0"/>
        <v>1.1410330045520618</v>
      </c>
      <c r="O7" s="10">
        <f t="shared" si="1"/>
        <v>0.68</v>
      </c>
      <c r="P7" s="12">
        <f t="shared" si="2"/>
        <v>1.9036795830897586E-2</v>
      </c>
      <c r="Q7" s="12">
        <f t="shared" si="3"/>
        <v>-4.0367958308975861E-3</v>
      </c>
      <c r="R7" s="12">
        <f t="shared" si="4"/>
        <v>9.0367958308975854E-3</v>
      </c>
      <c r="S7" s="11">
        <f t="shared" si="5"/>
        <v>-27.398937551796635</v>
      </c>
      <c r="T7" s="12">
        <f t="shared" si="6"/>
        <v>0.14014397699113379</v>
      </c>
      <c r="U7" s="12">
        <f t="shared" si="7"/>
        <v>1.9036795830897586E-2</v>
      </c>
      <c r="V7" s="12">
        <f t="shared" si="8"/>
        <v>8.7664784705829016E-2</v>
      </c>
      <c r="W7" s="12">
        <f t="shared" si="9"/>
        <v>5.633904198273392E-3</v>
      </c>
      <c r="X7">
        <f t="shared" si="10"/>
        <v>1.4999999999999999E-2</v>
      </c>
    </row>
    <row r="8" spans="1:24" ht="28.05" customHeight="1" x14ac:dyDescent="0.45">
      <c r="B8" s="3" t="s">
        <v>152</v>
      </c>
      <c r="C8" s="3" t="s">
        <v>153</v>
      </c>
      <c r="L8" s="9">
        <v>4</v>
      </c>
      <c r="M8" s="17">
        <v>4.51</v>
      </c>
      <c r="N8" s="11">
        <f t="shared" si="0"/>
        <v>1.506297153514587</v>
      </c>
      <c r="O8" s="10">
        <f t="shared" si="1"/>
        <v>0.71</v>
      </c>
      <c r="P8" s="12">
        <f t="shared" si="2"/>
        <v>2.0999529838112568E-2</v>
      </c>
      <c r="Q8" s="12">
        <f t="shared" si="3"/>
        <v>-9.9952983811256793E-4</v>
      </c>
      <c r="R8" s="12">
        <f t="shared" si="4"/>
        <v>5.9995298381125689E-3</v>
      </c>
      <c r="S8" s="11">
        <f t="shared" si="5"/>
        <v>-35.383486999628282</v>
      </c>
      <c r="T8" s="12">
        <f t="shared" si="6"/>
        <v>0.14585273315907432</v>
      </c>
      <c r="U8" s="12">
        <f t="shared" si="7"/>
        <v>2.0999529838112568E-2</v>
      </c>
      <c r="V8" s="12">
        <f t="shared" si="8"/>
        <v>8.937032226413899E-2</v>
      </c>
      <c r="W8" s="12">
        <f t="shared" si="9"/>
        <v>6.7642144211340193E-3</v>
      </c>
      <c r="X8">
        <f t="shared" si="10"/>
        <v>0.02</v>
      </c>
    </row>
    <row r="9" spans="1:24" ht="15" customHeight="1" x14ac:dyDescent="0.45">
      <c r="B9" s="7" t="s">
        <v>154</v>
      </c>
      <c r="C9" s="21">
        <f>COUNT(M5:M204)</f>
        <v>200</v>
      </c>
      <c r="L9" s="9">
        <v>5</v>
      </c>
      <c r="M9" s="17">
        <v>3.04</v>
      </c>
      <c r="N9" s="11">
        <f t="shared" si="0"/>
        <v>1.1118575154181303</v>
      </c>
      <c r="O9" s="10">
        <f t="shared" si="1"/>
        <v>0.72</v>
      </c>
      <c r="P9" s="12">
        <f t="shared" si="2"/>
        <v>2.1675468853026323E-2</v>
      </c>
      <c r="Q9" s="12">
        <f t="shared" si="3"/>
        <v>3.3245311469736784E-3</v>
      </c>
      <c r="R9" s="12">
        <f t="shared" si="4"/>
        <v>1.6754688530263226E-3</v>
      </c>
      <c r="S9" s="11">
        <f t="shared" si="5"/>
        <v>-43.052475657543511</v>
      </c>
      <c r="T9" s="12">
        <f t="shared" si="6"/>
        <v>0.14774721684866998</v>
      </c>
      <c r="U9" s="12">
        <f t="shared" si="7"/>
        <v>2.1675468853026323E-2</v>
      </c>
      <c r="V9" s="12">
        <f t="shared" si="8"/>
        <v>8.9944285086554401E-2</v>
      </c>
      <c r="W9" s="12">
        <f t="shared" si="9"/>
        <v>7.1711264856989211E-3</v>
      </c>
      <c r="X9">
        <f t="shared" si="10"/>
        <v>2.5000000000000001E-2</v>
      </c>
    </row>
    <row r="10" spans="1:24" ht="15" customHeight="1" x14ac:dyDescent="0.45">
      <c r="B10" s="7" t="s">
        <v>126</v>
      </c>
      <c r="C10" s="12">
        <f>AVERAGE(M5:M204)</f>
        <v>4.5035999999999996</v>
      </c>
      <c r="L10" s="9">
        <v>6</v>
      </c>
      <c r="M10" s="17">
        <v>5.94</v>
      </c>
      <c r="N10" s="11">
        <f t="shared" si="0"/>
        <v>1.7817091333745536</v>
      </c>
      <c r="O10" s="10">
        <f t="shared" si="1"/>
        <v>0.74</v>
      </c>
      <c r="P10" s="12">
        <f t="shared" si="2"/>
        <v>2.3059699892244167E-2</v>
      </c>
      <c r="Q10" s="12">
        <f t="shared" si="3"/>
        <v>6.940300107755832E-3</v>
      </c>
      <c r="R10" s="12">
        <f t="shared" si="4"/>
        <v>-1.9403001077558345E-3</v>
      </c>
      <c r="S10" s="11">
        <f t="shared" si="5"/>
        <v>-50.541623135835636</v>
      </c>
      <c r="T10" s="12">
        <f t="shared" si="6"/>
        <v>0.15152358775266639</v>
      </c>
      <c r="U10" s="12">
        <f t="shared" si="7"/>
        <v>2.3059699892244167E-2</v>
      </c>
      <c r="V10" s="12">
        <f t="shared" si="8"/>
        <v>9.1100421001751739E-2</v>
      </c>
      <c r="W10" s="12">
        <f t="shared" si="9"/>
        <v>8.0312688917770127E-3</v>
      </c>
      <c r="X10">
        <f t="shared" si="10"/>
        <v>0.03</v>
      </c>
    </row>
    <row r="11" spans="1:24" ht="15" customHeight="1" x14ac:dyDescent="0.45">
      <c r="B11" s="7" t="s">
        <v>155</v>
      </c>
      <c r="C11" s="12">
        <f>STDEV(M5:M204)</f>
        <v>2.8212699018875318</v>
      </c>
      <c r="L11" s="9">
        <v>7</v>
      </c>
      <c r="M11" s="17">
        <v>4.6500000000000004</v>
      </c>
      <c r="N11" s="11">
        <f t="shared" si="0"/>
        <v>1.536867219599265</v>
      </c>
      <c r="O11" s="10">
        <f t="shared" si="1"/>
        <v>0.86</v>
      </c>
      <c r="P11" s="12">
        <f t="shared" si="2"/>
        <v>3.2255459624220224E-2</v>
      </c>
      <c r="Q11" s="12">
        <f t="shared" si="3"/>
        <v>2.744540375779779E-3</v>
      </c>
      <c r="R11" s="12">
        <f t="shared" si="4"/>
        <v>2.2554596242202254E-3</v>
      </c>
      <c r="S11" s="11">
        <f t="shared" si="5"/>
        <v>-57.331503209758949</v>
      </c>
      <c r="T11" s="12">
        <f t="shared" si="6"/>
        <v>0.17383299811278985</v>
      </c>
      <c r="U11" s="12">
        <f t="shared" si="7"/>
        <v>3.2255459624220224E-2</v>
      </c>
      <c r="V11" s="12">
        <f t="shared" si="8"/>
        <v>9.8269481436080927E-2</v>
      </c>
      <c r="W11" s="12">
        <f t="shared" si="9"/>
        <v>1.4549250654029773E-2</v>
      </c>
      <c r="X11">
        <f t="shared" si="10"/>
        <v>3.5000000000000003E-2</v>
      </c>
    </row>
    <row r="12" spans="1:24" ht="15" customHeight="1" x14ac:dyDescent="0.45">
      <c r="B12" s="7" t="s">
        <v>156</v>
      </c>
      <c r="C12" s="12">
        <f>C10^2/C11^2</f>
        <v>2.5481814479459035</v>
      </c>
      <c r="L12" s="9">
        <v>8</v>
      </c>
      <c r="M12" s="17">
        <v>4.25</v>
      </c>
      <c r="N12" s="11">
        <f t="shared" si="0"/>
        <v>1.4469189829363254</v>
      </c>
      <c r="O12" s="10">
        <f t="shared" si="1"/>
        <v>1</v>
      </c>
      <c r="P12" s="12">
        <f t="shared" si="2"/>
        <v>4.4837904319261213E-2</v>
      </c>
      <c r="Q12" s="12">
        <f t="shared" si="3"/>
        <v>-4.8379043192612117E-3</v>
      </c>
      <c r="R12" s="12">
        <f t="shared" si="4"/>
        <v>9.8379043192612092E-3</v>
      </c>
      <c r="S12" s="11">
        <f t="shared" si="5"/>
        <v>-64.232095675795875</v>
      </c>
      <c r="T12" s="12">
        <f t="shared" si="6"/>
        <v>0.19912034492458275</v>
      </c>
      <c r="U12" s="12">
        <f t="shared" si="7"/>
        <v>4.4837904319261213E-2</v>
      </c>
      <c r="V12" s="12">
        <f t="shared" si="8"/>
        <v>0.107145564832242</v>
      </c>
      <c r="W12" s="12">
        <f t="shared" si="9"/>
        <v>2.5232766069734448E-2</v>
      </c>
      <c r="X12">
        <f t="shared" si="10"/>
        <v>0.04</v>
      </c>
    </row>
    <row r="13" spans="1:24" ht="15" customHeight="1" x14ac:dyDescent="0.45">
      <c r="B13" s="7" t="s">
        <v>157</v>
      </c>
      <c r="C13" s="12">
        <f>C11^2/C10</f>
        <v>1.7673780662795284</v>
      </c>
      <c r="L13" s="9">
        <v>9</v>
      </c>
      <c r="M13" s="17">
        <v>1.46</v>
      </c>
      <c r="N13" s="11">
        <f t="shared" si="0"/>
        <v>0.37843643572024505</v>
      </c>
      <c r="O13" s="10">
        <f t="shared" si="1"/>
        <v>1.02</v>
      </c>
      <c r="P13" s="12">
        <f t="shared" si="2"/>
        <v>4.6790873114735496E-2</v>
      </c>
      <c r="Q13" s="12">
        <f t="shared" si="3"/>
        <v>-1.7908731147354973E-3</v>
      </c>
      <c r="R13" s="12">
        <f t="shared" si="4"/>
        <v>6.7908731147354948E-3</v>
      </c>
      <c r="S13" s="11">
        <f t="shared" si="5"/>
        <v>-70.408868161483895</v>
      </c>
      <c r="T13" s="12">
        <f t="shared" si="6"/>
        <v>0.20266907915792409</v>
      </c>
      <c r="U13" s="12">
        <f t="shared" si="7"/>
        <v>4.6790873114735496E-2</v>
      </c>
      <c r="V13" s="12">
        <f t="shared" si="8"/>
        <v>0.10845934010572467</v>
      </c>
      <c r="W13" s="12">
        <f t="shared" si="9"/>
        <v>2.7033240102782137E-2</v>
      </c>
      <c r="X13">
        <f t="shared" si="10"/>
        <v>4.4999999999999998E-2</v>
      </c>
    </row>
    <row r="14" spans="1:24" ht="15" customHeight="1" x14ac:dyDescent="0.45">
      <c r="B14" s="7" t="s">
        <v>158</v>
      </c>
      <c r="C14" s="12">
        <f>AVERAGE(N5:N204)</f>
        <v>1.3044685416092525</v>
      </c>
      <c r="L14" s="9">
        <v>10</v>
      </c>
      <c r="M14" s="17">
        <v>0.86</v>
      </c>
      <c r="N14" s="11">
        <f t="shared" si="0"/>
        <v>-0.15082288973458366</v>
      </c>
      <c r="O14" s="10">
        <f t="shared" si="1"/>
        <v>1.1299999999999999</v>
      </c>
      <c r="P14" s="12">
        <f t="shared" si="2"/>
        <v>5.8190738058743613E-2</v>
      </c>
      <c r="Q14" s="12">
        <f t="shared" si="3"/>
        <v>-8.1907380587436102E-3</v>
      </c>
      <c r="R14" s="12">
        <f t="shared" si="4"/>
        <v>1.3190738058743615E-2</v>
      </c>
      <c r="S14" s="11">
        <f t="shared" si="5"/>
        <v>-76.878457596987118</v>
      </c>
      <c r="T14" s="12">
        <f t="shared" si="6"/>
        <v>0.22190790113401682</v>
      </c>
      <c r="U14" s="12">
        <f t="shared" si="7"/>
        <v>5.8190738058743613E-2</v>
      </c>
      <c r="V14" s="12">
        <f t="shared" si="8"/>
        <v>0.11589246506419937</v>
      </c>
      <c r="W14" s="12">
        <f t="shared" si="9"/>
        <v>3.8136190783745132E-2</v>
      </c>
      <c r="X14">
        <f t="shared" si="10"/>
        <v>0.05</v>
      </c>
    </row>
    <row r="15" spans="1:24" ht="15" customHeight="1" x14ac:dyDescent="0.45">
      <c r="B15" s="7" t="s">
        <v>159</v>
      </c>
      <c r="C15" s="12">
        <f>STDEV(N5:N204)</f>
        <v>0.66690730152281708</v>
      </c>
      <c r="L15" s="9">
        <v>11</v>
      </c>
      <c r="M15" s="17">
        <v>1.57</v>
      </c>
      <c r="N15" s="11">
        <f t="shared" si="0"/>
        <v>0.45107561936021673</v>
      </c>
      <c r="O15" s="10">
        <f t="shared" si="1"/>
        <v>1.19</v>
      </c>
      <c r="P15" s="12">
        <f t="shared" si="2"/>
        <v>6.4859228103048838E-2</v>
      </c>
      <c r="Q15" s="12">
        <f t="shared" si="3"/>
        <v>-9.859228103048838E-3</v>
      </c>
      <c r="R15" s="12">
        <f t="shared" si="4"/>
        <v>1.4859228103048835E-2</v>
      </c>
      <c r="S15" s="11">
        <f t="shared" si="5"/>
        <v>-82.861316541286129</v>
      </c>
      <c r="T15" s="12">
        <f t="shared" si="6"/>
        <v>0.23220542186398163</v>
      </c>
      <c r="U15" s="12">
        <f t="shared" si="7"/>
        <v>6.4859228103048838E-2</v>
      </c>
      <c r="V15" s="12">
        <f t="shared" si="8"/>
        <v>0.12009609347731469</v>
      </c>
      <c r="W15" s="12">
        <f t="shared" si="9"/>
        <v>4.502244345311722E-2</v>
      </c>
      <c r="X15">
        <f t="shared" si="10"/>
        <v>5.5E-2</v>
      </c>
    </row>
    <row r="16" spans="1:24" ht="15" customHeight="1" x14ac:dyDescent="0.45">
      <c r="B16" s="7" t="s">
        <v>160</v>
      </c>
      <c r="C16" s="11">
        <f>SKEW(M5:M204)</f>
        <v>1.2466032989460867</v>
      </c>
      <c r="L16" s="9">
        <v>12</v>
      </c>
      <c r="M16" s="17">
        <v>4.8099999999999996</v>
      </c>
      <c r="N16" s="11">
        <f t="shared" si="0"/>
        <v>1.5706970841176697</v>
      </c>
      <c r="O16" s="10">
        <f t="shared" si="1"/>
        <v>1.2</v>
      </c>
      <c r="P16" s="12">
        <f t="shared" si="2"/>
        <v>6.6000260853960727E-2</v>
      </c>
      <c r="Q16" s="12">
        <f t="shared" si="3"/>
        <v>-6.0002608539607288E-3</v>
      </c>
      <c r="R16" s="12">
        <f t="shared" si="4"/>
        <v>1.1000260853960726E-2</v>
      </c>
      <c r="S16" s="11">
        <f t="shared" si="5"/>
        <v>-88.25744970167446</v>
      </c>
      <c r="T16" s="12">
        <f t="shared" si="6"/>
        <v>0.23390837680127063</v>
      </c>
      <c r="U16" s="12">
        <f t="shared" si="7"/>
        <v>6.6000260853960727E-2</v>
      </c>
      <c r="V16" s="12">
        <f t="shared" si="8"/>
        <v>0.12080701500571114</v>
      </c>
      <c r="W16" s="12">
        <f t="shared" si="9"/>
        <v>4.6225003717245354E-2</v>
      </c>
      <c r="X16">
        <f t="shared" si="10"/>
        <v>0.06</v>
      </c>
    </row>
    <row r="17" spans="2:24" ht="15" customHeight="1" x14ac:dyDescent="0.45">
      <c r="B17" s="7" t="s">
        <v>161</v>
      </c>
      <c r="C17" s="11">
        <f>C11/C10</f>
        <v>0.62644770891898305</v>
      </c>
      <c r="L17" s="9">
        <v>13</v>
      </c>
      <c r="M17" s="17">
        <v>4.1900000000000004</v>
      </c>
      <c r="N17" s="11">
        <f t="shared" si="0"/>
        <v>1.4327007339340465</v>
      </c>
      <c r="O17" s="10">
        <f t="shared" si="1"/>
        <v>1.21</v>
      </c>
      <c r="P17" s="12">
        <f t="shared" si="2"/>
        <v>6.7149588679194142E-2</v>
      </c>
      <c r="Q17" s="12">
        <f t="shared" si="3"/>
        <v>-2.1495886791941393E-3</v>
      </c>
      <c r="R17" s="12">
        <f t="shared" si="4"/>
        <v>7.1495886791941438E-3</v>
      </c>
      <c r="S17" s="11">
        <f t="shared" si="5"/>
        <v>-93.587220223998401</v>
      </c>
      <c r="T17" s="12">
        <f t="shared" si="6"/>
        <v>0.23560755461431171</v>
      </c>
      <c r="U17" s="12">
        <f t="shared" si="7"/>
        <v>6.7149588679194142E-2</v>
      </c>
      <c r="V17" s="12">
        <f t="shared" si="8"/>
        <v>0.12152089332745908</v>
      </c>
      <c r="W17" s="12">
        <f t="shared" si="9"/>
        <v>4.7442924068884798E-2</v>
      </c>
      <c r="X17">
        <f t="shared" si="10"/>
        <v>6.5000000000000002E-2</v>
      </c>
    </row>
    <row r="18" spans="2:24" ht="15" customHeight="1" x14ac:dyDescent="0.45">
      <c r="L18" s="9">
        <v>14</v>
      </c>
      <c r="M18" s="17">
        <v>1.21</v>
      </c>
      <c r="N18" s="11">
        <f t="shared" si="0"/>
        <v>0.1906203596086497</v>
      </c>
      <c r="O18" s="10">
        <f t="shared" si="1"/>
        <v>1.23</v>
      </c>
      <c r="P18" s="12">
        <f t="shared" si="2"/>
        <v>6.9472876861493255E-2</v>
      </c>
      <c r="Q18" s="12">
        <f t="shared" si="3"/>
        <v>5.2712313850675208E-4</v>
      </c>
      <c r="R18" s="12">
        <f t="shared" si="4"/>
        <v>4.4728768614932524E-3</v>
      </c>
      <c r="S18" s="11">
        <f t="shared" si="5"/>
        <v>-98.861621581854763</v>
      </c>
      <c r="T18" s="12">
        <f t="shared" si="6"/>
        <v>0.23899461235945108</v>
      </c>
      <c r="U18" s="12">
        <f t="shared" si="7"/>
        <v>6.9472876861493255E-2</v>
      </c>
      <c r="V18" s="12">
        <f t="shared" si="8"/>
        <v>0.12295753345632376</v>
      </c>
      <c r="W18" s="12">
        <f t="shared" si="9"/>
        <v>4.992434898961684E-2</v>
      </c>
      <c r="X18">
        <f t="shared" si="10"/>
        <v>7.0000000000000007E-2</v>
      </c>
    </row>
    <row r="19" spans="2:24" ht="15" customHeight="1" x14ac:dyDescent="0.45">
      <c r="B19" s="6" t="s">
        <v>162</v>
      </c>
      <c r="L19" s="9">
        <v>15</v>
      </c>
      <c r="M19" s="17">
        <v>4.78</v>
      </c>
      <c r="N19" s="11">
        <f t="shared" si="0"/>
        <v>1.5644405465033646</v>
      </c>
      <c r="O19" s="10">
        <f t="shared" si="1"/>
        <v>1.31</v>
      </c>
      <c r="P19" s="12">
        <f t="shared" si="2"/>
        <v>7.908512963441669E-2</v>
      </c>
      <c r="Q19" s="12">
        <f t="shared" si="3"/>
        <v>-4.0851296344166926E-3</v>
      </c>
      <c r="R19" s="12">
        <f t="shared" si="4"/>
        <v>9.0851296344166832E-3</v>
      </c>
      <c r="S19" s="11">
        <f t="shared" si="5"/>
        <v>-104.14551088819226</v>
      </c>
      <c r="T19" s="12">
        <f t="shared" si="6"/>
        <v>0.25239342481688054</v>
      </c>
      <c r="U19" s="12">
        <f t="shared" si="7"/>
        <v>7.908512963441669E-2</v>
      </c>
      <c r="V19" s="12">
        <f t="shared" si="8"/>
        <v>0.12882299388804888</v>
      </c>
      <c r="W19" s="12">
        <f t="shared" si="9"/>
        <v>6.0438593115333929E-2</v>
      </c>
      <c r="X19">
        <f t="shared" si="10"/>
        <v>7.4999999999999997E-2</v>
      </c>
    </row>
    <row r="20" spans="2:24" ht="28.05" customHeight="1" x14ac:dyDescent="0.45">
      <c r="B20" s="3" t="s">
        <v>163</v>
      </c>
      <c r="C20" s="3" t="s">
        <v>164</v>
      </c>
      <c r="D20" s="3" t="s">
        <v>165</v>
      </c>
      <c r="E20" s="3" t="s">
        <v>166</v>
      </c>
      <c r="F20" s="3" t="s">
        <v>167</v>
      </c>
      <c r="G20" s="3" t="s">
        <v>168</v>
      </c>
      <c r="L20" s="9">
        <v>16</v>
      </c>
      <c r="M20" s="17">
        <v>2.36</v>
      </c>
      <c r="N20" s="11">
        <f t="shared" si="0"/>
        <v>0.8586616190375187</v>
      </c>
      <c r="O20" s="10">
        <f t="shared" si="1"/>
        <v>1.31</v>
      </c>
      <c r="P20" s="12">
        <f t="shared" si="2"/>
        <v>7.908512963441669E-2</v>
      </c>
      <c r="Q20" s="12">
        <f t="shared" si="3"/>
        <v>9.1487036558331181E-4</v>
      </c>
      <c r="R20" s="12">
        <f t="shared" si="4"/>
        <v>4.0851296344166926E-3</v>
      </c>
      <c r="S20" s="11">
        <f t="shared" si="5"/>
        <v>-109.05519636348981</v>
      </c>
      <c r="T20" s="12">
        <f t="shared" si="6"/>
        <v>0.25239342481688054</v>
      </c>
      <c r="U20" s="12">
        <f t="shared" si="7"/>
        <v>7.908512963441669E-2</v>
      </c>
      <c r="V20" s="12">
        <f t="shared" si="8"/>
        <v>0.12882299388804888</v>
      </c>
      <c r="W20" s="12">
        <f t="shared" si="9"/>
        <v>6.0438593115333929E-2</v>
      </c>
      <c r="X20">
        <f t="shared" si="10"/>
        <v>0.08</v>
      </c>
    </row>
    <row r="21" spans="2:24" ht="15" customHeight="1" x14ac:dyDescent="0.45">
      <c r="B21" s="9">
        <v>1</v>
      </c>
      <c r="C21" s="22">
        <f>-1000000000</f>
        <v>-1000000000</v>
      </c>
      <c r="D21" s="11">
        <f>CHOOSE($C$6,-$C$10*LN(1-0.1),_xlfn.GAMMA.INV(0.1,$C$12,$C$13),_xlfn.NORM.INV(0.1,$C$10,$C$11),_xlfn.LOGNORM.INV(0.1,$C$14,$C$15))</f>
        <v>1.471973072187122</v>
      </c>
      <c r="E21" s="9">
        <f t="shared" ref="E21:E30" si="11">COUNTIFS($M$5:$M$204,"&gt;="&amp;C21,$M$5:$M$204,"&lt;"&amp;D21)</f>
        <v>21</v>
      </c>
      <c r="F21" s="19">
        <f t="shared" ref="F21:F30" si="12">$C$9/10</f>
        <v>20</v>
      </c>
      <c r="G21" s="11">
        <f t="shared" ref="G21:G30" si="13">(E21-F21)^2/F21</f>
        <v>0.05</v>
      </c>
      <c r="L21" s="9">
        <v>17</v>
      </c>
      <c r="M21" s="17">
        <v>2.36</v>
      </c>
      <c r="N21" s="11">
        <f t="shared" si="0"/>
        <v>0.8586616190375187</v>
      </c>
      <c r="O21" s="10">
        <f t="shared" si="1"/>
        <v>1.32</v>
      </c>
      <c r="P21" s="12">
        <f t="shared" si="2"/>
        <v>8.0321503679851081E-2</v>
      </c>
      <c r="Q21" s="12">
        <f t="shared" si="3"/>
        <v>4.6784963201489255E-3</v>
      </c>
      <c r="R21" s="12">
        <f t="shared" si="4"/>
        <v>3.2150367985107897E-4</v>
      </c>
      <c r="S21" s="11">
        <f t="shared" si="5"/>
        <v>-113.94601567608915</v>
      </c>
      <c r="T21" s="12">
        <f t="shared" si="6"/>
        <v>0.25405160311692609</v>
      </c>
      <c r="U21" s="12">
        <f t="shared" si="7"/>
        <v>8.0321503679851081E-2</v>
      </c>
      <c r="V21" s="12">
        <f t="shared" si="8"/>
        <v>0.12956960060065936</v>
      </c>
      <c r="W21" s="12">
        <f t="shared" si="9"/>
        <v>6.1816815546455989E-2</v>
      </c>
      <c r="X21">
        <f t="shared" si="10"/>
        <v>8.5000000000000006E-2</v>
      </c>
    </row>
    <row r="22" spans="2:24" ht="15" customHeight="1" x14ac:dyDescent="0.45">
      <c r="B22" s="9">
        <v>2</v>
      </c>
      <c r="C22" s="11">
        <f t="shared" ref="C22:C30" si="14">D21</f>
        <v>1.471973072187122</v>
      </c>
      <c r="D22" s="11">
        <f>CHOOSE($C$6,-$C$10*LN(1-0.2),_xlfn.GAMMA.INV(0.2,$C$12,$C$13),_xlfn.NORM.INV(0.2,$C$10,$C$11),_xlfn.LOGNORM.INV(0.2,$C$14,$C$15))</f>
        <v>2.1308874881959539</v>
      </c>
      <c r="E22" s="9">
        <f t="shared" si="11"/>
        <v>18</v>
      </c>
      <c r="F22" s="19">
        <f t="shared" si="12"/>
        <v>20</v>
      </c>
      <c r="G22" s="11">
        <f t="shared" si="13"/>
        <v>0.2</v>
      </c>
      <c r="L22" s="9">
        <v>18</v>
      </c>
      <c r="M22" s="17">
        <v>7.49</v>
      </c>
      <c r="N22" s="11">
        <f t="shared" si="0"/>
        <v>2.0135687975291283</v>
      </c>
      <c r="O22" s="10">
        <f t="shared" si="1"/>
        <v>1.37</v>
      </c>
      <c r="P22" s="12">
        <f t="shared" si="2"/>
        <v>8.6615008540560506E-2</v>
      </c>
      <c r="Q22" s="12">
        <f t="shared" si="3"/>
        <v>3.3849914594394903E-3</v>
      </c>
      <c r="R22" s="12">
        <f t="shared" si="4"/>
        <v>1.6150085405605002E-3</v>
      </c>
      <c r="S22" s="11">
        <f t="shared" si="5"/>
        <v>-118.68807654222084</v>
      </c>
      <c r="T22" s="12">
        <f t="shared" si="6"/>
        <v>0.26228749033563625</v>
      </c>
      <c r="U22" s="12">
        <f t="shared" si="7"/>
        <v>8.6615008540560506E-2</v>
      </c>
      <c r="V22" s="12">
        <f t="shared" si="8"/>
        <v>0.13334756679681886</v>
      </c>
      <c r="W22" s="12">
        <f t="shared" si="9"/>
        <v>6.8910951312419644E-2</v>
      </c>
      <c r="X22">
        <f t="shared" si="10"/>
        <v>0.09</v>
      </c>
    </row>
    <row r="23" spans="2:24" ht="15" customHeight="1" x14ac:dyDescent="0.45">
      <c r="B23" s="9">
        <v>3</v>
      </c>
      <c r="C23" s="11">
        <f t="shared" si="14"/>
        <v>2.1308874881959539</v>
      </c>
      <c r="D23" s="11">
        <f>CHOOSE($C$6,-$C$10*LN(1-0.3),_xlfn.GAMMA.INV(0.3,$C$12,$C$13),_xlfn.NORM.INV(0.3,$C$10,$C$11),_xlfn.LOGNORM.INV(0.3,$C$14,$C$15))</f>
        <v>2.7207132054501031</v>
      </c>
      <c r="E23" s="9">
        <f t="shared" si="11"/>
        <v>21</v>
      </c>
      <c r="F23" s="19">
        <f t="shared" si="12"/>
        <v>20</v>
      </c>
      <c r="G23" s="11">
        <f t="shared" si="13"/>
        <v>0.05</v>
      </c>
      <c r="L23" s="9">
        <v>19</v>
      </c>
      <c r="M23" s="17">
        <v>4.01</v>
      </c>
      <c r="N23" s="11">
        <f t="shared" si="0"/>
        <v>1.3887912413184778</v>
      </c>
      <c r="O23" s="10">
        <f t="shared" si="1"/>
        <v>1.39</v>
      </c>
      <c r="P23" s="12">
        <f t="shared" si="2"/>
        <v>8.9183300589247824E-2</v>
      </c>
      <c r="Q23" s="12">
        <f t="shared" si="3"/>
        <v>5.8166994107521769E-3</v>
      </c>
      <c r="R23" s="12">
        <f t="shared" si="4"/>
        <v>-8.1669941075217245E-4</v>
      </c>
      <c r="S23" s="11">
        <f t="shared" si="5"/>
        <v>-123.34041485022119</v>
      </c>
      <c r="T23" s="12">
        <f t="shared" si="6"/>
        <v>0.26555632807026874</v>
      </c>
      <c r="U23" s="12">
        <f t="shared" si="7"/>
        <v>8.9183300589247824E-2</v>
      </c>
      <c r="V23" s="12">
        <f t="shared" si="8"/>
        <v>0.13487976643060898</v>
      </c>
      <c r="W23" s="12">
        <f t="shared" si="9"/>
        <v>7.1840548499160356E-2</v>
      </c>
      <c r="X23">
        <f t="shared" si="10"/>
        <v>9.5000000000000001E-2</v>
      </c>
    </row>
    <row r="24" spans="2:24" ht="15" customHeight="1" x14ac:dyDescent="0.45">
      <c r="B24" s="9">
        <v>4</v>
      </c>
      <c r="C24" s="11">
        <f t="shared" si="14"/>
        <v>2.7207132054501031</v>
      </c>
      <c r="D24" s="11">
        <f>CHOOSE($C$6,-$C$10*LN(1-0.4),_xlfn.GAMMA.INV(0.4,$C$12,$C$13),_xlfn.NORM.INV(0.4,$C$10,$C$11),_xlfn.LOGNORM.INV(0.4,$C$14,$C$15))</f>
        <v>3.3078153548893807</v>
      </c>
      <c r="E24" s="9">
        <f t="shared" si="11"/>
        <v>16</v>
      </c>
      <c r="F24" s="19">
        <f t="shared" si="12"/>
        <v>20</v>
      </c>
      <c r="G24" s="11">
        <f t="shared" si="13"/>
        <v>0.8</v>
      </c>
      <c r="L24" s="9">
        <v>20</v>
      </c>
      <c r="M24" s="17">
        <v>4.5199999999999996</v>
      </c>
      <c r="N24" s="11">
        <f t="shared" si="0"/>
        <v>1.5085119938441398</v>
      </c>
      <c r="O24" s="10">
        <f t="shared" si="1"/>
        <v>1.45</v>
      </c>
      <c r="P24" s="12">
        <f t="shared" si="2"/>
        <v>9.7055931081525146E-2</v>
      </c>
      <c r="Q24" s="12">
        <f t="shared" si="3"/>
        <v>2.9440689184748597E-3</v>
      </c>
      <c r="R24" s="12">
        <f t="shared" si="4"/>
        <v>2.0559310815251447E-3</v>
      </c>
      <c r="S24" s="11">
        <f t="shared" si="5"/>
        <v>-127.82242111137779</v>
      </c>
      <c r="T24" s="12">
        <f t="shared" si="6"/>
        <v>0.27527619149994553</v>
      </c>
      <c r="U24" s="12">
        <f t="shared" si="7"/>
        <v>9.7055931081525146E-2</v>
      </c>
      <c r="V24" s="12">
        <f t="shared" si="8"/>
        <v>0.13954863464359857</v>
      </c>
      <c r="W24" s="12">
        <f t="shared" si="9"/>
        <v>8.0928600736030074E-2</v>
      </c>
      <c r="X24">
        <f t="shared" si="10"/>
        <v>0.1</v>
      </c>
    </row>
    <row r="25" spans="2:24" ht="15" customHeight="1" x14ac:dyDescent="0.45">
      <c r="B25" s="9">
        <v>5</v>
      </c>
      <c r="C25" s="11">
        <f t="shared" si="14"/>
        <v>3.3078153548893807</v>
      </c>
      <c r="D25" s="11">
        <f>CHOOSE($C$6,-$C$10*LN(1-0.5),_xlfn.GAMMA.INV(0.5,$C$12,$C$13),_xlfn.NORM.INV(0.5,$C$10,$C$11),_xlfn.LOGNORM.INV(0.5,$C$14,$C$15))</f>
        <v>3.9301522551709809</v>
      </c>
      <c r="E25" s="9">
        <f t="shared" si="11"/>
        <v>22</v>
      </c>
      <c r="F25" s="19">
        <f t="shared" si="12"/>
        <v>20</v>
      </c>
      <c r="G25" s="11">
        <f t="shared" si="13"/>
        <v>0.2</v>
      </c>
      <c r="L25" s="9">
        <v>21</v>
      </c>
      <c r="M25" s="17">
        <v>4.5599999999999996</v>
      </c>
      <c r="N25" s="11">
        <f t="shared" si="0"/>
        <v>1.5173226235262947</v>
      </c>
      <c r="O25" s="10">
        <f t="shared" si="1"/>
        <v>1.46</v>
      </c>
      <c r="P25" s="12">
        <f t="shared" si="2"/>
        <v>9.8391821494876075E-2</v>
      </c>
      <c r="Q25" s="12">
        <f t="shared" si="3"/>
        <v>6.6081785051239211E-3</v>
      </c>
      <c r="R25" s="12">
        <f t="shared" si="4"/>
        <v>-1.6081785051239306E-3</v>
      </c>
      <c r="S25" s="11">
        <f t="shared" si="5"/>
        <v>-132.25421434940876</v>
      </c>
      <c r="T25" s="12">
        <f t="shared" si="6"/>
        <v>0.27688361622395474</v>
      </c>
      <c r="U25" s="12">
        <f t="shared" si="7"/>
        <v>9.8391821494876075E-2</v>
      </c>
      <c r="V25" s="12">
        <f t="shared" si="8"/>
        <v>0.14033733877144797</v>
      </c>
      <c r="W25" s="12">
        <f t="shared" si="9"/>
        <v>8.248527782364308E-2</v>
      </c>
      <c r="X25">
        <f t="shared" si="10"/>
        <v>0.105</v>
      </c>
    </row>
    <row r="26" spans="2:24" ht="15" customHeight="1" x14ac:dyDescent="0.45">
      <c r="B26" s="9">
        <v>6</v>
      </c>
      <c r="C26" s="11">
        <f t="shared" si="14"/>
        <v>3.9301522551709809</v>
      </c>
      <c r="D26" s="11">
        <f>CHOOSE($C$6,-$C$10*LN(1-0.6),_xlfn.GAMMA.INV(0.6,$C$12,$C$13),_xlfn.NORM.INV(0.6,$C$10,$C$11),_xlfn.LOGNORM.INV(0.6,$C$14,$C$15))</f>
        <v>4.6271365288644599</v>
      </c>
      <c r="E26" s="9">
        <f t="shared" si="11"/>
        <v>31</v>
      </c>
      <c r="F26" s="19">
        <f t="shared" si="12"/>
        <v>20</v>
      </c>
      <c r="G26" s="11">
        <f t="shared" si="13"/>
        <v>6.05</v>
      </c>
      <c r="L26" s="9">
        <v>22</v>
      </c>
      <c r="M26" s="17">
        <v>1.19</v>
      </c>
      <c r="N26" s="11">
        <f t="shared" si="0"/>
        <v>0.17395330712343798</v>
      </c>
      <c r="O26" s="10">
        <f t="shared" si="1"/>
        <v>1.56</v>
      </c>
      <c r="P26" s="12">
        <f t="shared" si="2"/>
        <v>0.11210440614742236</v>
      </c>
      <c r="Q26" s="12">
        <f t="shared" si="3"/>
        <v>-2.1044061474223552E-3</v>
      </c>
      <c r="R26" s="12">
        <f t="shared" si="4"/>
        <v>7.1044061474223597E-3</v>
      </c>
      <c r="S26" s="11">
        <f t="shared" si="5"/>
        <v>-136.54565860845781</v>
      </c>
      <c r="T26" s="12">
        <f t="shared" si="6"/>
        <v>0.29276307425979531</v>
      </c>
      <c r="U26" s="12">
        <f t="shared" si="7"/>
        <v>0.11210440614742236</v>
      </c>
      <c r="V26" s="12">
        <f t="shared" si="8"/>
        <v>0.14839080951827191</v>
      </c>
      <c r="W26" s="12">
        <f t="shared" si="9"/>
        <v>9.866276408160643E-2</v>
      </c>
      <c r="X26">
        <f t="shared" si="10"/>
        <v>0.11</v>
      </c>
    </row>
    <row r="27" spans="2:24" ht="15" customHeight="1" x14ac:dyDescent="0.45">
      <c r="B27" s="9">
        <v>7</v>
      </c>
      <c r="C27" s="11">
        <f t="shared" si="14"/>
        <v>4.6271365288644599</v>
      </c>
      <c r="D27" s="11">
        <f>CHOOSE($C$6,-$C$10*LN(1-0.7),_xlfn.GAMMA.INV(0.7,$C$12,$C$13),_xlfn.NORM.INV(0.7,$C$10,$C$11),_xlfn.LOGNORM.INV(0.7,$C$14,$C$15))</f>
        <v>5.4590783072335336</v>
      </c>
      <c r="E27" s="9">
        <f t="shared" si="11"/>
        <v>13</v>
      </c>
      <c r="F27" s="19">
        <f t="shared" si="12"/>
        <v>20</v>
      </c>
      <c r="G27" s="11">
        <f t="shared" si="13"/>
        <v>2.4500000000000002</v>
      </c>
      <c r="L27" s="9">
        <v>23</v>
      </c>
      <c r="M27" s="17">
        <v>4.6900000000000004</v>
      </c>
      <c r="N27" s="11">
        <f t="shared" si="0"/>
        <v>1.545432582458188</v>
      </c>
      <c r="O27" s="10">
        <f t="shared" si="1"/>
        <v>1.57</v>
      </c>
      <c r="P27" s="12">
        <f t="shared" si="2"/>
        <v>0.11350962130568043</v>
      </c>
      <c r="Q27" s="12">
        <f t="shared" si="3"/>
        <v>1.4903786943195746E-3</v>
      </c>
      <c r="R27" s="12">
        <f t="shared" si="4"/>
        <v>3.5096213056804298E-3</v>
      </c>
      <c r="S27" s="11">
        <f t="shared" si="5"/>
        <v>-140.68622280534572</v>
      </c>
      <c r="T27" s="12">
        <f t="shared" si="6"/>
        <v>0.29433171338387754</v>
      </c>
      <c r="U27" s="12">
        <f t="shared" si="7"/>
        <v>0.11350962130568043</v>
      </c>
      <c r="V27" s="12">
        <f t="shared" si="8"/>
        <v>0.14921282754227175</v>
      </c>
      <c r="W27" s="12">
        <f t="shared" si="9"/>
        <v>0.10033808693181831</v>
      </c>
      <c r="X27">
        <f t="shared" si="10"/>
        <v>0.115</v>
      </c>
    </row>
    <row r="28" spans="2:24" ht="15" customHeight="1" x14ac:dyDescent="0.45">
      <c r="B28" s="9">
        <v>8</v>
      </c>
      <c r="C28" s="11">
        <f t="shared" si="14"/>
        <v>5.4590783072335336</v>
      </c>
      <c r="D28" s="11">
        <f>CHOOSE($C$6,-$C$10*LN(1-0.8),_xlfn.GAMMA.INV(0.8,$C$12,$C$13),_xlfn.NORM.INV(0.8,$C$10,$C$11),_xlfn.LOGNORM.INV(0.8,$C$14,$C$15))</f>
        <v>6.5505777649328865</v>
      </c>
      <c r="E28" s="9">
        <f t="shared" si="11"/>
        <v>16</v>
      </c>
      <c r="F28" s="19">
        <f t="shared" si="12"/>
        <v>20</v>
      </c>
      <c r="G28" s="11">
        <f t="shared" si="13"/>
        <v>0.8</v>
      </c>
      <c r="L28" s="9">
        <v>24</v>
      </c>
      <c r="M28" s="17">
        <v>13.29</v>
      </c>
      <c r="N28" s="11">
        <f t="shared" si="0"/>
        <v>2.5870118727251539</v>
      </c>
      <c r="O28" s="10">
        <f t="shared" si="1"/>
        <v>1.57</v>
      </c>
      <c r="P28" s="12">
        <f t="shared" si="2"/>
        <v>0.11350962130568043</v>
      </c>
      <c r="Q28" s="12">
        <f t="shared" si="3"/>
        <v>6.4903786943195652E-3</v>
      </c>
      <c r="R28" s="12">
        <f t="shared" si="4"/>
        <v>-1.4903786943195746E-3</v>
      </c>
      <c r="S28" s="11">
        <f t="shared" si="5"/>
        <v>-144.79698814489944</v>
      </c>
      <c r="T28" s="12">
        <f t="shared" si="6"/>
        <v>0.29433171338387754</v>
      </c>
      <c r="U28" s="12">
        <f t="shared" si="7"/>
        <v>0.11350962130568043</v>
      </c>
      <c r="V28" s="12">
        <f t="shared" si="8"/>
        <v>0.14921282754227175</v>
      </c>
      <c r="W28" s="12">
        <f t="shared" si="9"/>
        <v>0.10033808693181831</v>
      </c>
      <c r="X28">
        <f t="shared" si="10"/>
        <v>0.12</v>
      </c>
    </row>
    <row r="29" spans="2:24" ht="15" customHeight="1" x14ac:dyDescent="0.45">
      <c r="B29" s="9">
        <v>9</v>
      </c>
      <c r="C29" s="11">
        <f t="shared" si="14"/>
        <v>6.5505777649328865</v>
      </c>
      <c r="D29" s="11">
        <f>CHOOSE($C$6,-$C$10*LN(1-0.9),_xlfn.GAMMA.INV(0.9,$C$12,$C$13),_xlfn.NORM.INV(0.9,$C$10,$C$11),_xlfn.LOGNORM.INV(0.9,$C$14,$C$15))</f>
        <v>8.2836366394762759</v>
      </c>
      <c r="E29" s="9">
        <f t="shared" si="11"/>
        <v>24</v>
      </c>
      <c r="F29" s="19">
        <f t="shared" si="12"/>
        <v>20</v>
      </c>
      <c r="G29" s="11">
        <f t="shared" si="13"/>
        <v>0.8</v>
      </c>
      <c r="L29" s="9">
        <v>25</v>
      </c>
      <c r="M29" s="17">
        <v>1.67</v>
      </c>
      <c r="N29" s="11">
        <f t="shared" si="0"/>
        <v>0.51282362642866375</v>
      </c>
      <c r="O29" s="10">
        <f t="shared" si="1"/>
        <v>1.65</v>
      </c>
      <c r="P29" s="12">
        <f t="shared" si="2"/>
        <v>0.12495908982292402</v>
      </c>
      <c r="Q29" s="12">
        <f t="shared" si="3"/>
        <v>4.0910177075983989E-5</v>
      </c>
      <c r="R29" s="12">
        <f t="shared" si="4"/>
        <v>4.9590898229240205E-3</v>
      </c>
      <c r="S29" s="11">
        <f t="shared" si="5"/>
        <v>-148.76178332608691</v>
      </c>
      <c r="T29" s="12">
        <f t="shared" si="6"/>
        <v>0.30675622073045494</v>
      </c>
      <c r="U29" s="12">
        <f t="shared" si="7"/>
        <v>0.12495908982292402</v>
      </c>
      <c r="V29" s="12">
        <f t="shared" si="8"/>
        <v>0.15589829859671492</v>
      </c>
      <c r="W29" s="12">
        <f t="shared" si="9"/>
        <v>0.11408140514869197</v>
      </c>
      <c r="X29">
        <f t="shared" si="10"/>
        <v>0.125</v>
      </c>
    </row>
    <row r="30" spans="2:24" ht="15" customHeight="1" x14ac:dyDescent="0.45">
      <c r="B30" s="9">
        <v>10</v>
      </c>
      <c r="C30" s="11">
        <f t="shared" si="14"/>
        <v>8.2836366394762759</v>
      </c>
      <c r="D30" s="23">
        <f>1000000000</f>
        <v>1000000000</v>
      </c>
      <c r="E30" s="9">
        <f t="shared" si="11"/>
        <v>18</v>
      </c>
      <c r="F30" s="19">
        <f t="shared" si="12"/>
        <v>20</v>
      </c>
      <c r="G30" s="11">
        <f t="shared" si="13"/>
        <v>0.2</v>
      </c>
      <c r="L30" s="9">
        <v>26</v>
      </c>
      <c r="M30" s="17">
        <v>6.26</v>
      </c>
      <c r="N30" s="11">
        <f t="shared" si="0"/>
        <v>1.8341801851120072</v>
      </c>
      <c r="O30" s="10">
        <f t="shared" si="1"/>
        <v>1.67</v>
      </c>
      <c r="P30" s="12">
        <f t="shared" si="2"/>
        <v>0.12787685368018206</v>
      </c>
      <c r="Q30" s="12">
        <f t="shared" si="3"/>
        <v>2.1231463198179423E-3</v>
      </c>
      <c r="R30" s="12">
        <f t="shared" si="4"/>
        <v>2.8768536801820621E-3</v>
      </c>
      <c r="S30" s="11">
        <f t="shared" si="5"/>
        <v>-152.64286562583561</v>
      </c>
      <c r="T30" s="12">
        <f t="shared" si="6"/>
        <v>0.30982801549506678</v>
      </c>
      <c r="U30" s="12">
        <f t="shared" si="7"/>
        <v>0.12787685368018206</v>
      </c>
      <c r="V30" s="12">
        <f t="shared" si="8"/>
        <v>0.15760005421880277</v>
      </c>
      <c r="W30" s="12">
        <f t="shared" si="9"/>
        <v>0.11760613682798915</v>
      </c>
      <c r="X30">
        <f t="shared" si="10"/>
        <v>0.13</v>
      </c>
    </row>
    <row r="31" spans="2:24" ht="15" customHeight="1" x14ac:dyDescent="0.45">
      <c r="L31" s="9">
        <v>27</v>
      </c>
      <c r="M31" s="17">
        <v>6.67</v>
      </c>
      <c r="N31" s="11">
        <f t="shared" si="0"/>
        <v>1.8976198599275322</v>
      </c>
      <c r="O31" s="10">
        <f t="shared" si="1"/>
        <v>1.69</v>
      </c>
      <c r="P31" s="12">
        <f t="shared" si="2"/>
        <v>0.13081577532732797</v>
      </c>
      <c r="Q31" s="12">
        <f t="shared" si="3"/>
        <v>4.1842246726720433E-3</v>
      </c>
      <c r="R31" s="12">
        <f t="shared" si="4"/>
        <v>8.157753273279611E-4</v>
      </c>
      <c r="S31" s="11">
        <f t="shared" si="5"/>
        <v>-156.44962022467362</v>
      </c>
      <c r="T31" s="12">
        <f t="shared" si="6"/>
        <v>0.31288619899715009</v>
      </c>
      <c r="U31" s="12">
        <f t="shared" si="7"/>
        <v>0.13081577532732797</v>
      </c>
      <c r="V31" s="12">
        <f t="shared" si="8"/>
        <v>0.15931396950672452</v>
      </c>
      <c r="W31" s="12">
        <f t="shared" si="9"/>
        <v>0.12116394785199805</v>
      </c>
      <c r="X31">
        <f t="shared" si="10"/>
        <v>0.13500000000000001</v>
      </c>
    </row>
    <row r="32" spans="2:24" ht="15" customHeight="1" x14ac:dyDescent="0.45">
      <c r="L32" s="9">
        <v>28</v>
      </c>
      <c r="M32" s="17">
        <v>6.61</v>
      </c>
      <c r="N32" s="11">
        <f t="shared" si="0"/>
        <v>1.8885836538635949</v>
      </c>
      <c r="O32" s="10">
        <f t="shared" si="1"/>
        <v>1.72</v>
      </c>
      <c r="P32" s="12">
        <f t="shared" si="2"/>
        <v>0.13526274424125492</v>
      </c>
      <c r="Q32" s="12">
        <f t="shared" si="3"/>
        <v>4.7372557587450903E-3</v>
      </c>
      <c r="R32" s="12">
        <f t="shared" si="4"/>
        <v>2.6274424125491413E-4</v>
      </c>
      <c r="S32" s="11">
        <f t="shared" si="5"/>
        <v>-160.1681888342483</v>
      </c>
      <c r="T32" s="12">
        <f t="shared" si="6"/>
        <v>0.31744808499269839</v>
      </c>
      <c r="U32" s="12">
        <f t="shared" si="7"/>
        <v>0.13526274424125492</v>
      </c>
      <c r="V32" s="12">
        <f t="shared" si="8"/>
        <v>0.16190764178616748</v>
      </c>
      <c r="W32" s="12">
        <f t="shared" si="9"/>
        <v>0.12656001406396894</v>
      </c>
      <c r="X32">
        <f t="shared" si="10"/>
        <v>0.14000000000000001</v>
      </c>
    </row>
    <row r="33" spans="2:24" ht="15" customHeight="1" x14ac:dyDescent="0.45">
      <c r="B33" s="6" t="s">
        <v>169</v>
      </c>
      <c r="L33" s="9">
        <v>29</v>
      </c>
      <c r="M33" s="17">
        <v>2.63</v>
      </c>
      <c r="N33" s="11">
        <f t="shared" si="0"/>
        <v>0.96698384618967315</v>
      </c>
      <c r="O33" s="10">
        <f t="shared" si="1"/>
        <v>1.75</v>
      </c>
      <c r="P33" s="12">
        <f t="shared" si="2"/>
        <v>0.13975453998447002</v>
      </c>
      <c r="Q33" s="12">
        <f t="shared" si="3"/>
        <v>5.2454600155299735E-3</v>
      </c>
      <c r="R33" s="12">
        <f t="shared" si="4"/>
        <v>-2.4546001552999686E-4</v>
      </c>
      <c r="S33" s="11">
        <f t="shared" si="5"/>
        <v>-163.80282437690013</v>
      </c>
      <c r="T33" s="12">
        <f t="shared" si="6"/>
        <v>0.32197968371442698</v>
      </c>
      <c r="U33" s="12">
        <f t="shared" si="7"/>
        <v>0.13975453998447002</v>
      </c>
      <c r="V33" s="12">
        <f t="shared" si="8"/>
        <v>0.16452866864216759</v>
      </c>
      <c r="W33" s="12">
        <f t="shared" si="9"/>
        <v>0.13202367560968847</v>
      </c>
      <c r="X33">
        <f t="shared" si="10"/>
        <v>0.14499999999999999</v>
      </c>
    </row>
    <row r="34" spans="2:24" ht="24" customHeight="1" x14ac:dyDescent="0.45">
      <c r="B34" s="39" t="s">
        <v>170</v>
      </c>
      <c r="C34" s="40"/>
      <c r="D34" s="47" t="s">
        <v>171</v>
      </c>
      <c r="E34" s="48"/>
      <c r="F34" s="47" t="s">
        <v>172</v>
      </c>
      <c r="G34" s="48"/>
      <c r="H34" s="38" t="s">
        <v>173</v>
      </c>
      <c r="I34" s="35"/>
      <c r="L34" s="9">
        <v>30</v>
      </c>
      <c r="M34" s="17">
        <v>3.11</v>
      </c>
      <c r="N34" s="11">
        <f t="shared" si="0"/>
        <v>1.1346227261911428</v>
      </c>
      <c r="O34" s="10">
        <f t="shared" si="1"/>
        <v>1.75</v>
      </c>
      <c r="P34" s="12">
        <f t="shared" si="2"/>
        <v>0.13975453998447002</v>
      </c>
      <c r="Q34" s="12">
        <f t="shared" si="3"/>
        <v>1.0245460015529978E-2</v>
      </c>
      <c r="R34" s="12">
        <f t="shared" si="4"/>
        <v>-5.2454600155299735E-3</v>
      </c>
      <c r="S34" s="11">
        <f t="shared" si="5"/>
        <v>-167.43748471523318</v>
      </c>
      <c r="T34" s="12">
        <f t="shared" si="6"/>
        <v>0.32197968371442698</v>
      </c>
      <c r="U34" s="12">
        <f t="shared" si="7"/>
        <v>0.13975453998447002</v>
      </c>
      <c r="V34" s="12">
        <f t="shared" si="8"/>
        <v>0.16452866864216759</v>
      </c>
      <c r="W34" s="12">
        <f t="shared" si="9"/>
        <v>0.13202367560968847</v>
      </c>
      <c r="X34">
        <f t="shared" si="10"/>
        <v>0.15</v>
      </c>
    </row>
    <row r="35" spans="2:24" ht="17" customHeight="1" x14ac:dyDescent="0.45">
      <c r="B35" s="62">
        <f>SUM(G21:G30)</f>
        <v>11.600000000000001</v>
      </c>
      <c r="C35" s="40"/>
      <c r="D35" s="51">
        <f>10-1-IF($C$6=1,1,2)</f>
        <v>7</v>
      </c>
      <c r="E35" s="48"/>
      <c r="F35" s="64">
        <f>_xlfn.CHISQ.INV.RT(0.05,D35)</f>
        <v>14.067140449340167</v>
      </c>
      <c r="G35" s="48"/>
      <c r="H35" s="63">
        <f>_xlfn.CHISQ.DIST.RT(B35,D35)</f>
        <v>0.11450438780489793</v>
      </c>
      <c r="I35" s="35"/>
      <c r="L35" s="9">
        <v>31</v>
      </c>
      <c r="M35" s="17">
        <v>1.69</v>
      </c>
      <c r="N35" s="11">
        <f t="shared" si="0"/>
        <v>0.52472852893498212</v>
      </c>
      <c r="O35" s="10">
        <f t="shared" si="1"/>
        <v>1.81</v>
      </c>
      <c r="P35" s="12">
        <f t="shared" si="2"/>
        <v>0.14886603504370066</v>
      </c>
      <c r="Q35" s="12">
        <f t="shared" si="3"/>
        <v>6.133964956299337E-3</v>
      </c>
      <c r="R35" s="12">
        <f t="shared" si="4"/>
        <v>-1.1339649562993326E-3</v>
      </c>
      <c r="S35" s="11">
        <f t="shared" si="5"/>
        <v>-170.82918333386078</v>
      </c>
      <c r="T35" s="12">
        <f t="shared" si="6"/>
        <v>0.33095282233447421</v>
      </c>
      <c r="U35" s="12">
        <f t="shared" si="7"/>
        <v>0.14886603504370066</v>
      </c>
      <c r="V35" s="12">
        <f t="shared" si="8"/>
        <v>0.16985273587397551</v>
      </c>
      <c r="W35" s="12">
        <f t="shared" si="9"/>
        <v>0.14313777705575931</v>
      </c>
      <c r="X35">
        <f t="shared" si="10"/>
        <v>0.155</v>
      </c>
    </row>
    <row r="36" spans="2:24" ht="17" customHeight="1" x14ac:dyDescent="0.45">
      <c r="B36" s="40"/>
      <c r="C36" s="40"/>
      <c r="D36" s="48"/>
      <c r="E36" s="48"/>
      <c r="F36" s="48"/>
      <c r="G36" s="48"/>
      <c r="H36" s="35"/>
      <c r="I36" s="35"/>
      <c r="L36" s="9">
        <v>32</v>
      </c>
      <c r="M36" s="17">
        <v>3.78</v>
      </c>
      <c r="N36" s="11">
        <f t="shared" si="0"/>
        <v>1.3297240096314962</v>
      </c>
      <c r="O36" s="10">
        <f t="shared" si="1"/>
        <v>1.82</v>
      </c>
      <c r="P36" s="12">
        <f t="shared" si="2"/>
        <v>0.1504004944884075</v>
      </c>
      <c r="Q36" s="12">
        <f t="shared" si="3"/>
        <v>9.5995055115924988E-3</v>
      </c>
      <c r="R36" s="12">
        <f t="shared" si="4"/>
        <v>-4.5995055115924943E-3</v>
      </c>
      <c r="S36" s="11">
        <f t="shared" si="5"/>
        <v>-174.27827646304959</v>
      </c>
      <c r="T36" s="12">
        <f t="shared" si="6"/>
        <v>0.33243675726567778</v>
      </c>
      <c r="U36" s="12">
        <f t="shared" si="7"/>
        <v>0.1504004944884075</v>
      </c>
      <c r="V36" s="12">
        <f t="shared" si="8"/>
        <v>0.17075070340036017</v>
      </c>
      <c r="W36" s="12">
        <f t="shared" si="9"/>
        <v>0.1450126428491888</v>
      </c>
      <c r="X36">
        <f t="shared" si="10"/>
        <v>0.16</v>
      </c>
    </row>
    <row r="37" spans="2:24" ht="15" customHeight="1" x14ac:dyDescent="0.45">
      <c r="L37" s="9">
        <v>33</v>
      </c>
      <c r="M37" s="17">
        <v>8.65</v>
      </c>
      <c r="N37" s="11">
        <f t="shared" ref="N37:N68" si="15">IF(M37&gt;0,LN(M37),"")</f>
        <v>2.157559320943788</v>
      </c>
      <c r="O37" s="10">
        <f t="shared" ref="O37:O68" si="16">SMALL($M$5:$M$204,L37)</f>
        <v>1.91</v>
      </c>
      <c r="P37" s="12">
        <f t="shared" ref="P37:P68" si="17">CHOOSE($C$6,T37,U37,V37,W37)</f>
        <v>0.16440053120089451</v>
      </c>
      <c r="Q37" s="12">
        <f t="shared" ref="Q37:Q68" si="18">L37/$C$9-P37</f>
        <v>5.9946879910549589E-4</v>
      </c>
      <c r="R37" s="12">
        <f t="shared" ref="R37:R68" si="19">P37-(L37-1)/$C$9</f>
        <v>4.4005312008945086E-3</v>
      </c>
      <c r="S37" s="11">
        <f t="shared" ref="S37:S68" si="20">(2*L37-1)*LN(P37)+(2*$C$9+1-2*L37)*LN(1-P37)</f>
        <v>-177.52219321803335</v>
      </c>
      <c r="T37" s="12">
        <f t="shared" ref="T37:T68" si="21">MIN(1-0.000000000001,MAX(0.000000000001,1-EXP(-(O37)/$C$10)))</f>
        <v>0.345644933895077</v>
      </c>
      <c r="U37" s="12">
        <f t="shared" ref="U37:U68" si="22">MIN(1-0.000000000001,MAX(0.000000000001,_xlfn.GAMMA.DIST(O37,$C$12,$C$13,TRUE)))</f>
        <v>0.16440053120089451</v>
      </c>
      <c r="V37" s="12">
        <f t="shared" ref="V37:V68" si="23">MIN(1-0.000000000001,MAX(0.000000000001,_xlfn.NORM.DIST(O37,$C$10,$C$11,TRUE)))</f>
        <v>0.17896872920611287</v>
      </c>
      <c r="W37" s="12">
        <f t="shared" ref="W37:W68" si="24">MIN(1-0.000000000001,MAX(0.000000000001,_xlfn.LOGNORM.DIST(O37,$C$14,$C$15,TRUE)))</f>
        <v>0.16214209856169637</v>
      </c>
      <c r="X37">
        <f t="shared" ref="X37:X68" si="25">L37/$C$9</f>
        <v>0.16500000000000001</v>
      </c>
    </row>
    <row r="38" spans="2:24" ht="24" customHeight="1" x14ac:dyDescent="0.45">
      <c r="B38" s="39" t="s">
        <v>174</v>
      </c>
      <c r="C38" s="40"/>
      <c r="D38" s="47" t="s">
        <v>175</v>
      </c>
      <c r="E38" s="48"/>
      <c r="F38" s="32" t="s">
        <v>176</v>
      </c>
      <c r="G38" s="33"/>
      <c r="H38" s="47" t="s">
        <v>177</v>
      </c>
      <c r="I38" s="48"/>
      <c r="L38" s="9">
        <v>34</v>
      </c>
      <c r="M38" s="17">
        <v>2.39</v>
      </c>
      <c r="N38" s="11">
        <f t="shared" si="15"/>
        <v>0.87129336594341933</v>
      </c>
      <c r="O38" s="10">
        <f t="shared" si="16"/>
        <v>1.93</v>
      </c>
      <c r="P38" s="12">
        <f t="shared" si="17"/>
        <v>0.16755550494848154</v>
      </c>
      <c r="Q38" s="12">
        <f t="shared" si="18"/>
        <v>2.4444950515184749E-3</v>
      </c>
      <c r="R38" s="12">
        <f t="shared" si="19"/>
        <v>2.5555049484815295E-3</v>
      </c>
      <c r="S38" s="11">
        <f t="shared" si="20"/>
        <v>-180.75996859842905</v>
      </c>
      <c r="T38" s="12">
        <f t="shared" si="21"/>
        <v>0.34854441100019606</v>
      </c>
      <c r="U38" s="12">
        <f t="shared" si="22"/>
        <v>0.16755550494848154</v>
      </c>
      <c r="V38" s="12">
        <f t="shared" si="23"/>
        <v>0.18082821519308895</v>
      </c>
      <c r="W38" s="12">
        <f t="shared" si="24"/>
        <v>0.16600513829473598</v>
      </c>
      <c r="X38">
        <f t="shared" si="25"/>
        <v>0.17</v>
      </c>
    </row>
    <row r="39" spans="2:24" ht="17" customHeight="1" x14ac:dyDescent="0.45">
      <c r="B39" s="65">
        <f>MAX(MAX(Q5:Q204),MAX(R5:R204))</f>
        <v>5.1307917622527954E-2</v>
      </c>
      <c r="C39" s="40"/>
      <c r="D39" s="61">
        <f>1.358/(SQRT(C9)+0.12+0.11/SQRT(C9))</f>
        <v>9.5165256019941552E-2</v>
      </c>
      <c r="E39" s="48"/>
      <c r="F39" s="60">
        <f>(-C9-SUM(S5:S204)/C9)*CHOOSE($C$6,1+0.6/C9,1,1+0.75/C9+2.25/C9^2,1)</f>
        <v>0.23816276188662755</v>
      </c>
      <c r="G39" s="33"/>
      <c r="H39" s="64">
        <f>CHOOSE($C$6,1.321,2.492,0.752,2.492)</f>
        <v>2.492</v>
      </c>
      <c r="I39" s="48"/>
      <c r="L39" s="9">
        <v>35</v>
      </c>
      <c r="M39" s="17">
        <v>0.72</v>
      </c>
      <c r="N39" s="11">
        <f t="shared" si="15"/>
        <v>-0.3285040669720361</v>
      </c>
      <c r="O39" s="10">
        <f t="shared" si="16"/>
        <v>1.98</v>
      </c>
      <c r="P39" s="12">
        <f t="shared" si="17"/>
        <v>0.1755073551811426</v>
      </c>
      <c r="Q39" s="12">
        <f t="shared" si="18"/>
        <v>-5.073551811426158E-4</v>
      </c>
      <c r="R39" s="12">
        <f t="shared" si="19"/>
        <v>5.5073551811425925E-3</v>
      </c>
      <c r="S39" s="11">
        <f t="shared" si="20"/>
        <v>-183.94384470099695</v>
      </c>
      <c r="T39" s="12">
        <f t="shared" si="21"/>
        <v>0.35573701947206837</v>
      </c>
      <c r="U39" s="12">
        <f t="shared" si="22"/>
        <v>0.1755073551811426</v>
      </c>
      <c r="V39" s="12">
        <f t="shared" si="23"/>
        <v>0.18552967229352393</v>
      </c>
      <c r="W39" s="12">
        <f t="shared" si="24"/>
        <v>0.17574030376872454</v>
      </c>
      <c r="X39">
        <f t="shared" si="25"/>
        <v>0.17499999999999999</v>
      </c>
    </row>
    <row r="40" spans="2:24" ht="17" customHeight="1" x14ac:dyDescent="0.45">
      <c r="B40" s="40"/>
      <c r="C40" s="40"/>
      <c r="D40" s="48"/>
      <c r="E40" s="48"/>
      <c r="F40" s="33"/>
      <c r="G40" s="33"/>
      <c r="H40" s="48"/>
      <c r="I40" s="48"/>
      <c r="L40" s="9">
        <v>36</v>
      </c>
      <c r="M40" s="17">
        <v>4.05</v>
      </c>
      <c r="N40" s="11">
        <f t="shared" si="15"/>
        <v>1.3987168811184478</v>
      </c>
      <c r="O40" s="10">
        <f t="shared" si="16"/>
        <v>2.02</v>
      </c>
      <c r="P40" s="12">
        <f t="shared" si="17"/>
        <v>0.18193138451333857</v>
      </c>
      <c r="Q40" s="12">
        <f t="shared" si="18"/>
        <v>-1.9313845133385743E-3</v>
      </c>
      <c r="R40" s="12">
        <f t="shared" si="19"/>
        <v>6.9313845133385787E-3</v>
      </c>
      <c r="S40" s="11">
        <f t="shared" si="20"/>
        <v>-187.05910467022744</v>
      </c>
      <c r="T40" s="12">
        <f t="shared" si="21"/>
        <v>0.36143388713503344</v>
      </c>
      <c r="U40" s="12">
        <f t="shared" si="22"/>
        <v>0.18193138451333857</v>
      </c>
      <c r="V40" s="12">
        <f t="shared" si="23"/>
        <v>0.18934494084864875</v>
      </c>
      <c r="W40" s="12">
        <f t="shared" si="24"/>
        <v>0.18359987375664305</v>
      </c>
      <c r="X40">
        <f t="shared" si="25"/>
        <v>0.18</v>
      </c>
    </row>
    <row r="41" spans="2:24" ht="15" customHeight="1" x14ac:dyDescent="0.45">
      <c r="L41" s="9">
        <v>37</v>
      </c>
      <c r="M41" s="17">
        <v>6.7</v>
      </c>
      <c r="N41" s="11">
        <f t="shared" si="15"/>
        <v>1.9021075263969205</v>
      </c>
      <c r="O41" s="10">
        <f t="shared" si="16"/>
        <v>2.0499999999999998</v>
      </c>
      <c r="P41" s="12">
        <f t="shared" si="17"/>
        <v>0.18678357030031134</v>
      </c>
      <c r="Q41" s="12">
        <f t="shared" si="18"/>
        <v>-1.7835703003113434E-3</v>
      </c>
      <c r="R41" s="12">
        <f t="shared" si="19"/>
        <v>6.7835703003113479E-3</v>
      </c>
      <c r="S41" s="11">
        <f t="shared" si="20"/>
        <v>-190.08960779496832</v>
      </c>
      <c r="T41" s="12">
        <f t="shared" si="21"/>
        <v>0.3656734553161104</v>
      </c>
      <c r="U41" s="12">
        <f t="shared" si="22"/>
        <v>0.18678357030031134</v>
      </c>
      <c r="V41" s="12">
        <f t="shared" si="23"/>
        <v>0.19223784705127439</v>
      </c>
      <c r="W41" s="12">
        <f t="shared" si="24"/>
        <v>0.18953107758530327</v>
      </c>
      <c r="X41">
        <f t="shared" si="25"/>
        <v>0.185</v>
      </c>
    </row>
    <row r="42" spans="2:24" ht="28.05" customHeight="1" x14ac:dyDescent="0.45">
      <c r="B42" s="3" t="s">
        <v>178</v>
      </c>
      <c r="C42" s="3" t="s">
        <v>179</v>
      </c>
      <c r="L42" s="9">
        <v>38</v>
      </c>
      <c r="M42" s="17">
        <v>3.34</v>
      </c>
      <c r="N42" s="11">
        <f t="shared" si="15"/>
        <v>1.205970806988609</v>
      </c>
      <c r="O42" s="10">
        <f t="shared" si="16"/>
        <v>2.06</v>
      </c>
      <c r="P42" s="12">
        <f t="shared" si="17"/>
        <v>0.18840718225168132</v>
      </c>
      <c r="Q42" s="12">
        <f t="shared" si="18"/>
        <v>1.5928177483186812E-3</v>
      </c>
      <c r="R42" s="12">
        <f t="shared" si="19"/>
        <v>3.4071822516813233E-3</v>
      </c>
      <c r="S42" s="11">
        <f t="shared" si="20"/>
        <v>-193.03210382498631</v>
      </c>
      <c r="T42" s="12">
        <f t="shared" si="21"/>
        <v>0.36708038049099945</v>
      </c>
      <c r="U42" s="12">
        <f t="shared" si="22"/>
        <v>0.18840718225168132</v>
      </c>
      <c r="V42" s="12">
        <f t="shared" si="23"/>
        <v>0.19320812569722698</v>
      </c>
      <c r="W42" s="12">
        <f t="shared" si="24"/>
        <v>0.19151446912811843</v>
      </c>
      <c r="X42">
        <f t="shared" si="25"/>
        <v>0.19</v>
      </c>
    </row>
    <row r="43" spans="2:24" ht="15" customHeight="1" x14ac:dyDescent="0.45">
      <c r="B43" s="7" t="s">
        <v>180</v>
      </c>
      <c r="C43" s="57" t="str">
        <f>IF(B35&lt;=F35,"No se rechaza H₀","Se rechaza H₀")</f>
        <v>No se rechaza H₀</v>
      </c>
      <c r="D43" s="58"/>
      <c r="E43" s="59"/>
      <c r="L43" s="9">
        <v>39</v>
      </c>
      <c r="M43" s="17">
        <v>10.54</v>
      </c>
      <c r="N43" s="11">
        <f t="shared" si="15"/>
        <v>2.355177543113216</v>
      </c>
      <c r="O43" s="10">
        <f t="shared" si="16"/>
        <v>2.11</v>
      </c>
      <c r="P43" s="12">
        <f t="shared" si="17"/>
        <v>0.19656945149946853</v>
      </c>
      <c r="Q43" s="12">
        <f t="shared" si="18"/>
        <v>-1.5694514994685216E-3</v>
      </c>
      <c r="R43" s="12">
        <f t="shared" si="19"/>
        <v>6.569451499468526E-3</v>
      </c>
      <c r="S43" s="11">
        <f t="shared" si="20"/>
        <v>-195.95218339104812</v>
      </c>
      <c r="T43" s="12">
        <f t="shared" si="21"/>
        <v>0.37406833653000426</v>
      </c>
      <c r="U43" s="12">
        <f t="shared" si="22"/>
        <v>0.19656945149946853</v>
      </c>
      <c r="V43" s="12">
        <f t="shared" si="23"/>
        <v>0.19810420601288142</v>
      </c>
      <c r="W43" s="12">
        <f t="shared" si="24"/>
        <v>0.20147367280760892</v>
      </c>
      <c r="X43">
        <f t="shared" si="25"/>
        <v>0.19500000000000001</v>
      </c>
    </row>
    <row r="44" spans="2:24" ht="15" customHeight="1" x14ac:dyDescent="0.45">
      <c r="B44" s="7" t="s">
        <v>181</v>
      </c>
      <c r="C44" s="57" t="str">
        <f>IF(B39&lt;=D39,"No se rechaza H₀","Se rechaza H₀")</f>
        <v>No se rechaza H₀</v>
      </c>
      <c r="D44" s="58"/>
      <c r="E44" s="59"/>
      <c r="L44" s="9">
        <v>40</v>
      </c>
      <c r="M44" s="17">
        <v>3.5</v>
      </c>
      <c r="N44" s="11">
        <f t="shared" si="15"/>
        <v>1.2527629684953681</v>
      </c>
      <c r="O44" s="10">
        <f t="shared" si="16"/>
        <v>2.1800000000000002</v>
      </c>
      <c r="P44" s="12">
        <f t="shared" si="17"/>
        <v>0.20811083294502386</v>
      </c>
      <c r="Q44" s="12">
        <f t="shared" si="18"/>
        <v>-8.1108329450238492E-3</v>
      </c>
      <c r="R44" s="12">
        <f t="shared" si="19"/>
        <v>1.3110832945023854E-2</v>
      </c>
      <c r="S44" s="11">
        <f t="shared" si="20"/>
        <v>-198.90523660208547</v>
      </c>
      <c r="T44" s="12">
        <f t="shared" si="21"/>
        <v>0.38372204938454013</v>
      </c>
      <c r="U44" s="12">
        <f t="shared" si="22"/>
        <v>0.20811083294502386</v>
      </c>
      <c r="V44" s="12">
        <f t="shared" si="23"/>
        <v>0.20508322556100184</v>
      </c>
      <c r="W44" s="12">
        <f t="shared" si="24"/>
        <v>0.21551472317414991</v>
      </c>
      <c r="X44">
        <f t="shared" si="25"/>
        <v>0.2</v>
      </c>
    </row>
    <row r="45" spans="2:24" ht="15" customHeight="1" x14ac:dyDescent="0.45">
      <c r="B45" s="7" t="s">
        <v>182</v>
      </c>
      <c r="C45" s="57" t="str">
        <f>IF(F39&lt;=H39,"No se rechaza H₀","Se rechaza H₀")</f>
        <v>No se rechaza H₀</v>
      </c>
      <c r="D45" s="58"/>
      <c r="E45" s="59"/>
      <c r="L45" s="9">
        <v>41</v>
      </c>
      <c r="M45" s="17">
        <v>3.99</v>
      </c>
      <c r="N45" s="11">
        <f t="shared" si="15"/>
        <v>1.3837912309017721</v>
      </c>
      <c r="O45" s="10">
        <f t="shared" si="16"/>
        <v>2.19</v>
      </c>
      <c r="P45" s="12">
        <f t="shared" si="17"/>
        <v>0.20976958163209555</v>
      </c>
      <c r="Q45" s="12">
        <f t="shared" si="18"/>
        <v>-4.7695816320955653E-3</v>
      </c>
      <c r="R45" s="12">
        <f t="shared" si="19"/>
        <v>9.769581632095542E-3</v>
      </c>
      <c r="S45" s="11">
        <f t="shared" si="20"/>
        <v>-201.60378766559603</v>
      </c>
      <c r="T45" s="12">
        <f t="shared" si="21"/>
        <v>0.38508894309365016</v>
      </c>
      <c r="U45" s="12">
        <f t="shared" si="22"/>
        <v>0.20976958163209555</v>
      </c>
      <c r="V45" s="12">
        <f t="shared" si="23"/>
        <v>0.20609202227479878</v>
      </c>
      <c r="W45" s="12">
        <f t="shared" si="24"/>
        <v>0.2175280891441729</v>
      </c>
      <c r="X45">
        <f t="shared" si="25"/>
        <v>0.20499999999999999</v>
      </c>
    </row>
    <row r="46" spans="2:24" ht="15" customHeight="1" x14ac:dyDescent="0.45">
      <c r="B46" s="2" t="s">
        <v>183</v>
      </c>
      <c r="L46" s="9">
        <v>42</v>
      </c>
      <c r="M46" s="17">
        <v>1.81</v>
      </c>
      <c r="N46" s="11">
        <f t="shared" si="15"/>
        <v>0.59332684527773438</v>
      </c>
      <c r="O46" s="10">
        <f t="shared" si="16"/>
        <v>2.21</v>
      </c>
      <c r="P46" s="12">
        <f t="shared" si="17"/>
        <v>0.21309405651585006</v>
      </c>
      <c r="Q46" s="12">
        <f t="shared" si="18"/>
        <v>-3.0940565158500688E-3</v>
      </c>
      <c r="R46" s="12">
        <f t="shared" si="19"/>
        <v>8.0940565158500732E-3</v>
      </c>
      <c r="S46" s="11">
        <f t="shared" si="20"/>
        <v>-204.28775184830664</v>
      </c>
      <c r="T46" s="12">
        <f t="shared" si="21"/>
        <v>0.38781364199725532</v>
      </c>
      <c r="U46" s="12">
        <f t="shared" si="22"/>
        <v>0.21309405651585006</v>
      </c>
      <c r="V46" s="12">
        <f t="shared" si="23"/>
        <v>0.20811842107426806</v>
      </c>
      <c r="W46" s="12">
        <f t="shared" si="24"/>
        <v>0.22155942397209447</v>
      </c>
      <c r="X46">
        <f t="shared" si="25"/>
        <v>0.21</v>
      </c>
    </row>
    <row r="47" spans="2:24" ht="15" customHeight="1" x14ac:dyDescent="0.45">
      <c r="L47" s="9">
        <v>43</v>
      </c>
      <c r="M47" s="17">
        <v>3.15</v>
      </c>
      <c r="N47" s="11">
        <f t="shared" si="15"/>
        <v>1.1474024528375417</v>
      </c>
      <c r="O47" s="10">
        <f t="shared" si="16"/>
        <v>2.27</v>
      </c>
      <c r="P47" s="12">
        <f t="shared" si="17"/>
        <v>0.22311972475484773</v>
      </c>
      <c r="Q47" s="12">
        <f t="shared" si="18"/>
        <v>-8.1197247548477347E-3</v>
      </c>
      <c r="R47" s="12">
        <f t="shared" si="19"/>
        <v>1.3119724754847739E-2</v>
      </c>
      <c r="S47" s="11">
        <f t="shared" si="20"/>
        <v>-207.03171870522067</v>
      </c>
      <c r="T47" s="12">
        <f t="shared" si="21"/>
        <v>0.39591551287002547</v>
      </c>
      <c r="U47" s="12">
        <f t="shared" si="22"/>
        <v>0.22311972475484773</v>
      </c>
      <c r="V47" s="12">
        <f t="shared" si="23"/>
        <v>0.21426774721763417</v>
      </c>
      <c r="W47" s="12">
        <f t="shared" si="24"/>
        <v>0.23368320650863225</v>
      </c>
      <c r="X47">
        <f t="shared" si="25"/>
        <v>0.215</v>
      </c>
    </row>
    <row r="48" spans="2:24" ht="15" customHeight="1" x14ac:dyDescent="0.45">
      <c r="B48" s="6" t="s">
        <v>184</v>
      </c>
      <c r="L48" s="9">
        <v>44</v>
      </c>
      <c r="M48" s="17">
        <v>6.55</v>
      </c>
      <c r="N48" s="11">
        <f t="shared" si="15"/>
        <v>1.8794650496471605</v>
      </c>
      <c r="O48" s="10">
        <f t="shared" si="16"/>
        <v>2.27</v>
      </c>
      <c r="P48" s="12">
        <f t="shared" si="17"/>
        <v>0.22311972475484773</v>
      </c>
      <c r="Q48" s="12">
        <f t="shared" si="18"/>
        <v>-3.1197247548477303E-3</v>
      </c>
      <c r="R48" s="12">
        <f t="shared" si="19"/>
        <v>8.1197247548477347E-3</v>
      </c>
      <c r="S48" s="11">
        <f t="shared" si="20"/>
        <v>-209.52687419098569</v>
      </c>
      <c r="T48" s="12">
        <f t="shared" si="21"/>
        <v>0.39591551287002547</v>
      </c>
      <c r="U48" s="12">
        <f t="shared" si="22"/>
        <v>0.22311972475484773</v>
      </c>
      <c r="V48" s="12">
        <f t="shared" si="23"/>
        <v>0.21426774721763417</v>
      </c>
      <c r="W48" s="12">
        <f t="shared" si="24"/>
        <v>0.23368320650863225</v>
      </c>
      <c r="X48">
        <f t="shared" si="25"/>
        <v>0.22</v>
      </c>
    </row>
    <row r="49" spans="2:24" ht="28.05" customHeight="1" x14ac:dyDescent="0.45">
      <c r="B49" s="3" t="s">
        <v>185</v>
      </c>
      <c r="C49" s="3" t="s">
        <v>174</v>
      </c>
      <c r="D49" s="3" t="s">
        <v>186</v>
      </c>
      <c r="E49" s="3" t="s">
        <v>187</v>
      </c>
      <c r="L49" s="9">
        <v>45</v>
      </c>
      <c r="M49" s="17">
        <v>6.61</v>
      </c>
      <c r="N49" s="11">
        <f t="shared" si="15"/>
        <v>1.8885836538635949</v>
      </c>
      <c r="O49" s="10">
        <f t="shared" si="16"/>
        <v>2.36</v>
      </c>
      <c r="P49" s="12">
        <f t="shared" si="17"/>
        <v>0.23828662636779935</v>
      </c>
      <c r="Q49" s="12">
        <f t="shared" si="18"/>
        <v>-1.3286626367799342E-2</v>
      </c>
      <c r="R49" s="12">
        <f t="shared" si="19"/>
        <v>1.8286626367799347E-2</v>
      </c>
      <c r="S49" s="11">
        <f t="shared" si="20"/>
        <v>-212.30052818207923</v>
      </c>
      <c r="T49" s="12">
        <f t="shared" si="21"/>
        <v>0.40786772068244415</v>
      </c>
      <c r="U49" s="12">
        <f t="shared" si="22"/>
        <v>0.23828662636779935</v>
      </c>
      <c r="V49" s="12">
        <f t="shared" si="23"/>
        <v>0.22368716379334833</v>
      </c>
      <c r="W49" s="12">
        <f t="shared" si="24"/>
        <v>0.25191710043117088</v>
      </c>
      <c r="X49">
        <f t="shared" si="25"/>
        <v>0.22500000000000001</v>
      </c>
    </row>
    <row r="50" spans="2:24" ht="15" customHeight="1" x14ac:dyDescent="0.45">
      <c r="B50" s="7" t="s">
        <v>188</v>
      </c>
      <c r="C50" s="12">
        <f>MAX(SUMPRODUCT(MAX(L5:L204/$C$9-T5:T204)),SUMPRODUCT(MAX(T5:T204-(L5:L204-1)/$C$9)))</f>
        <v>0.18872204938454012</v>
      </c>
      <c r="D50" s="11">
        <f>-$C$9-SUMPRODUCT((2*L5:L204-1)*LN(T5:T204)+(2*$C$9+1-2*L5:L204)*LN(1-T5:T204))/$C$9</f>
        <v>14.390100223638257</v>
      </c>
      <c r="E50" s="9">
        <f>RANK(D50,$D$50:$D$53,1)</f>
        <v>4</v>
      </c>
      <c r="L50" s="9">
        <v>46</v>
      </c>
      <c r="M50" s="17">
        <v>8.23</v>
      </c>
      <c r="N50" s="11">
        <f t="shared" si="15"/>
        <v>2.1077860146889784</v>
      </c>
      <c r="O50" s="10">
        <f t="shared" si="16"/>
        <v>2.36</v>
      </c>
      <c r="P50" s="12">
        <f t="shared" si="17"/>
        <v>0.23828662636779935</v>
      </c>
      <c r="Q50" s="12">
        <f t="shared" si="18"/>
        <v>-8.2866263677993379E-3</v>
      </c>
      <c r="R50" s="12">
        <f t="shared" si="19"/>
        <v>1.3286626367799342E-2</v>
      </c>
      <c r="S50" s="11">
        <f t="shared" si="20"/>
        <v>-214.62472032867285</v>
      </c>
      <c r="T50" s="12">
        <f t="shared" si="21"/>
        <v>0.40786772068244415</v>
      </c>
      <c r="U50" s="12">
        <f t="shared" si="22"/>
        <v>0.23828662636779935</v>
      </c>
      <c r="V50" s="12">
        <f t="shared" si="23"/>
        <v>0.22368716379334833</v>
      </c>
      <c r="W50" s="12">
        <f t="shared" si="24"/>
        <v>0.25191710043117088</v>
      </c>
      <c r="X50">
        <f t="shared" si="25"/>
        <v>0.23</v>
      </c>
    </row>
    <row r="51" spans="2:24" ht="15" customHeight="1" x14ac:dyDescent="0.45">
      <c r="B51" s="7" t="s">
        <v>150</v>
      </c>
      <c r="C51" s="12">
        <f>MAX(SUMPRODUCT(MAX(L5:L204/$C$9-U5:U204)),SUMPRODUCT(MAX(U5:U204-(L5:L204-1)/$C$9)))</f>
        <v>5.1307917622527954E-2</v>
      </c>
      <c r="D51" s="11">
        <f>-$C$9-SUMPRODUCT((2*L5:L204-1)*LN(U5:U204)+(2*$C$9+1-2*L5:L204)*LN(1-U5:U204))/$C$9</f>
        <v>0.23816276188662755</v>
      </c>
      <c r="E51" s="9">
        <f>RANK(D51,$D$50:$D$53,1)</f>
        <v>1</v>
      </c>
      <c r="L51" s="9">
        <v>47</v>
      </c>
      <c r="M51" s="17">
        <v>6.29</v>
      </c>
      <c r="N51" s="11">
        <f t="shared" si="15"/>
        <v>1.8389610707123492</v>
      </c>
      <c r="O51" s="10">
        <f t="shared" si="16"/>
        <v>2.37</v>
      </c>
      <c r="P51" s="12">
        <f t="shared" si="17"/>
        <v>0.23998008898520096</v>
      </c>
      <c r="Q51" s="12">
        <f t="shared" si="18"/>
        <v>-4.98008898520097E-3</v>
      </c>
      <c r="R51" s="12">
        <f t="shared" si="19"/>
        <v>9.9800889852009467E-3</v>
      </c>
      <c r="S51" s="11">
        <f t="shared" si="20"/>
        <v>-216.97360564660147</v>
      </c>
      <c r="T51" s="12">
        <f t="shared" si="21"/>
        <v>0.40918105971518404</v>
      </c>
      <c r="U51" s="12">
        <f t="shared" si="22"/>
        <v>0.23998008898520096</v>
      </c>
      <c r="V51" s="12">
        <f t="shared" si="23"/>
        <v>0.22474810498853751</v>
      </c>
      <c r="W51" s="12">
        <f t="shared" si="24"/>
        <v>0.25394431342781049</v>
      </c>
      <c r="X51">
        <f t="shared" si="25"/>
        <v>0.23499999999999999</v>
      </c>
    </row>
    <row r="52" spans="2:24" ht="15" customHeight="1" x14ac:dyDescent="0.45">
      <c r="B52" s="7" t="s">
        <v>189</v>
      </c>
      <c r="C52" s="12">
        <f>MAX(SUMPRODUCT(MAX(L5:L204/$C$9-V5:V204)),SUMPRODUCT(MAX(V5:V204-(L5:L204-1)/$C$9)))</f>
        <v>0.13419796173638177</v>
      </c>
      <c r="D52" s="11">
        <f>-$C$9-SUMPRODUCT((2*L5:L204-1)*LN(V5:V204)+(2*$C$9+1-2*L5:L204)*LN(1-V5:V204))/$C$9</f>
        <v>4.3617519071856066</v>
      </c>
      <c r="E52" s="9">
        <f>RANK(D52,$D$50:$D$53,1)</f>
        <v>3</v>
      </c>
      <c r="L52" s="9">
        <v>48</v>
      </c>
      <c r="M52" s="17">
        <v>5.44</v>
      </c>
      <c r="N52" s="11">
        <f t="shared" si="15"/>
        <v>1.6937790608678513</v>
      </c>
      <c r="O52" s="10">
        <f t="shared" si="16"/>
        <v>2.39</v>
      </c>
      <c r="P52" s="12">
        <f t="shared" si="17"/>
        <v>0.24337141282990676</v>
      </c>
      <c r="Q52" s="12">
        <f t="shared" si="18"/>
        <v>-3.3714128299067725E-3</v>
      </c>
      <c r="R52" s="12">
        <f t="shared" si="19"/>
        <v>8.3714128299067769E-3</v>
      </c>
      <c r="S52" s="11">
        <f t="shared" si="20"/>
        <v>-219.3100717425416</v>
      </c>
      <c r="T52" s="12">
        <f t="shared" si="21"/>
        <v>0.41179900535259406</v>
      </c>
      <c r="U52" s="12">
        <f t="shared" si="22"/>
        <v>0.24337141282990676</v>
      </c>
      <c r="V52" s="12">
        <f t="shared" si="23"/>
        <v>0.22687852477221071</v>
      </c>
      <c r="W52" s="12">
        <f t="shared" si="24"/>
        <v>0.25799847544796828</v>
      </c>
      <c r="X52">
        <f t="shared" si="25"/>
        <v>0.24</v>
      </c>
    </row>
    <row r="53" spans="2:24" ht="15" customHeight="1" x14ac:dyDescent="0.45">
      <c r="B53" s="7" t="s">
        <v>190</v>
      </c>
      <c r="C53" s="12">
        <f>MAX(SUMPRODUCT(MAX(L5:L204/$C$9-W5:W204)),SUMPRODUCT(MAX(W5:W204-(L5:L204-1)/$C$9)))</f>
        <v>7.0340060688690309E-2</v>
      </c>
      <c r="D53" s="11">
        <f>-$C$9-SUMPRODUCT((2*L5:L204-1)*LN(W5:W204)+(2*$C$9+1-2*L5:L204)*LN(1-W5:W204))/$C$9</f>
        <v>0.88703887253467428</v>
      </c>
      <c r="E53" s="9">
        <f>RANK(D53,$D$50:$D$53,1)</f>
        <v>2</v>
      </c>
      <c r="L53" s="9">
        <v>49</v>
      </c>
      <c r="M53" s="17">
        <v>0.68</v>
      </c>
      <c r="N53" s="11">
        <f t="shared" si="15"/>
        <v>-0.38566248081198462</v>
      </c>
      <c r="O53" s="10">
        <f t="shared" si="16"/>
        <v>2.39</v>
      </c>
      <c r="P53" s="12">
        <f t="shared" si="17"/>
        <v>0.24337141282990676</v>
      </c>
      <c r="Q53" s="12">
        <f t="shared" si="18"/>
        <v>1.628587170093232E-3</v>
      </c>
      <c r="R53" s="12">
        <f t="shared" si="19"/>
        <v>3.3714128299067725E-3</v>
      </c>
      <c r="S53" s="11">
        <f t="shared" si="20"/>
        <v>-221.57863928434645</v>
      </c>
      <c r="T53" s="12">
        <f t="shared" si="21"/>
        <v>0.41179900535259406</v>
      </c>
      <c r="U53" s="12">
        <f t="shared" si="22"/>
        <v>0.24337141282990676</v>
      </c>
      <c r="V53" s="12">
        <f t="shared" si="23"/>
        <v>0.22687852477221071</v>
      </c>
      <c r="W53" s="12">
        <f t="shared" si="24"/>
        <v>0.25799847544796828</v>
      </c>
      <c r="X53">
        <f t="shared" si="25"/>
        <v>0.245</v>
      </c>
    </row>
    <row r="54" spans="2:24" ht="15" customHeight="1" x14ac:dyDescent="0.45">
      <c r="L54" s="9">
        <v>50</v>
      </c>
      <c r="M54" s="17">
        <v>2.19</v>
      </c>
      <c r="N54" s="11">
        <f t="shared" si="15"/>
        <v>0.78390154382840938</v>
      </c>
      <c r="O54" s="10">
        <f t="shared" si="16"/>
        <v>2.41</v>
      </c>
      <c r="P54" s="12">
        <f t="shared" si="17"/>
        <v>0.24676830107862643</v>
      </c>
      <c r="Q54" s="12">
        <f t="shared" si="18"/>
        <v>3.2316989213735658E-3</v>
      </c>
      <c r="R54" s="12">
        <f t="shared" si="19"/>
        <v>1.7683010786264386E-3</v>
      </c>
      <c r="S54" s="11">
        <f t="shared" si="20"/>
        <v>-223.82933968040425</v>
      </c>
      <c r="T54" s="12">
        <f t="shared" si="21"/>
        <v>0.41440535075363194</v>
      </c>
      <c r="U54" s="12">
        <f t="shared" si="22"/>
        <v>0.24676830107862643</v>
      </c>
      <c r="V54" s="12">
        <f t="shared" si="23"/>
        <v>0.22902028893241683</v>
      </c>
      <c r="W54" s="12">
        <f t="shared" si="24"/>
        <v>0.26205175481953136</v>
      </c>
      <c r="X54">
        <f t="shared" si="25"/>
        <v>0.25</v>
      </c>
    </row>
    <row r="55" spans="2:24" ht="15" customHeight="1" x14ac:dyDescent="0.45">
      <c r="L55" s="9">
        <v>51</v>
      </c>
      <c r="M55" s="17">
        <v>14.87</v>
      </c>
      <c r="N55" s="11">
        <f t="shared" si="15"/>
        <v>2.6993457604720636</v>
      </c>
      <c r="O55" s="10">
        <f t="shared" si="16"/>
        <v>2.41</v>
      </c>
      <c r="P55" s="12">
        <f t="shared" si="17"/>
        <v>0.24676830107862643</v>
      </c>
      <c r="Q55" s="12">
        <f t="shared" si="18"/>
        <v>8.2316989213735703E-3</v>
      </c>
      <c r="R55" s="12">
        <f t="shared" si="19"/>
        <v>-3.2316989213735658E-3</v>
      </c>
      <c r="S55" s="11">
        <f t="shared" si="20"/>
        <v>-226.06118575538846</v>
      </c>
      <c r="T55" s="12">
        <f t="shared" si="21"/>
        <v>0.41440535075363194</v>
      </c>
      <c r="U55" s="12">
        <f t="shared" si="22"/>
        <v>0.24676830107862643</v>
      </c>
      <c r="V55" s="12">
        <f t="shared" si="23"/>
        <v>0.22902028893241683</v>
      </c>
      <c r="W55" s="12">
        <f t="shared" si="24"/>
        <v>0.26205175481953136</v>
      </c>
      <c r="X55">
        <f t="shared" si="25"/>
        <v>0.255</v>
      </c>
    </row>
    <row r="56" spans="2:24" ht="15" customHeight="1" x14ac:dyDescent="0.45">
      <c r="L56" s="9">
        <v>52</v>
      </c>
      <c r="M56" s="17">
        <v>2.74</v>
      </c>
      <c r="N56" s="11">
        <f t="shared" si="15"/>
        <v>1.0079579203999789</v>
      </c>
      <c r="O56" s="10">
        <f t="shared" si="16"/>
        <v>2.42</v>
      </c>
      <c r="P56" s="12">
        <f t="shared" si="17"/>
        <v>0.24846872022378727</v>
      </c>
      <c r="Q56" s="12">
        <f t="shared" si="18"/>
        <v>1.1531279776212738E-2</v>
      </c>
      <c r="R56" s="12">
        <f t="shared" si="19"/>
        <v>-6.5312797762127339E-3</v>
      </c>
      <c r="S56" s="11">
        <f t="shared" si="20"/>
        <v>-228.25695343646893</v>
      </c>
      <c r="T56" s="12">
        <f t="shared" si="21"/>
        <v>0.4157041894372876</v>
      </c>
      <c r="U56" s="12">
        <f t="shared" si="22"/>
        <v>0.24846872022378727</v>
      </c>
      <c r="V56" s="12">
        <f t="shared" si="23"/>
        <v>0.23009541027241667</v>
      </c>
      <c r="W56" s="12">
        <f t="shared" si="24"/>
        <v>0.2640778683284376</v>
      </c>
      <c r="X56">
        <f t="shared" si="25"/>
        <v>0.26</v>
      </c>
    </row>
    <row r="57" spans="2:24" ht="15" customHeight="1" x14ac:dyDescent="0.45">
      <c r="L57" s="9">
        <v>53</v>
      </c>
      <c r="M57" s="17">
        <v>5.95</v>
      </c>
      <c r="N57" s="11">
        <f t="shared" si="15"/>
        <v>1.7833912195575383</v>
      </c>
      <c r="O57" s="10">
        <f t="shared" si="16"/>
        <v>2.44</v>
      </c>
      <c r="P57" s="12">
        <f t="shared" si="17"/>
        <v>0.2518732876802115</v>
      </c>
      <c r="Q57" s="12">
        <f t="shared" si="18"/>
        <v>1.3126712319788514E-2</v>
      </c>
      <c r="R57" s="12">
        <f t="shared" si="19"/>
        <v>-8.1267123197885094E-3</v>
      </c>
      <c r="S57" s="11">
        <f t="shared" si="20"/>
        <v>-230.3810197705493</v>
      </c>
      <c r="T57" s="12">
        <f t="shared" si="21"/>
        <v>0.41829323078975711</v>
      </c>
      <c r="U57" s="12">
        <f t="shared" si="22"/>
        <v>0.2518732876802115</v>
      </c>
      <c r="V57" s="12">
        <f t="shared" si="23"/>
        <v>0.2322541009492021</v>
      </c>
      <c r="W57" s="12">
        <f t="shared" si="24"/>
        <v>0.26812866145351139</v>
      </c>
      <c r="X57">
        <f t="shared" si="25"/>
        <v>0.26500000000000001</v>
      </c>
    </row>
    <row r="58" spans="2:24" ht="15" customHeight="1" x14ac:dyDescent="0.45">
      <c r="L58" s="9">
        <v>54</v>
      </c>
      <c r="M58" s="17">
        <v>3.75</v>
      </c>
      <c r="N58" s="11">
        <f t="shared" si="15"/>
        <v>1.3217558399823195</v>
      </c>
      <c r="O58" s="10">
        <f t="shared" si="16"/>
        <v>2.61</v>
      </c>
      <c r="P58" s="12">
        <f t="shared" si="17"/>
        <v>0.28096691353244185</v>
      </c>
      <c r="Q58" s="12">
        <f t="shared" si="18"/>
        <v>-1.0966913532441835E-2</v>
      </c>
      <c r="R58" s="12">
        <f t="shared" si="19"/>
        <v>1.596691353244184E-2</v>
      </c>
      <c r="S58" s="11">
        <f t="shared" si="20"/>
        <v>-232.48390089488521</v>
      </c>
      <c r="T58" s="12">
        <f t="shared" si="21"/>
        <v>0.43984198807573016</v>
      </c>
      <c r="U58" s="12">
        <f t="shared" si="22"/>
        <v>0.28096691353244185</v>
      </c>
      <c r="V58" s="12">
        <f t="shared" si="23"/>
        <v>0.25105066866748094</v>
      </c>
      <c r="W58" s="12">
        <f t="shared" si="24"/>
        <v>0.30240683281303604</v>
      </c>
      <c r="X58">
        <f t="shared" si="25"/>
        <v>0.27</v>
      </c>
    </row>
    <row r="59" spans="2:24" ht="15" customHeight="1" x14ac:dyDescent="0.45">
      <c r="L59" s="9">
        <v>55</v>
      </c>
      <c r="M59" s="17">
        <v>6.05</v>
      </c>
      <c r="N59" s="11">
        <f t="shared" si="15"/>
        <v>1.80005827204275</v>
      </c>
      <c r="O59" s="10">
        <f t="shared" si="16"/>
        <v>2.61</v>
      </c>
      <c r="P59" s="12">
        <f t="shared" si="17"/>
        <v>0.28096691353244185</v>
      </c>
      <c r="Q59" s="12">
        <f t="shared" si="18"/>
        <v>-5.966913532441831E-3</v>
      </c>
      <c r="R59" s="12">
        <f t="shared" si="19"/>
        <v>1.0966913532441835E-2</v>
      </c>
      <c r="S59" s="11">
        <f t="shared" si="20"/>
        <v>-234.36324180895994</v>
      </c>
      <c r="T59" s="12">
        <f t="shared" si="21"/>
        <v>0.43984198807573016</v>
      </c>
      <c r="U59" s="12">
        <f t="shared" si="22"/>
        <v>0.28096691353244185</v>
      </c>
      <c r="V59" s="12">
        <f t="shared" si="23"/>
        <v>0.25105066866748094</v>
      </c>
      <c r="W59" s="12">
        <f t="shared" si="24"/>
        <v>0.30240683281303604</v>
      </c>
      <c r="X59">
        <f t="shared" si="25"/>
        <v>0.27500000000000002</v>
      </c>
    </row>
    <row r="60" spans="2:24" ht="15" customHeight="1" x14ac:dyDescent="0.45">
      <c r="L60" s="9">
        <v>56</v>
      </c>
      <c r="M60" s="17">
        <v>4.0999999999999996</v>
      </c>
      <c r="N60" s="11">
        <f t="shared" si="15"/>
        <v>1.410986973710262</v>
      </c>
      <c r="O60" s="10">
        <f t="shared" si="16"/>
        <v>2.63</v>
      </c>
      <c r="P60" s="12">
        <f t="shared" si="17"/>
        <v>0.28440242699261831</v>
      </c>
      <c r="Q60" s="12">
        <f t="shared" si="18"/>
        <v>-4.4024269926182802E-3</v>
      </c>
      <c r="R60" s="12">
        <f t="shared" si="19"/>
        <v>9.4024269926182846E-3</v>
      </c>
      <c r="S60" s="11">
        <f t="shared" si="20"/>
        <v>-236.27770541980988</v>
      </c>
      <c r="T60" s="12">
        <f t="shared" si="21"/>
        <v>0.44232407374290683</v>
      </c>
      <c r="U60" s="12">
        <f t="shared" si="22"/>
        <v>0.28440242699261831</v>
      </c>
      <c r="V60" s="12">
        <f t="shared" si="23"/>
        <v>0.25331376096034292</v>
      </c>
      <c r="W60" s="12">
        <f t="shared" si="24"/>
        <v>0.30641274558913273</v>
      </c>
      <c r="X60">
        <f t="shared" si="25"/>
        <v>0.28000000000000003</v>
      </c>
    </row>
    <row r="61" spans="2:24" ht="15" customHeight="1" x14ac:dyDescent="0.45">
      <c r="L61" s="9">
        <v>57</v>
      </c>
      <c r="M61" s="17">
        <v>1.91</v>
      </c>
      <c r="N61" s="11">
        <f t="shared" si="15"/>
        <v>0.64710324205853842</v>
      </c>
      <c r="O61" s="10">
        <f t="shared" si="16"/>
        <v>2.63</v>
      </c>
      <c r="P61" s="12">
        <f t="shared" si="17"/>
        <v>0.28440242699261831</v>
      </c>
      <c r="Q61" s="12">
        <f t="shared" si="18"/>
        <v>5.9757300738166874E-4</v>
      </c>
      <c r="R61" s="12">
        <f t="shared" si="19"/>
        <v>4.4024269926182802E-3</v>
      </c>
      <c r="S61" s="11">
        <f t="shared" si="20"/>
        <v>-238.12316087672508</v>
      </c>
      <c r="T61" s="12">
        <f t="shared" si="21"/>
        <v>0.44232407374290683</v>
      </c>
      <c r="U61" s="12">
        <f t="shared" si="22"/>
        <v>0.28440242699261831</v>
      </c>
      <c r="V61" s="12">
        <f t="shared" si="23"/>
        <v>0.25331376096034292</v>
      </c>
      <c r="W61" s="12">
        <f t="shared" si="24"/>
        <v>0.30641274558913273</v>
      </c>
      <c r="X61">
        <f t="shared" si="25"/>
        <v>0.28499999999999998</v>
      </c>
    </row>
    <row r="62" spans="2:24" ht="15" customHeight="1" x14ac:dyDescent="0.45">
      <c r="L62" s="9">
        <v>58</v>
      </c>
      <c r="M62" s="17">
        <v>2.27</v>
      </c>
      <c r="N62" s="11">
        <f t="shared" si="15"/>
        <v>0.81977983149331135</v>
      </c>
      <c r="O62" s="10">
        <f t="shared" si="16"/>
        <v>2.64</v>
      </c>
      <c r="P62" s="12">
        <f t="shared" si="17"/>
        <v>0.28612079196881884</v>
      </c>
      <c r="Q62" s="12">
        <f t="shared" si="18"/>
        <v>3.8792080311811361E-3</v>
      </c>
      <c r="R62" s="12">
        <f t="shared" si="19"/>
        <v>1.1207919688188683E-3</v>
      </c>
      <c r="S62" s="11">
        <f t="shared" si="20"/>
        <v>-239.96106849902708</v>
      </c>
      <c r="T62" s="12">
        <f t="shared" si="21"/>
        <v>0.44356098918757214</v>
      </c>
      <c r="U62" s="12">
        <f t="shared" si="22"/>
        <v>0.28612079196881884</v>
      </c>
      <c r="V62" s="12">
        <f t="shared" si="23"/>
        <v>0.25444931581865837</v>
      </c>
      <c r="W62" s="12">
        <f t="shared" si="24"/>
        <v>0.30841297748080393</v>
      </c>
      <c r="X62">
        <f t="shared" si="25"/>
        <v>0.28999999999999998</v>
      </c>
    </row>
    <row r="63" spans="2:24" ht="15" customHeight="1" x14ac:dyDescent="0.45">
      <c r="L63" s="9">
        <v>59</v>
      </c>
      <c r="M63" s="17">
        <v>4.93</v>
      </c>
      <c r="N63" s="11">
        <f t="shared" si="15"/>
        <v>1.5953389880545987</v>
      </c>
      <c r="O63" s="10">
        <f t="shared" si="16"/>
        <v>2.67</v>
      </c>
      <c r="P63" s="12">
        <f t="shared" si="17"/>
        <v>0.29127786186246823</v>
      </c>
      <c r="Q63" s="12">
        <f t="shared" si="18"/>
        <v>3.7221381375317497E-3</v>
      </c>
      <c r="R63" s="12">
        <f t="shared" si="19"/>
        <v>1.2778618624682547E-3</v>
      </c>
      <c r="S63" s="11">
        <f t="shared" si="20"/>
        <v>-241.75144231187193</v>
      </c>
      <c r="T63" s="12">
        <f t="shared" si="21"/>
        <v>0.44725529910697293</v>
      </c>
      <c r="U63" s="12">
        <f t="shared" si="22"/>
        <v>0.29127786186246823</v>
      </c>
      <c r="V63" s="12">
        <f t="shared" si="23"/>
        <v>0.25787191888643418</v>
      </c>
      <c r="W63" s="12">
        <f t="shared" si="24"/>
        <v>0.31440210608274266</v>
      </c>
      <c r="X63">
        <f t="shared" si="25"/>
        <v>0.29499999999999998</v>
      </c>
    </row>
    <row r="64" spans="2:24" ht="15" customHeight="1" x14ac:dyDescent="0.45">
      <c r="L64" s="9">
        <v>60</v>
      </c>
      <c r="M64" s="17">
        <v>2.82</v>
      </c>
      <c r="N64" s="11">
        <f t="shared" si="15"/>
        <v>1.0367368849500223</v>
      </c>
      <c r="O64" s="10">
        <f t="shared" si="16"/>
        <v>2.72</v>
      </c>
      <c r="P64" s="12">
        <f t="shared" si="17"/>
        <v>0.2998773151716817</v>
      </c>
      <c r="Q64" s="12">
        <f t="shared" si="18"/>
        <v>1.2268482831828686E-4</v>
      </c>
      <c r="R64" s="12">
        <f t="shared" si="19"/>
        <v>4.8773151716817176E-3</v>
      </c>
      <c r="S64" s="11">
        <f t="shared" si="20"/>
        <v>-243.49785301687626</v>
      </c>
      <c r="T64" s="12">
        <f t="shared" si="21"/>
        <v>0.45335805773788684</v>
      </c>
      <c r="U64" s="12">
        <f t="shared" si="22"/>
        <v>0.2998773151716817</v>
      </c>
      <c r="V64" s="12">
        <f t="shared" si="23"/>
        <v>0.26362888974787602</v>
      </c>
      <c r="W64" s="12">
        <f t="shared" si="24"/>
        <v>0.3243422215491738</v>
      </c>
      <c r="X64">
        <f t="shared" si="25"/>
        <v>0.3</v>
      </c>
    </row>
    <row r="65" spans="12:24" ht="15" customHeight="1" x14ac:dyDescent="0.45">
      <c r="L65" s="9">
        <v>61</v>
      </c>
      <c r="M65" s="17">
        <v>0.71</v>
      </c>
      <c r="N65" s="11">
        <f t="shared" si="15"/>
        <v>-0.34249030894677601</v>
      </c>
      <c r="O65" s="10">
        <f t="shared" si="16"/>
        <v>2.73</v>
      </c>
      <c r="P65" s="12">
        <f t="shared" si="17"/>
        <v>0.30159752532620787</v>
      </c>
      <c r="Q65" s="12">
        <f t="shared" si="18"/>
        <v>3.4024746737921219E-3</v>
      </c>
      <c r="R65" s="12">
        <f t="shared" si="19"/>
        <v>1.5975253262078826E-3</v>
      </c>
      <c r="S65" s="11">
        <f t="shared" si="20"/>
        <v>-245.18784859336472</v>
      </c>
      <c r="T65" s="12">
        <f t="shared" si="21"/>
        <v>0.45457049999915478</v>
      </c>
      <c r="U65" s="12">
        <f t="shared" si="22"/>
        <v>0.30159752532620787</v>
      </c>
      <c r="V65" s="12">
        <f t="shared" si="23"/>
        <v>0.26478810247894136</v>
      </c>
      <c r="W65" s="12">
        <f t="shared" si="24"/>
        <v>0.32632351676936033</v>
      </c>
      <c r="X65">
        <f t="shared" si="25"/>
        <v>0.30499999999999999</v>
      </c>
    </row>
    <row r="66" spans="12:24" ht="15" customHeight="1" x14ac:dyDescent="0.45">
      <c r="L66" s="9">
        <v>62</v>
      </c>
      <c r="M66" s="17">
        <v>5.49</v>
      </c>
      <c r="N66" s="11">
        <f t="shared" si="15"/>
        <v>1.7029282555214393</v>
      </c>
      <c r="O66" s="10">
        <f t="shared" si="16"/>
        <v>2.74</v>
      </c>
      <c r="P66" s="12">
        <f t="shared" si="17"/>
        <v>0.30331775768537356</v>
      </c>
      <c r="Q66" s="12">
        <f t="shared" si="18"/>
        <v>6.6822423146264409E-3</v>
      </c>
      <c r="R66" s="12">
        <f t="shared" si="19"/>
        <v>-1.6822423146264365E-3</v>
      </c>
      <c r="S66" s="11">
        <f t="shared" si="20"/>
        <v>-246.85080584084216</v>
      </c>
      <c r="T66" s="12">
        <f t="shared" si="21"/>
        <v>0.45578025308470593</v>
      </c>
      <c r="U66" s="12">
        <f t="shared" si="22"/>
        <v>0.30331775768537356</v>
      </c>
      <c r="V66" s="12">
        <f t="shared" si="23"/>
        <v>0.26594990111786881</v>
      </c>
      <c r="W66" s="12">
        <f t="shared" si="24"/>
        <v>0.32830245395299101</v>
      </c>
      <c r="X66">
        <f t="shared" si="25"/>
        <v>0.31</v>
      </c>
    </row>
    <row r="67" spans="12:24" ht="15" customHeight="1" x14ac:dyDescent="0.45">
      <c r="L67" s="9">
        <v>63</v>
      </c>
      <c r="M67" s="17">
        <v>7.33</v>
      </c>
      <c r="N67" s="11">
        <f t="shared" si="15"/>
        <v>1.9919755158985601</v>
      </c>
      <c r="O67" s="10">
        <f t="shared" si="16"/>
        <v>2.82</v>
      </c>
      <c r="P67" s="12">
        <f t="shared" si="17"/>
        <v>0.31707619786028984</v>
      </c>
      <c r="Q67" s="12">
        <f t="shared" si="18"/>
        <v>-2.0761978602898412E-3</v>
      </c>
      <c r="R67" s="12">
        <f t="shared" si="19"/>
        <v>7.0761978602898457E-3</v>
      </c>
      <c r="S67" s="11">
        <f t="shared" si="20"/>
        <v>-248.4539422818317</v>
      </c>
      <c r="T67" s="12">
        <f t="shared" si="21"/>
        <v>0.465362180417909</v>
      </c>
      <c r="U67" s="12">
        <f t="shared" si="22"/>
        <v>0.31707619786028984</v>
      </c>
      <c r="V67" s="12">
        <f t="shared" si="23"/>
        <v>0.27533630198532505</v>
      </c>
      <c r="W67" s="12">
        <f t="shared" si="24"/>
        <v>0.34404347220354714</v>
      </c>
      <c r="X67">
        <f t="shared" si="25"/>
        <v>0.315</v>
      </c>
    </row>
    <row r="68" spans="12:24" ht="15" customHeight="1" x14ac:dyDescent="0.45">
      <c r="L68" s="9">
        <v>64</v>
      </c>
      <c r="M68" s="17">
        <v>6.96</v>
      </c>
      <c r="N68" s="11">
        <f t="shared" si="15"/>
        <v>1.9401794743463283</v>
      </c>
      <c r="O68" s="10">
        <f t="shared" si="16"/>
        <v>2.88</v>
      </c>
      <c r="P68" s="12">
        <f t="shared" si="17"/>
        <v>0.32738387392653356</v>
      </c>
      <c r="Q68" s="12">
        <f t="shared" si="18"/>
        <v>-7.3838739265335573E-3</v>
      </c>
      <c r="R68" s="12">
        <f t="shared" si="19"/>
        <v>1.2383873926533562E-2</v>
      </c>
      <c r="S68" s="11">
        <f t="shared" si="20"/>
        <v>-250.07745517427813</v>
      </c>
      <c r="T68" s="12">
        <f t="shared" si="21"/>
        <v>0.47243774902758073</v>
      </c>
      <c r="U68" s="12">
        <f t="shared" si="22"/>
        <v>0.32738387392653356</v>
      </c>
      <c r="V68" s="12">
        <f t="shared" si="23"/>
        <v>0.2824814876137457</v>
      </c>
      <c r="W68" s="12">
        <f t="shared" si="24"/>
        <v>0.35573451360482439</v>
      </c>
      <c r="X68">
        <f t="shared" si="25"/>
        <v>0.32</v>
      </c>
    </row>
    <row r="69" spans="12:24" ht="15" customHeight="1" x14ac:dyDescent="0.45">
      <c r="L69" s="9">
        <v>65</v>
      </c>
      <c r="M69" s="17">
        <v>7.05</v>
      </c>
      <c r="N69" s="11">
        <f t="shared" ref="N69:N100" si="26">IF(M69&gt;0,LN(M69),"")</f>
        <v>1.9530276168241774</v>
      </c>
      <c r="O69" s="10">
        <f t="shared" ref="O69:O100" si="27">SMALL($M$5:$M$204,L69)</f>
        <v>2.9</v>
      </c>
      <c r="P69" s="12">
        <f t="shared" ref="P69:P100" si="28">CHOOSE($C$6,T69,U69,V69,W69)</f>
        <v>0.33081623167021207</v>
      </c>
      <c r="Q69" s="12">
        <f t="shared" ref="Q69:Q100" si="29">L69/$C$9-P69</f>
        <v>-5.8162316702120576E-3</v>
      </c>
      <c r="R69" s="12">
        <f t="shared" ref="R69:R100" si="30">P69-(L69-1)/$C$9</f>
        <v>1.0816231670212062E-2</v>
      </c>
      <c r="S69" s="11">
        <f t="shared" ref="S69:S100" si="31">(2*L69-1)*LN(P69)+(2*$C$9+1-2*L69)*LN(1-P69)</f>
        <v>-251.5585693852689</v>
      </c>
      <c r="T69" s="12">
        <f t="shared" ref="T69:T100" si="32">MIN(1-0.000000000001,MAX(0.000000000001,1-EXP(-(O69)/$C$10)))</f>
        <v>0.47477540139317631</v>
      </c>
      <c r="U69" s="12">
        <f t="shared" ref="U69:U100" si="33">MIN(1-0.000000000001,MAX(0.000000000001,_xlfn.GAMMA.DIST(O69,$C$12,$C$13,TRUE)))</f>
        <v>0.33081623167021207</v>
      </c>
      <c r="V69" s="12">
        <f t="shared" ref="V69:V100" si="34">MIN(1-0.000000000001,MAX(0.000000000001,_xlfn.NORM.DIST(O69,$C$10,$C$11,TRUE)))</f>
        <v>0.28488287574899895</v>
      </c>
      <c r="W69" s="12">
        <f t="shared" ref="W69:W100" si="35">MIN(1-0.000000000001,MAX(0.000000000001,_xlfn.LOGNORM.DIST(O69,$C$14,$C$15,TRUE)))</f>
        <v>0.35960794272535457</v>
      </c>
      <c r="X69">
        <f t="shared" ref="X69:X100" si="36">L69/$C$9</f>
        <v>0.32500000000000001</v>
      </c>
    </row>
    <row r="70" spans="12:24" ht="15" customHeight="1" x14ac:dyDescent="0.45">
      <c r="L70" s="9">
        <v>66</v>
      </c>
      <c r="M70" s="17">
        <v>1.2</v>
      </c>
      <c r="N70" s="11">
        <f t="shared" si="26"/>
        <v>0.18232155679395459</v>
      </c>
      <c r="O70" s="10">
        <f t="shared" si="27"/>
        <v>2.92</v>
      </c>
      <c r="P70" s="12">
        <f t="shared" si="28"/>
        <v>0.33424639685186641</v>
      </c>
      <c r="Q70" s="12">
        <f t="shared" si="29"/>
        <v>-4.2463968518663964E-3</v>
      </c>
      <c r="R70" s="12">
        <f t="shared" si="30"/>
        <v>9.2463968518664008E-3</v>
      </c>
      <c r="S70" s="11">
        <f t="shared" si="31"/>
        <v>-252.99865414975739</v>
      </c>
      <c r="T70" s="12">
        <f t="shared" si="32"/>
        <v>0.47710269551465523</v>
      </c>
      <c r="U70" s="12">
        <f t="shared" si="33"/>
        <v>0.33424639685186641</v>
      </c>
      <c r="V70" s="12">
        <f t="shared" si="34"/>
        <v>0.28729395943691349</v>
      </c>
      <c r="W70" s="12">
        <f t="shared" si="35"/>
        <v>0.36346907902290981</v>
      </c>
      <c r="X70">
        <f t="shared" si="36"/>
        <v>0.33</v>
      </c>
    </row>
    <row r="71" spans="12:24" ht="15" customHeight="1" x14ac:dyDescent="0.45">
      <c r="L71" s="9">
        <v>67</v>
      </c>
      <c r="M71" s="17">
        <v>10.11</v>
      </c>
      <c r="N71" s="11">
        <f t="shared" si="26"/>
        <v>2.3135250330323798</v>
      </c>
      <c r="O71" s="10">
        <f t="shared" si="27"/>
        <v>3</v>
      </c>
      <c r="P71" s="12">
        <f t="shared" si="28"/>
        <v>0.34794020522065605</v>
      </c>
      <c r="Q71" s="12">
        <f t="shared" si="29"/>
        <v>-1.2940205220656031E-2</v>
      </c>
      <c r="R71" s="12">
        <f t="shared" si="30"/>
        <v>1.7940205220656036E-2</v>
      </c>
      <c r="S71" s="11">
        <f t="shared" si="31"/>
        <v>-254.58565292478011</v>
      </c>
      <c r="T71" s="12">
        <f t="shared" si="32"/>
        <v>0.48630920447120396</v>
      </c>
      <c r="U71" s="12">
        <f t="shared" si="33"/>
        <v>0.34794020522065605</v>
      </c>
      <c r="V71" s="12">
        <f t="shared" si="34"/>
        <v>0.29703358017135767</v>
      </c>
      <c r="W71" s="12">
        <f t="shared" si="35"/>
        <v>0.3787851561951987</v>
      </c>
      <c r="X71">
        <f t="shared" si="36"/>
        <v>0.33500000000000002</v>
      </c>
    </row>
    <row r="72" spans="12:24" ht="15" customHeight="1" x14ac:dyDescent="0.45">
      <c r="L72" s="9">
        <v>68</v>
      </c>
      <c r="M72" s="17">
        <v>3.58</v>
      </c>
      <c r="N72" s="11">
        <f t="shared" si="26"/>
        <v>1.275362800412609</v>
      </c>
      <c r="O72" s="10">
        <f t="shared" si="27"/>
        <v>3.01</v>
      </c>
      <c r="P72" s="12">
        <f t="shared" si="28"/>
        <v>0.34964841542134334</v>
      </c>
      <c r="Q72" s="12">
        <f t="shared" si="29"/>
        <v>-9.6484154213433149E-3</v>
      </c>
      <c r="R72" s="12">
        <f t="shared" si="30"/>
        <v>1.4648415421343319E-2</v>
      </c>
      <c r="S72" s="11">
        <f t="shared" si="31"/>
        <v>-255.87583934828265</v>
      </c>
      <c r="T72" s="12">
        <f t="shared" si="32"/>
        <v>0.48744856166568862</v>
      </c>
      <c r="U72" s="12">
        <f t="shared" si="33"/>
        <v>0.34964841542134334</v>
      </c>
      <c r="V72" s="12">
        <f t="shared" si="34"/>
        <v>0.29826157594558866</v>
      </c>
      <c r="W72" s="12">
        <f t="shared" si="35"/>
        <v>0.38068467521200222</v>
      </c>
      <c r="X72">
        <f t="shared" si="36"/>
        <v>0.34</v>
      </c>
    </row>
    <row r="73" spans="12:24" ht="15" customHeight="1" x14ac:dyDescent="0.45">
      <c r="L73" s="9">
        <v>69</v>
      </c>
      <c r="M73" s="17">
        <v>2.0499999999999998</v>
      </c>
      <c r="N73" s="11">
        <f t="shared" si="26"/>
        <v>0.71783979315031676</v>
      </c>
      <c r="O73" s="10">
        <f t="shared" si="27"/>
        <v>3.01</v>
      </c>
      <c r="P73" s="12">
        <f t="shared" si="28"/>
        <v>0.34964841542134334</v>
      </c>
      <c r="Q73" s="12">
        <f t="shared" si="29"/>
        <v>-4.6484154213433659E-3</v>
      </c>
      <c r="R73" s="12">
        <f t="shared" si="30"/>
        <v>9.6484154213433149E-3</v>
      </c>
      <c r="S73" s="11">
        <f t="shared" si="31"/>
        <v>-257.11700933581869</v>
      </c>
      <c r="T73" s="12">
        <f t="shared" si="32"/>
        <v>0.48744856166568862</v>
      </c>
      <c r="U73" s="12">
        <f t="shared" si="33"/>
        <v>0.34964841542134334</v>
      </c>
      <c r="V73" s="12">
        <f t="shared" si="34"/>
        <v>0.29826157594558866</v>
      </c>
      <c r="W73" s="12">
        <f t="shared" si="35"/>
        <v>0.38068467521200222</v>
      </c>
      <c r="X73">
        <f t="shared" si="36"/>
        <v>0.34499999999999997</v>
      </c>
    </row>
    <row r="74" spans="12:24" ht="15" customHeight="1" x14ac:dyDescent="0.45">
      <c r="L74" s="9">
        <v>70</v>
      </c>
      <c r="M74" s="17">
        <v>2.92</v>
      </c>
      <c r="N74" s="11">
        <f t="shared" si="26"/>
        <v>1.0715836162801904</v>
      </c>
      <c r="O74" s="10">
        <f t="shared" si="27"/>
        <v>3.04</v>
      </c>
      <c r="P74" s="12">
        <f t="shared" si="28"/>
        <v>0.3547676586097428</v>
      </c>
      <c r="Q74" s="12">
        <f t="shared" si="29"/>
        <v>-4.7676586097428197E-3</v>
      </c>
      <c r="R74" s="12">
        <f t="shared" si="30"/>
        <v>9.7676586097428242E-3</v>
      </c>
      <c r="S74" s="11">
        <f t="shared" si="31"/>
        <v>-258.40040877857814</v>
      </c>
      <c r="T74" s="12">
        <f t="shared" si="32"/>
        <v>0.49085149321083132</v>
      </c>
      <c r="U74" s="12">
        <f t="shared" si="33"/>
        <v>0.3547676586097428</v>
      </c>
      <c r="V74" s="12">
        <f t="shared" si="34"/>
        <v>0.30195935743248414</v>
      </c>
      <c r="W74" s="12">
        <f t="shared" si="35"/>
        <v>0.38636251262509058</v>
      </c>
      <c r="X74">
        <f t="shared" si="36"/>
        <v>0.35</v>
      </c>
    </row>
    <row r="75" spans="12:24" ht="15" customHeight="1" x14ac:dyDescent="0.45">
      <c r="L75" s="9">
        <v>71</v>
      </c>
      <c r="M75" s="17">
        <v>2.39</v>
      </c>
      <c r="N75" s="11">
        <f t="shared" si="26"/>
        <v>0.87129336594341933</v>
      </c>
      <c r="O75" s="10">
        <f t="shared" si="27"/>
        <v>3.08</v>
      </c>
      <c r="P75" s="12">
        <f t="shared" si="28"/>
        <v>0.36157969291248115</v>
      </c>
      <c r="Q75" s="12">
        <f t="shared" si="29"/>
        <v>-6.5796929124811721E-3</v>
      </c>
      <c r="R75" s="12">
        <f t="shared" si="30"/>
        <v>1.1579692912481176E-2</v>
      </c>
      <c r="S75" s="11">
        <f t="shared" si="31"/>
        <v>-259.66389817136081</v>
      </c>
      <c r="T75" s="12">
        <f t="shared" si="32"/>
        <v>0.49535361695787228</v>
      </c>
      <c r="U75" s="12">
        <f t="shared" si="33"/>
        <v>0.36157969291248115</v>
      </c>
      <c r="V75" s="12">
        <f t="shared" si="34"/>
        <v>0.30692149761137644</v>
      </c>
      <c r="W75" s="12">
        <f t="shared" si="35"/>
        <v>0.39388356386121359</v>
      </c>
      <c r="X75">
        <f t="shared" si="36"/>
        <v>0.35499999999999998</v>
      </c>
    </row>
    <row r="76" spans="12:24" ht="15" customHeight="1" x14ac:dyDescent="0.45">
      <c r="L76" s="9">
        <v>72</v>
      </c>
      <c r="M76" s="17">
        <v>1.56</v>
      </c>
      <c r="N76" s="11">
        <f t="shared" si="26"/>
        <v>0.44468582126144574</v>
      </c>
      <c r="O76" s="10">
        <f t="shared" si="27"/>
        <v>3.11</v>
      </c>
      <c r="P76" s="12">
        <f t="shared" si="28"/>
        <v>0.3666775369689883</v>
      </c>
      <c r="Q76" s="12">
        <f t="shared" si="29"/>
        <v>-6.6775369689883179E-3</v>
      </c>
      <c r="R76" s="12">
        <f t="shared" si="30"/>
        <v>1.1677536968988322E-2</v>
      </c>
      <c r="S76" s="11">
        <f t="shared" si="31"/>
        <v>-260.85928274596796</v>
      </c>
      <c r="T76" s="12">
        <f t="shared" si="32"/>
        <v>0.49870406525936761</v>
      </c>
      <c r="U76" s="12">
        <f t="shared" si="33"/>
        <v>0.3666775369689883</v>
      </c>
      <c r="V76" s="12">
        <f t="shared" si="34"/>
        <v>0.31066652373500536</v>
      </c>
      <c r="W76" s="12">
        <f t="shared" si="35"/>
        <v>0.39948636939154303</v>
      </c>
      <c r="X76">
        <f t="shared" si="36"/>
        <v>0.36</v>
      </c>
    </row>
    <row r="77" spans="12:24" ht="15" customHeight="1" x14ac:dyDescent="0.45">
      <c r="L77" s="9">
        <v>73</v>
      </c>
      <c r="M77" s="17">
        <v>3.9</v>
      </c>
      <c r="N77" s="11">
        <f t="shared" si="26"/>
        <v>1.3609765531356006</v>
      </c>
      <c r="O77" s="10">
        <f t="shared" si="27"/>
        <v>3.11</v>
      </c>
      <c r="P77" s="12">
        <f t="shared" si="28"/>
        <v>0.3666775369689883</v>
      </c>
      <c r="Q77" s="12">
        <f t="shared" si="29"/>
        <v>-1.6775369689883135E-3</v>
      </c>
      <c r="R77" s="12">
        <f t="shared" si="30"/>
        <v>6.6775369689883179E-3</v>
      </c>
      <c r="S77" s="11">
        <f t="shared" si="31"/>
        <v>-261.95227653945977</v>
      </c>
      <c r="T77" s="12">
        <f t="shared" si="32"/>
        <v>0.49870406525936761</v>
      </c>
      <c r="U77" s="12">
        <f t="shared" si="33"/>
        <v>0.3666775369689883</v>
      </c>
      <c r="V77" s="12">
        <f t="shared" si="34"/>
        <v>0.31066652373500536</v>
      </c>
      <c r="W77" s="12">
        <f t="shared" si="35"/>
        <v>0.39948636939154303</v>
      </c>
      <c r="X77">
        <f t="shared" si="36"/>
        <v>0.36499999999999999</v>
      </c>
    </row>
    <row r="78" spans="12:24" ht="15" customHeight="1" x14ac:dyDescent="0.45">
      <c r="L78" s="9">
        <v>74</v>
      </c>
      <c r="M78" s="17">
        <v>4.37</v>
      </c>
      <c r="N78" s="11">
        <f t="shared" si="26"/>
        <v>1.4747630091074988</v>
      </c>
      <c r="O78" s="10">
        <f t="shared" si="27"/>
        <v>3.13</v>
      </c>
      <c r="P78" s="12">
        <f t="shared" si="28"/>
        <v>0.37007037231906759</v>
      </c>
      <c r="Q78" s="12">
        <f t="shared" si="29"/>
        <v>-7.0372319067590894E-5</v>
      </c>
      <c r="R78" s="12">
        <f t="shared" si="30"/>
        <v>5.0703723190675953E-3</v>
      </c>
      <c r="S78" s="11">
        <f t="shared" si="31"/>
        <v>-263.05036159400663</v>
      </c>
      <c r="T78" s="12">
        <f t="shared" si="32"/>
        <v>0.50092533038125597</v>
      </c>
      <c r="U78" s="12">
        <f t="shared" si="33"/>
        <v>0.37007037231906759</v>
      </c>
      <c r="V78" s="12">
        <f t="shared" si="34"/>
        <v>0.3131741846378972</v>
      </c>
      <c r="W78" s="12">
        <f t="shared" si="35"/>
        <v>0.40320310983944913</v>
      </c>
      <c r="X78">
        <f t="shared" si="36"/>
        <v>0.37</v>
      </c>
    </row>
    <row r="79" spans="12:24" ht="15" customHeight="1" x14ac:dyDescent="0.45">
      <c r="L79" s="9">
        <v>75</v>
      </c>
      <c r="M79" s="17">
        <v>3.44</v>
      </c>
      <c r="N79" s="11">
        <f t="shared" si="26"/>
        <v>1.235471471385307</v>
      </c>
      <c r="O79" s="10">
        <f t="shared" si="27"/>
        <v>3.15</v>
      </c>
      <c r="P79" s="12">
        <f t="shared" si="28"/>
        <v>0.37345838109938539</v>
      </c>
      <c r="Q79" s="12">
        <f t="shared" si="29"/>
        <v>1.5416189006146053E-3</v>
      </c>
      <c r="R79" s="12">
        <f t="shared" si="30"/>
        <v>3.4583810993853992E-3</v>
      </c>
      <c r="S79" s="11">
        <f t="shared" si="31"/>
        <v>-264.10991688793933</v>
      </c>
      <c r="T79" s="12">
        <f t="shared" si="32"/>
        <v>0.50313675297620586</v>
      </c>
      <c r="U79" s="12">
        <f t="shared" si="33"/>
        <v>0.37345838109938539</v>
      </c>
      <c r="V79" s="12">
        <f t="shared" si="34"/>
        <v>0.31569051551250743</v>
      </c>
      <c r="W79" s="12">
        <f t="shared" si="35"/>
        <v>0.40690485895672684</v>
      </c>
      <c r="X79">
        <f t="shared" si="36"/>
        <v>0.375</v>
      </c>
    </row>
    <row r="80" spans="12:24" ht="15" customHeight="1" x14ac:dyDescent="0.45">
      <c r="L80" s="9">
        <v>76</v>
      </c>
      <c r="M80" s="17">
        <v>4.3600000000000003</v>
      </c>
      <c r="N80" s="11">
        <f t="shared" si="26"/>
        <v>1.4724720573609431</v>
      </c>
      <c r="O80" s="10">
        <f t="shared" si="27"/>
        <v>3.28</v>
      </c>
      <c r="P80" s="12">
        <f t="shared" si="28"/>
        <v>0.3953489299566067</v>
      </c>
      <c r="Q80" s="12">
        <f t="shared" si="29"/>
        <v>-1.5348929956606694E-2</v>
      </c>
      <c r="R80" s="12">
        <f t="shared" si="30"/>
        <v>2.0348929956606698E-2</v>
      </c>
      <c r="S80" s="11">
        <f t="shared" si="31"/>
        <v>-265.3987961276332</v>
      </c>
      <c r="T80" s="12">
        <f t="shared" si="32"/>
        <v>0.51727408197214653</v>
      </c>
      <c r="U80" s="12">
        <f t="shared" si="33"/>
        <v>0.3953489299566067</v>
      </c>
      <c r="V80" s="12">
        <f t="shared" si="34"/>
        <v>0.3322511912754369</v>
      </c>
      <c r="W80" s="12">
        <f t="shared" si="35"/>
        <v>0.43058910120383814</v>
      </c>
      <c r="X80">
        <f t="shared" si="36"/>
        <v>0.38</v>
      </c>
    </row>
    <row r="81" spans="12:24" ht="15" customHeight="1" x14ac:dyDescent="0.45">
      <c r="L81" s="9">
        <v>77</v>
      </c>
      <c r="M81" s="17">
        <v>3.51</v>
      </c>
      <c r="N81" s="11">
        <f t="shared" si="26"/>
        <v>1.2556160374777743</v>
      </c>
      <c r="O81" s="10">
        <f t="shared" si="27"/>
        <v>3.34</v>
      </c>
      <c r="P81" s="12">
        <f t="shared" si="28"/>
        <v>0.40536587556407694</v>
      </c>
      <c r="Q81" s="12">
        <f t="shared" si="29"/>
        <v>-2.036587556407693E-2</v>
      </c>
      <c r="R81" s="12">
        <f t="shared" si="30"/>
        <v>2.5365875564076934E-2</v>
      </c>
      <c r="S81" s="11">
        <f t="shared" si="31"/>
        <v>-266.54649708942213</v>
      </c>
      <c r="T81" s="12">
        <f t="shared" si="32"/>
        <v>0.52366263180452222</v>
      </c>
      <c r="U81" s="12">
        <f t="shared" si="33"/>
        <v>0.40536587556407694</v>
      </c>
      <c r="V81" s="12">
        <f t="shared" si="34"/>
        <v>0.34000906692286159</v>
      </c>
      <c r="W81" s="12">
        <f t="shared" si="35"/>
        <v>0.44129241301152206</v>
      </c>
      <c r="X81">
        <f t="shared" si="36"/>
        <v>0.38500000000000001</v>
      </c>
    </row>
    <row r="82" spans="12:24" ht="15" customHeight="1" x14ac:dyDescent="0.45">
      <c r="L82" s="9">
        <v>78</v>
      </c>
      <c r="M82" s="17">
        <v>2.37</v>
      </c>
      <c r="N82" s="11">
        <f t="shared" si="26"/>
        <v>0.86288995514703981</v>
      </c>
      <c r="O82" s="10">
        <f t="shared" si="27"/>
        <v>3.39</v>
      </c>
      <c r="P82" s="12">
        <f t="shared" si="28"/>
        <v>0.41366672186840031</v>
      </c>
      <c r="Q82" s="12">
        <f t="shared" si="29"/>
        <v>-2.3666721868400298E-2</v>
      </c>
      <c r="R82" s="12">
        <f t="shared" si="30"/>
        <v>2.8666721868400302E-2</v>
      </c>
      <c r="S82" s="11">
        <f t="shared" si="31"/>
        <v>-267.61506527481822</v>
      </c>
      <c r="T82" s="12">
        <f t="shared" si="32"/>
        <v>0.52892179029176822</v>
      </c>
      <c r="U82" s="12">
        <f t="shared" si="33"/>
        <v>0.41366672186840031</v>
      </c>
      <c r="V82" s="12">
        <f t="shared" si="34"/>
        <v>0.34652629513631361</v>
      </c>
      <c r="W82" s="12">
        <f t="shared" si="35"/>
        <v>0.45009843208188477</v>
      </c>
      <c r="X82">
        <f t="shared" si="36"/>
        <v>0.39</v>
      </c>
    </row>
    <row r="83" spans="12:24" ht="15" customHeight="1" x14ac:dyDescent="0.45">
      <c r="L83" s="9">
        <v>79</v>
      </c>
      <c r="M83" s="17">
        <v>2.64</v>
      </c>
      <c r="N83" s="11">
        <f t="shared" si="26"/>
        <v>0.97077891715822484</v>
      </c>
      <c r="O83" s="10">
        <f t="shared" si="27"/>
        <v>3.41</v>
      </c>
      <c r="P83" s="12">
        <f t="shared" si="28"/>
        <v>0.41697455788452709</v>
      </c>
      <c r="Q83" s="12">
        <f t="shared" si="29"/>
        <v>-2.1974557884527068E-2</v>
      </c>
      <c r="R83" s="12">
        <f t="shared" si="30"/>
        <v>2.6974557884527073E-2</v>
      </c>
      <c r="S83" s="11">
        <f t="shared" si="31"/>
        <v>-268.43706341874145</v>
      </c>
      <c r="T83" s="12">
        <f t="shared" si="32"/>
        <v>0.53100915929755887</v>
      </c>
      <c r="U83" s="12">
        <f t="shared" si="33"/>
        <v>0.41697455788452709</v>
      </c>
      <c r="V83" s="12">
        <f t="shared" si="34"/>
        <v>0.34914609347496722</v>
      </c>
      <c r="W83" s="12">
        <f t="shared" si="35"/>
        <v>0.45359157338889478</v>
      </c>
      <c r="X83">
        <f t="shared" si="36"/>
        <v>0.39500000000000002</v>
      </c>
    </row>
    <row r="84" spans="12:24" ht="15" customHeight="1" x14ac:dyDescent="0.45">
      <c r="L84" s="9">
        <v>80</v>
      </c>
      <c r="M84" s="17">
        <v>5.4</v>
      </c>
      <c r="N84" s="11">
        <f t="shared" si="26"/>
        <v>1.6863989535702288</v>
      </c>
      <c r="O84" s="10">
        <f t="shared" si="27"/>
        <v>3.44</v>
      </c>
      <c r="P84" s="12">
        <f t="shared" si="28"/>
        <v>0.42192241050864571</v>
      </c>
      <c r="Q84" s="12">
        <f t="shared" si="29"/>
        <v>-2.1922410508645684E-2</v>
      </c>
      <c r="R84" s="12">
        <f t="shared" si="30"/>
        <v>2.6922410508645689E-2</v>
      </c>
      <c r="S84" s="11">
        <f t="shared" si="31"/>
        <v>-269.28585179766844</v>
      </c>
      <c r="T84" s="12">
        <f t="shared" si="32"/>
        <v>0.53412288331986546</v>
      </c>
      <c r="U84" s="12">
        <f t="shared" si="33"/>
        <v>0.42192241050864571</v>
      </c>
      <c r="V84" s="12">
        <f t="shared" si="34"/>
        <v>0.35308927232656839</v>
      </c>
      <c r="W84" s="12">
        <f t="shared" si="35"/>
        <v>0.4587996369531413</v>
      </c>
      <c r="X84">
        <f t="shared" si="36"/>
        <v>0.4</v>
      </c>
    </row>
    <row r="85" spans="12:24" ht="15" customHeight="1" x14ac:dyDescent="0.45">
      <c r="L85" s="9">
        <v>81</v>
      </c>
      <c r="M85" s="17">
        <v>1.31</v>
      </c>
      <c r="N85" s="11">
        <f t="shared" si="26"/>
        <v>0.27002713721306021</v>
      </c>
      <c r="O85" s="10">
        <f t="shared" si="27"/>
        <v>3.47</v>
      </c>
      <c r="P85" s="12">
        <f t="shared" si="28"/>
        <v>0.42685311146557403</v>
      </c>
      <c r="Q85" s="12">
        <f t="shared" si="29"/>
        <v>-2.1853111465574004E-2</v>
      </c>
      <c r="R85" s="12">
        <f t="shared" si="30"/>
        <v>2.6853111465574009E-2</v>
      </c>
      <c r="S85" s="11">
        <f t="shared" si="31"/>
        <v>-270.09233310616446</v>
      </c>
      <c r="T85" s="12">
        <f t="shared" si="32"/>
        <v>0.53721593470542595</v>
      </c>
      <c r="U85" s="12">
        <f t="shared" si="33"/>
        <v>0.42685311146557403</v>
      </c>
      <c r="V85" s="12">
        <f t="shared" si="34"/>
        <v>0.35704829002175287</v>
      </c>
      <c r="W85" s="12">
        <f t="shared" si="35"/>
        <v>0.4639694701006396</v>
      </c>
      <c r="X85">
        <f t="shared" si="36"/>
        <v>0.40500000000000003</v>
      </c>
    </row>
    <row r="86" spans="12:24" ht="15" customHeight="1" x14ac:dyDescent="0.45">
      <c r="L86" s="9">
        <v>82</v>
      </c>
      <c r="M86" s="17">
        <v>2.73</v>
      </c>
      <c r="N86" s="11">
        <f t="shared" si="26"/>
        <v>1.0043016091968684</v>
      </c>
      <c r="O86" s="10">
        <f t="shared" si="27"/>
        <v>3.5</v>
      </c>
      <c r="P86" s="12">
        <f t="shared" si="28"/>
        <v>0.43176614666826679</v>
      </c>
      <c r="Q86" s="12">
        <f t="shared" si="29"/>
        <v>-2.1766146668266817E-2</v>
      </c>
      <c r="R86" s="12">
        <f t="shared" si="30"/>
        <v>2.6766146668266766E-2</v>
      </c>
      <c r="S86" s="11">
        <f t="shared" si="31"/>
        <v>-270.856668644796</v>
      </c>
      <c r="T86" s="12">
        <f t="shared" si="32"/>
        <v>0.54028845070401155</v>
      </c>
      <c r="U86" s="12">
        <f t="shared" si="33"/>
        <v>0.43176614666826679</v>
      </c>
      <c r="V86" s="12">
        <f t="shared" si="34"/>
        <v>0.36102276076088791</v>
      </c>
      <c r="W86" s="12">
        <f t="shared" si="35"/>
        <v>0.4691008141547704</v>
      </c>
      <c r="X86">
        <f t="shared" si="36"/>
        <v>0.41</v>
      </c>
    </row>
    <row r="87" spans="12:24" ht="15" customHeight="1" x14ac:dyDescent="0.45">
      <c r="L87" s="9">
        <v>83</v>
      </c>
      <c r="M87" s="17">
        <v>6.88</v>
      </c>
      <c r="N87" s="11">
        <f t="shared" si="26"/>
        <v>1.9286186519452522</v>
      </c>
      <c r="O87" s="10">
        <f t="shared" si="27"/>
        <v>3.5</v>
      </c>
      <c r="P87" s="12">
        <f t="shared" si="28"/>
        <v>0.43176614666826679</v>
      </c>
      <c r="Q87" s="12">
        <f t="shared" si="29"/>
        <v>-1.6766146668266813E-2</v>
      </c>
      <c r="R87" s="12">
        <f t="shared" si="30"/>
        <v>2.1766146668266817E-2</v>
      </c>
      <c r="S87" s="11">
        <f t="shared" si="31"/>
        <v>-271.4059665109674</v>
      </c>
      <c r="T87" s="12">
        <f t="shared" si="32"/>
        <v>0.54028845070401155</v>
      </c>
      <c r="U87" s="12">
        <f t="shared" si="33"/>
        <v>0.43176614666826679</v>
      </c>
      <c r="V87" s="12">
        <f t="shared" si="34"/>
        <v>0.36102276076088791</v>
      </c>
      <c r="W87" s="12">
        <f t="shared" si="35"/>
        <v>0.4691008141547704</v>
      </c>
      <c r="X87">
        <f t="shared" si="36"/>
        <v>0.41499999999999998</v>
      </c>
    </row>
    <row r="88" spans="12:24" ht="15" customHeight="1" x14ac:dyDescent="0.45">
      <c r="L88" s="9">
        <v>84</v>
      </c>
      <c r="M88" s="17">
        <v>4.55</v>
      </c>
      <c r="N88" s="11">
        <f t="shared" si="26"/>
        <v>1.5151272329628591</v>
      </c>
      <c r="O88" s="10">
        <f t="shared" si="27"/>
        <v>3.51</v>
      </c>
      <c r="P88" s="12">
        <f t="shared" si="28"/>
        <v>0.43339981276519873</v>
      </c>
      <c r="Q88" s="12">
        <f t="shared" si="29"/>
        <v>-1.3399812765198749E-2</v>
      </c>
      <c r="R88" s="12">
        <f t="shared" si="30"/>
        <v>1.8399812765198753E-2</v>
      </c>
      <c r="S88" s="11">
        <f t="shared" si="31"/>
        <v>-271.99541900015038</v>
      </c>
      <c r="T88" s="12">
        <f t="shared" si="32"/>
        <v>0.54130808287503163</v>
      </c>
      <c r="U88" s="12">
        <f t="shared" si="33"/>
        <v>0.43339981276519873</v>
      </c>
      <c r="V88" s="12">
        <f t="shared" si="34"/>
        <v>0.36235095094560021</v>
      </c>
      <c r="W88" s="12">
        <f t="shared" si="35"/>
        <v>0.47080266816811228</v>
      </c>
      <c r="X88">
        <f t="shared" si="36"/>
        <v>0.42</v>
      </c>
    </row>
    <row r="89" spans="12:24" ht="15" customHeight="1" x14ac:dyDescent="0.45">
      <c r="L89" s="9">
        <v>85</v>
      </c>
      <c r="M89" s="17">
        <v>5.81</v>
      </c>
      <c r="N89" s="11">
        <f t="shared" si="26"/>
        <v>1.7595805708638197</v>
      </c>
      <c r="O89" s="10">
        <f t="shared" si="27"/>
        <v>3.58</v>
      </c>
      <c r="P89" s="12">
        <f t="shared" si="28"/>
        <v>0.44477746722403394</v>
      </c>
      <c r="Q89" s="12">
        <f t="shared" si="29"/>
        <v>-1.9777467224033951E-2</v>
      </c>
      <c r="R89" s="12">
        <f t="shared" si="30"/>
        <v>2.4777467224033956E-2</v>
      </c>
      <c r="S89" s="11">
        <f t="shared" si="31"/>
        <v>-272.83785403095487</v>
      </c>
      <c r="T89" s="12">
        <f t="shared" si="32"/>
        <v>0.54838246545550851</v>
      </c>
      <c r="U89" s="12">
        <f t="shared" si="33"/>
        <v>0.44477746722403394</v>
      </c>
      <c r="V89" s="12">
        <f t="shared" si="34"/>
        <v>0.37169391009552666</v>
      </c>
      <c r="W89" s="12">
        <f t="shared" si="35"/>
        <v>0.48259454391974871</v>
      </c>
      <c r="X89">
        <f t="shared" si="36"/>
        <v>0.42499999999999999</v>
      </c>
    </row>
    <row r="90" spans="12:24" ht="15" customHeight="1" x14ac:dyDescent="0.45">
      <c r="L90" s="9">
        <v>86</v>
      </c>
      <c r="M90" s="17">
        <v>3.93</v>
      </c>
      <c r="N90" s="11">
        <f t="shared" si="26"/>
        <v>1.3686394258811698</v>
      </c>
      <c r="O90" s="10">
        <f t="shared" si="27"/>
        <v>3.58</v>
      </c>
      <c r="P90" s="12">
        <f t="shared" si="28"/>
        <v>0.44477746722403394</v>
      </c>
      <c r="Q90" s="12">
        <f t="shared" si="29"/>
        <v>-1.4777467224033947E-2</v>
      </c>
      <c r="R90" s="12">
        <f t="shared" si="30"/>
        <v>1.9777467224033951E-2</v>
      </c>
      <c r="S90" s="11">
        <f t="shared" si="31"/>
        <v>-273.28144385076746</v>
      </c>
      <c r="T90" s="12">
        <f t="shared" si="32"/>
        <v>0.54838246545550851</v>
      </c>
      <c r="U90" s="12">
        <f t="shared" si="33"/>
        <v>0.44477746722403394</v>
      </c>
      <c r="V90" s="12">
        <f t="shared" si="34"/>
        <v>0.37169391009552666</v>
      </c>
      <c r="W90" s="12">
        <f t="shared" si="35"/>
        <v>0.48259454391974871</v>
      </c>
      <c r="X90">
        <f t="shared" si="36"/>
        <v>0.43</v>
      </c>
    </row>
    <row r="91" spans="12:24" ht="15" customHeight="1" x14ac:dyDescent="0.45">
      <c r="L91" s="9">
        <v>87</v>
      </c>
      <c r="M91" s="17">
        <v>1.65</v>
      </c>
      <c r="N91" s="11">
        <f t="shared" si="26"/>
        <v>0.50077528791248915</v>
      </c>
      <c r="O91" s="10">
        <f t="shared" si="27"/>
        <v>3.59</v>
      </c>
      <c r="P91" s="12">
        <f t="shared" si="28"/>
        <v>0.44639435173721925</v>
      </c>
      <c r="Q91" s="12">
        <f t="shared" si="29"/>
        <v>-1.1394351737219255E-2</v>
      </c>
      <c r="R91" s="12">
        <f t="shared" si="30"/>
        <v>1.6394351737219259E-2</v>
      </c>
      <c r="S91" s="11">
        <f t="shared" si="31"/>
        <v>-273.75929264930323</v>
      </c>
      <c r="T91" s="12">
        <f t="shared" si="32"/>
        <v>0.54938414524346157</v>
      </c>
      <c r="U91" s="12">
        <f t="shared" si="33"/>
        <v>0.44639435173721925</v>
      </c>
      <c r="V91" s="12">
        <f t="shared" si="34"/>
        <v>0.37303495882372273</v>
      </c>
      <c r="W91" s="12">
        <f t="shared" si="35"/>
        <v>0.48426171622560454</v>
      </c>
      <c r="X91">
        <f t="shared" si="36"/>
        <v>0.435</v>
      </c>
    </row>
    <row r="92" spans="12:24" ht="15" customHeight="1" x14ac:dyDescent="0.45">
      <c r="L92" s="9">
        <v>88</v>
      </c>
      <c r="M92" s="17">
        <v>3.01</v>
      </c>
      <c r="N92" s="11">
        <f t="shared" si="26"/>
        <v>1.1019400787607843</v>
      </c>
      <c r="O92" s="10">
        <f t="shared" si="27"/>
        <v>3.71</v>
      </c>
      <c r="P92" s="12">
        <f t="shared" si="28"/>
        <v>0.46562281600451416</v>
      </c>
      <c r="Q92" s="12">
        <f t="shared" si="29"/>
        <v>-2.562281600451416E-2</v>
      </c>
      <c r="R92" s="12">
        <f t="shared" si="30"/>
        <v>3.0622816004514164E-2</v>
      </c>
      <c r="S92" s="11">
        <f t="shared" si="31"/>
        <v>-274.7633958212308</v>
      </c>
      <c r="T92" s="12">
        <f t="shared" si="32"/>
        <v>0.56123241099773802</v>
      </c>
      <c r="U92" s="12">
        <f t="shared" si="33"/>
        <v>0.46562281600451416</v>
      </c>
      <c r="V92" s="12">
        <f t="shared" si="34"/>
        <v>0.38924331167807652</v>
      </c>
      <c r="W92" s="12">
        <f t="shared" si="35"/>
        <v>0.50392610721697562</v>
      </c>
      <c r="X92">
        <f t="shared" si="36"/>
        <v>0.44</v>
      </c>
    </row>
    <row r="93" spans="12:24" ht="15" customHeight="1" x14ac:dyDescent="0.45">
      <c r="L93" s="9">
        <v>89</v>
      </c>
      <c r="M93" s="17">
        <v>4.2300000000000004</v>
      </c>
      <c r="N93" s="11">
        <f t="shared" si="26"/>
        <v>1.4422019930581866</v>
      </c>
      <c r="O93" s="10">
        <f t="shared" si="27"/>
        <v>3.75</v>
      </c>
      <c r="P93" s="12">
        <f t="shared" si="28"/>
        <v>0.47195808724887656</v>
      </c>
      <c r="Q93" s="12">
        <f t="shared" si="29"/>
        <v>-2.695808724887655E-2</v>
      </c>
      <c r="R93" s="12">
        <f t="shared" si="30"/>
        <v>3.1958087248876554E-2</v>
      </c>
      <c r="S93" s="11">
        <f t="shared" si="31"/>
        <v>-275.30637677287677</v>
      </c>
      <c r="T93" s="12">
        <f t="shared" si="32"/>
        <v>0.56511219450989314</v>
      </c>
      <c r="U93" s="12">
        <f t="shared" si="33"/>
        <v>0.47195808724887656</v>
      </c>
      <c r="V93" s="12">
        <f t="shared" si="34"/>
        <v>0.39469078828856563</v>
      </c>
      <c r="W93" s="12">
        <f t="shared" si="35"/>
        <v>0.51034006068869031</v>
      </c>
      <c r="X93">
        <f t="shared" si="36"/>
        <v>0.44500000000000001</v>
      </c>
    </row>
    <row r="94" spans="12:24" ht="15" customHeight="1" x14ac:dyDescent="0.45">
      <c r="L94" s="9">
        <v>90</v>
      </c>
      <c r="M94" s="17">
        <v>3</v>
      </c>
      <c r="N94" s="11">
        <f t="shared" si="26"/>
        <v>1.0986122886681098</v>
      </c>
      <c r="O94" s="10">
        <f t="shared" si="27"/>
        <v>3.76</v>
      </c>
      <c r="P94" s="12">
        <f t="shared" si="28"/>
        <v>0.47353590148950747</v>
      </c>
      <c r="Q94" s="12">
        <f t="shared" si="29"/>
        <v>-2.353590148950746E-2</v>
      </c>
      <c r="R94" s="12">
        <f t="shared" si="30"/>
        <v>2.8535901489507465E-2</v>
      </c>
      <c r="S94" s="11">
        <f t="shared" si="31"/>
        <v>-275.5948736922644</v>
      </c>
      <c r="T94" s="12">
        <f t="shared" si="32"/>
        <v>0.56607676805158713</v>
      </c>
      <c r="U94" s="12">
        <f t="shared" si="33"/>
        <v>0.47353590148950747</v>
      </c>
      <c r="V94" s="12">
        <f t="shared" si="34"/>
        <v>0.39605592682146518</v>
      </c>
      <c r="W94" s="12">
        <f t="shared" si="35"/>
        <v>0.51193250909411647</v>
      </c>
      <c r="X94">
        <f t="shared" si="36"/>
        <v>0.45</v>
      </c>
    </row>
    <row r="95" spans="12:24" ht="15" customHeight="1" x14ac:dyDescent="0.45">
      <c r="L95" s="9">
        <v>91</v>
      </c>
      <c r="M95" s="17">
        <v>3.5</v>
      </c>
      <c r="N95" s="11">
        <f t="shared" si="26"/>
        <v>1.2527629684953681</v>
      </c>
      <c r="O95" s="10">
        <f t="shared" si="27"/>
        <v>3.76</v>
      </c>
      <c r="P95" s="12">
        <f t="shared" si="28"/>
        <v>0.47353590148950747</v>
      </c>
      <c r="Q95" s="12">
        <f t="shared" si="29"/>
        <v>-1.8535901489507456E-2</v>
      </c>
      <c r="R95" s="12">
        <f t="shared" si="30"/>
        <v>2.353590148950746E-2</v>
      </c>
      <c r="S95" s="11">
        <f t="shared" si="31"/>
        <v>-275.80678451029189</v>
      </c>
      <c r="T95" s="12">
        <f t="shared" si="32"/>
        <v>0.56607676805158713</v>
      </c>
      <c r="U95" s="12">
        <f t="shared" si="33"/>
        <v>0.47353590148950747</v>
      </c>
      <c r="V95" s="12">
        <f t="shared" si="34"/>
        <v>0.39605592682146518</v>
      </c>
      <c r="W95" s="12">
        <f t="shared" si="35"/>
        <v>0.51193250909411647</v>
      </c>
      <c r="X95">
        <f t="shared" si="36"/>
        <v>0.45500000000000002</v>
      </c>
    </row>
    <row r="96" spans="12:24" ht="15" customHeight="1" x14ac:dyDescent="0.45">
      <c r="L96" s="9">
        <v>92</v>
      </c>
      <c r="M96" s="17">
        <v>4.4000000000000004</v>
      </c>
      <c r="N96" s="11">
        <f t="shared" si="26"/>
        <v>1.4816045409242156</v>
      </c>
      <c r="O96" s="10">
        <f t="shared" si="27"/>
        <v>3.76</v>
      </c>
      <c r="P96" s="12">
        <f t="shared" si="28"/>
        <v>0.47353590148950747</v>
      </c>
      <c r="Q96" s="12">
        <f t="shared" si="29"/>
        <v>-1.3535901489507451E-2</v>
      </c>
      <c r="R96" s="12">
        <f t="shared" si="30"/>
        <v>1.8535901489507456E-2</v>
      </c>
      <c r="S96" s="11">
        <f t="shared" si="31"/>
        <v>-276.01869532831938</v>
      </c>
      <c r="T96" s="12">
        <f t="shared" si="32"/>
        <v>0.56607676805158713</v>
      </c>
      <c r="U96" s="12">
        <f t="shared" si="33"/>
        <v>0.47353590148950747</v>
      </c>
      <c r="V96" s="12">
        <f t="shared" si="34"/>
        <v>0.39605592682146518</v>
      </c>
      <c r="W96" s="12">
        <f t="shared" si="35"/>
        <v>0.51193250909411647</v>
      </c>
      <c r="X96">
        <f t="shared" si="36"/>
        <v>0.46</v>
      </c>
    </row>
    <row r="97" spans="12:24" ht="15" customHeight="1" x14ac:dyDescent="0.45">
      <c r="L97" s="9">
        <v>93</v>
      </c>
      <c r="M97" s="17">
        <v>6.66</v>
      </c>
      <c r="N97" s="11">
        <f t="shared" si="26"/>
        <v>1.8961194845522977</v>
      </c>
      <c r="O97" s="10">
        <f t="shared" si="27"/>
        <v>3.78</v>
      </c>
      <c r="P97" s="12">
        <f t="shared" si="28"/>
        <v>0.47668422985560144</v>
      </c>
      <c r="Q97" s="12">
        <f t="shared" si="29"/>
        <v>-1.1684229855601413E-2</v>
      </c>
      <c r="R97" s="12">
        <f t="shared" si="30"/>
        <v>1.6684229855601418E-2</v>
      </c>
      <c r="S97" s="11">
        <f t="shared" si="31"/>
        <v>-276.29428432897907</v>
      </c>
      <c r="T97" s="12">
        <f t="shared" si="32"/>
        <v>0.56799950165843893</v>
      </c>
      <c r="U97" s="12">
        <f t="shared" si="33"/>
        <v>0.47668422985560144</v>
      </c>
      <c r="V97" s="12">
        <f t="shared" si="34"/>
        <v>0.39879001570820716</v>
      </c>
      <c r="W97" s="12">
        <f t="shared" si="35"/>
        <v>0.5151041475952951</v>
      </c>
      <c r="X97">
        <f t="shared" si="36"/>
        <v>0.46500000000000002</v>
      </c>
    </row>
    <row r="98" spans="12:24" ht="15" customHeight="1" x14ac:dyDescent="0.45">
      <c r="L98" s="9">
        <v>94</v>
      </c>
      <c r="M98" s="17">
        <v>2.88</v>
      </c>
      <c r="N98" s="11">
        <f t="shared" si="26"/>
        <v>1.0577902941478545</v>
      </c>
      <c r="O98" s="10">
        <f t="shared" si="27"/>
        <v>3.78</v>
      </c>
      <c r="P98" s="12">
        <f t="shared" si="28"/>
        <v>0.47668422985560144</v>
      </c>
      <c r="Q98" s="12">
        <f t="shared" si="29"/>
        <v>-6.6842298556014645E-3</v>
      </c>
      <c r="R98" s="12">
        <f t="shared" si="30"/>
        <v>1.1684229855601413E-2</v>
      </c>
      <c r="S98" s="11">
        <f t="shared" si="31"/>
        <v>-276.480945867218</v>
      </c>
      <c r="T98" s="12">
        <f t="shared" si="32"/>
        <v>0.56799950165843893</v>
      </c>
      <c r="U98" s="12">
        <f t="shared" si="33"/>
        <v>0.47668422985560144</v>
      </c>
      <c r="V98" s="12">
        <f t="shared" si="34"/>
        <v>0.39879001570820716</v>
      </c>
      <c r="W98" s="12">
        <f t="shared" si="35"/>
        <v>0.5151041475952951</v>
      </c>
      <c r="X98">
        <f t="shared" si="36"/>
        <v>0.47</v>
      </c>
    </row>
    <row r="99" spans="12:24" ht="15" customHeight="1" x14ac:dyDescent="0.45">
      <c r="L99" s="9">
        <v>95</v>
      </c>
      <c r="M99" s="17">
        <v>7.77</v>
      </c>
      <c r="N99" s="11">
        <f t="shared" si="26"/>
        <v>2.050270164379556</v>
      </c>
      <c r="O99" s="10">
        <f t="shared" si="27"/>
        <v>3.79</v>
      </c>
      <c r="P99" s="12">
        <f t="shared" si="28"/>
        <v>0.47825471726513186</v>
      </c>
      <c r="Q99" s="12">
        <f t="shared" si="29"/>
        <v>-3.254717265131879E-3</v>
      </c>
      <c r="R99" s="12">
        <f t="shared" si="30"/>
        <v>8.2547172651318834E-3</v>
      </c>
      <c r="S99" s="11">
        <f t="shared" si="31"/>
        <v>-276.6801199222482</v>
      </c>
      <c r="T99" s="12">
        <f t="shared" si="32"/>
        <v>0.56895767120340768</v>
      </c>
      <c r="U99" s="12">
        <f t="shared" si="33"/>
        <v>0.47825471726513186</v>
      </c>
      <c r="V99" s="12">
        <f t="shared" si="34"/>
        <v>0.4001589340350189</v>
      </c>
      <c r="W99" s="12">
        <f t="shared" si="35"/>
        <v>0.51668333560723945</v>
      </c>
      <c r="X99">
        <f t="shared" si="36"/>
        <v>0.47499999999999998</v>
      </c>
    </row>
    <row r="100" spans="12:24" ht="15" customHeight="1" x14ac:dyDescent="0.45">
      <c r="L100" s="9">
        <v>96</v>
      </c>
      <c r="M100" s="17">
        <v>3.93</v>
      </c>
      <c r="N100" s="11">
        <f t="shared" si="26"/>
        <v>1.3686394258811698</v>
      </c>
      <c r="O100" s="10">
        <f t="shared" si="27"/>
        <v>3.9</v>
      </c>
      <c r="P100" s="12">
        <f t="shared" si="28"/>
        <v>0.49536437404969036</v>
      </c>
      <c r="Q100" s="12">
        <f t="shared" si="29"/>
        <v>-1.5364374049690377E-2</v>
      </c>
      <c r="R100" s="12">
        <f t="shared" si="30"/>
        <v>2.0364374049690381E-2</v>
      </c>
      <c r="S100" s="11">
        <f t="shared" si="31"/>
        <v>-277.10917686924438</v>
      </c>
      <c r="T100" s="12">
        <f t="shared" si="32"/>
        <v>0.57935830463064264</v>
      </c>
      <c r="U100" s="12">
        <f t="shared" si="33"/>
        <v>0.49536437404969036</v>
      </c>
      <c r="V100" s="12">
        <f t="shared" si="34"/>
        <v>0.41529450242866106</v>
      </c>
      <c r="W100" s="12">
        <f t="shared" si="35"/>
        <v>0.5337625471641424</v>
      </c>
      <c r="X100">
        <f t="shared" si="36"/>
        <v>0.48</v>
      </c>
    </row>
    <row r="101" spans="12:24" ht="15" customHeight="1" x14ac:dyDescent="0.45">
      <c r="L101" s="9">
        <v>97</v>
      </c>
      <c r="M101" s="17">
        <v>7.06</v>
      </c>
      <c r="N101" s="11">
        <f t="shared" ref="N101:N132" si="37">IF(M101&gt;0,LN(M101),"")</f>
        <v>1.9544450515051506</v>
      </c>
      <c r="O101" s="10">
        <f t="shared" ref="O101:O132" si="38">SMALL($M$5:$M$204,L101)</f>
        <v>3.93</v>
      </c>
      <c r="P101" s="12">
        <f t="shared" ref="P101:P132" si="39">CHOOSE($C$6,T101,U101,V101,W101)</f>
        <v>0.49997665214194048</v>
      </c>
      <c r="Q101" s="12">
        <f t="shared" ref="Q101:Q132" si="40">L101/$C$9-P101</f>
        <v>-1.4976652141940494E-2</v>
      </c>
      <c r="R101" s="12">
        <f t="shared" ref="R101:R132" si="41">P101-(L101-1)/$C$9</f>
        <v>1.9976652141940499E-2</v>
      </c>
      <c r="S101" s="11">
        <f t="shared" ref="S101:S132" si="42">(2*L101-1)*LN(P101)+(2*$C$9+1-2*L101)*LN(1-P101)</f>
        <v>-277.2582189200499</v>
      </c>
      <c r="T101" s="12">
        <f t="shared" ref="T101:T132" si="43">MIN(1-0.000000000001,MAX(0.000000000001,1-EXP(-(O101)/$C$10)))</f>
        <v>0.58215102900388116</v>
      </c>
      <c r="U101" s="12">
        <f t="shared" ref="U101:U132" si="44">MIN(1-0.000000000001,MAX(0.000000000001,_xlfn.GAMMA.DIST(O101,$C$12,$C$13,TRUE)))</f>
        <v>0.49997665214194048</v>
      </c>
      <c r="V101" s="12">
        <f t="shared" ref="V101:V132" si="45">MIN(1-0.000000000001,MAX(0.000000000001,_xlfn.NORM.DIST(O101,$C$10,$C$11,TRUE)))</f>
        <v>0.41944531499509508</v>
      </c>
      <c r="W101" s="12">
        <f t="shared" ref="W101:W132" si="46">MIN(1-0.000000000001,MAX(0.000000000001,_xlfn.LOGNORM.DIST(O101,$C$14,$C$15,TRUE)))</f>
        <v>0.53832770997069002</v>
      </c>
      <c r="X101">
        <f t="shared" ref="X101:X132" si="47">L101/$C$9</f>
        <v>0.48499999999999999</v>
      </c>
    </row>
    <row r="102" spans="12:24" ht="15" customHeight="1" x14ac:dyDescent="0.45">
      <c r="L102" s="9">
        <v>98</v>
      </c>
      <c r="M102" s="17">
        <v>7.65</v>
      </c>
      <c r="N102" s="11">
        <f t="shared" si="37"/>
        <v>2.0347056478384444</v>
      </c>
      <c r="O102" s="10">
        <f t="shared" si="38"/>
        <v>3.93</v>
      </c>
      <c r="P102" s="12">
        <f t="shared" si="39"/>
        <v>0.49997665214194048</v>
      </c>
      <c r="Q102" s="12">
        <f t="shared" si="40"/>
        <v>-9.9766521419404897E-3</v>
      </c>
      <c r="R102" s="12">
        <f t="shared" si="41"/>
        <v>1.4976652141940494E-2</v>
      </c>
      <c r="S102" s="11">
        <f t="shared" si="42"/>
        <v>-277.25840570291456</v>
      </c>
      <c r="T102" s="12">
        <f t="shared" si="43"/>
        <v>0.58215102900388116</v>
      </c>
      <c r="U102" s="12">
        <f t="shared" si="44"/>
        <v>0.49997665214194048</v>
      </c>
      <c r="V102" s="12">
        <f t="shared" si="45"/>
        <v>0.41944531499509508</v>
      </c>
      <c r="W102" s="12">
        <f t="shared" si="46"/>
        <v>0.53832770997069002</v>
      </c>
      <c r="X102">
        <f t="shared" si="47"/>
        <v>0.49</v>
      </c>
    </row>
    <row r="103" spans="12:24" ht="15" customHeight="1" x14ac:dyDescent="0.45">
      <c r="L103" s="9">
        <v>99</v>
      </c>
      <c r="M103" s="17">
        <v>10.5</v>
      </c>
      <c r="N103" s="11">
        <f t="shared" si="37"/>
        <v>2.3513752571634776</v>
      </c>
      <c r="O103" s="10">
        <f t="shared" si="38"/>
        <v>3.96</v>
      </c>
      <c r="P103" s="12">
        <f t="shared" si="39"/>
        <v>0.50456521069388416</v>
      </c>
      <c r="Q103" s="12">
        <f t="shared" si="40"/>
        <v>-9.565210693884163E-3</v>
      </c>
      <c r="R103" s="12">
        <f t="shared" si="41"/>
        <v>1.4565210693884167E-2</v>
      </c>
      <c r="S103" s="11">
        <f t="shared" si="42"/>
        <v>-277.33032988863647</v>
      </c>
      <c r="T103" s="12">
        <f t="shared" si="43"/>
        <v>0.58492521192126601</v>
      </c>
      <c r="U103" s="12">
        <f t="shared" si="44"/>
        <v>0.50456521069388416</v>
      </c>
      <c r="V103" s="12">
        <f t="shared" si="45"/>
        <v>0.42360511093992603</v>
      </c>
      <c r="W103" s="12">
        <f t="shared" si="46"/>
        <v>0.54285317085704443</v>
      </c>
      <c r="X103">
        <f t="shared" si="47"/>
        <v>0.495</v>
      </c>
    </row>
    <row r="104" spans="12:24" ht="15" customHeight="1" x14ac:dyDescent="0.45">
      <c r="L104" s="9">
        <v>100</v>
      </c>
      <c r="M104" s="17">
        <v>7.4</v>
      </c>
      <c r="N104" s="11">
        <f t="shared" si="37"/>
        <v>2.0014800002101243</v>
      </c>
      <c r="O104" s="10">
        <f t="shared" si="38"/>
        <v>3.99</v>
      </c>
      <c r="P104" s="12">
        <f t="shared" si="39"/>
        <v>0.50912976298618939</v>
      </c>
      <c r="Q104" s="12">
        <f t="shared" si="40"/>
        <v>-9.1297629861893936E-3</v>
      </c>
      <c r="R104" s="12">
        <f t="shared" si="41"/>
        <v>1.4129762986189398E-2</v>
      </c>
      <c r="S104" s="11">
        <f t="shared" si="42"/>
        <v>-277.36208851180493</v>
      </c>
      <c r="T104" s="12">
        <f t="shared" si="43"/>
        <v>0.58768097648323225</v>
      </c>
      <c r="U104" s="12">
        <f t="shared" si="44"/>
        <v>0.50912976298618939</v>
      </c>
      <c r="V104" s="12">
        <f t="shared" si="45"/>
        <v>0.42777343836406073</v>
      </c>
      <c r="W104" s="12">
        <f t="shared" si="46"/>
        <v>0.54733899085810656</v>
      </c>
      <c r="X104">
        <f t="shared" si="47"/>
        <v>0.5</v>
      </c>
    </row>
    <row r="105" spans="12:24" ht="15" customHeight="1" x14ac:dyDescent="0.45">
      <c r="L105" s="9">
        <v>101</v>
      </c>
      <c r="M105" s="17">
        <v>7.45</v>
      </c>
      <c r="N105" s="11">
        <f t="shared" si="37"/>
        <v>2.0082140323914683</v>
      </c>
      <c r="O105" s="10">
        <f t="shared" si="38"/>
        <v>4.01</v>
      </c>
      <c r="P105" s="12">
        <f t="shared" si="39"/>
        <v>0.51215932484079496</v>
      </c>
      <c r="Q105" s="12">
        <f t="shared" si="40"/>
        <v>-7.1593248407949561E-3</v>
      </c>
      <c r="R105" s="12">
        <f t="shared" si="41"/>
        <v>1.2159324840794961E-2</v>
      </c>
      <c r="S105" s="11">
        <f t="shared" si="42"/>
        <v>-277.32853966650254</v>
      </c>
      <c r="T105" s="12">
        <f t="shared" si="43"/>
        <v>0.58950798085840772</v>
      </c>
      <c r="U105" s="12">
        <f t="shared" si="44"/>
        <v>0.51215932484079496</v>
      </c>
      <c r="V105" s="12">
        <f t="shared" si="45"/>
        <v>0.43055683856593863</v>
      </c>
      <c r="W105" s="12">
        <f t="shared" si="46"/>
        <v>0.5503075508633537</v>
      </c>
      <c r="X105">
        <f t="shared" si="47"/>
        <v>0.505</v>
      </c>
    </row>
    <row r="106" spans="12:24" ht="15" customHeight="1" x14ac:dyDescent="0.45">
      <c r="L106" s="9">
        <v>102</v>
      </c>
      <c r="M106" s="17">
        <v>10.34</v>
      </c>
      <c r="N106" s="11">
        <f t="shared" si="37"/>
        <v>2.3360198690802831</v>
      </c>
      <c r="O106" s="10">
        <f t="shared" si="38"/>
        <v>4.05</v>
      </c>
      <c r="P106" s="12">
        <f t="shared" si="39"/>
        <v>0.51818576119290283</v>
      </c>
      <c r="Q106" s="12">
        <f t="shared" si="40"/>
        <v>-8.1857611929028185E-3</v>
      </c>
      <c r="R106" s="12">
        <f t="shared" si="41"/>
        <v>1.3185761192902823E-2</v>
      </c>
      <c r="S106" s="11">
        <f t="shared" si="42"/>
        <v>-277.30529946813078</v>
      </c>
      <c r="T106" s="12">
        <f t="shared" si="43"/>
        <v>0.59313773886163301</v>
      </c>
      <c r="U106" s="12">
        <f t="shared" si="44"/>
        <v>0.51818576119290283</v>
      </c>
      <c r="V106" s="12">
        <f t="shared" si="45"/>
        <v>0.43613386591255787</v>
      </c>
      <c r="W106" s="12">
        <f t="shared" si="46"/>
        <v>0.55619201682289454</v>
      </c>
      <c r="X106">
        <f t="shared" si="47"/>
        <v>0.51</v>
      </c>
    </row>
    <row r="107" spans="12:24" ht="15" customHeight="1" x14ac:dyDescent="0.45">
      <c r="L107" s="9">
        <v>103</v>
      </c>
      <c r="M107" s="17">
        <v>1.02</v>
      </c>
      <c r="N107" s="11">
        <f t="shared" si="37"/>
        <v>1.980262729617973E-2</v>
      </c>
      <c r="O107" s="10">
        <f t="shared" si="38"/>
        <v>4.08</v>
      </c>
      <c r="P107" s="12">
        <f t="shared" si="39"/>
        <v>0.52267669227801183</v>
      </c>
      <c r="Q107" s="12">
        <f t="shared" si="40"/>
        <v>-7.6766922780118207E-3</v>
      </c>
      <c r="R107" s="12">
        <f t="shared" si="41"/>
        <v>1.2676692278011825E-2</v>
      </c>
      <c r="S107" s="11">
        <f t="shared" si="42"/>
        <v>-277.21683660680827</v>
      </c>
      <c r="T107" s="12">
        <f t="shared" si="43"/>
        <v>0.59583897881416381</v>
      </c>
      <c r="U107" s="12">
        <f t="shared" si="44"/>
        <v>0.52267669227801183</v>
      </c>
      <c r="V107" s="12">
        <f t="shared" si="45"/>
        <v>0.44032504854504773</v>
      </c>
      <c r="W107" s="12">
        <f t="shared" si="46"/>
        <v>0.56055940753014422</v>
      </c>
      <c r="X107">
        <f t="shared" si="47"/>
        <v>0.51500000000000001</v>
      </c>
    </row>
    <row r="108" spans="12:24" ht="15" customHeight="1" x14ac:dyDescent="0.45">
      <c r="L108" s="9">
        <v>104</v>
      </c>
      <c r="M108" s="17">
        <v>1.98</v>
      </c>
      <c r="N108" s="11">
        <f t="shared" si="37"/>
        <v>0.68309684470644383</v>
      </c>
      <c r="O108" s="10">
        <f t="shared" si="38"/>
        <v>4.09</v>
      </c>
      <c r="P108" s="12">
        <f t="shared" si="39"/>
        <v>0.52416811722560097</v>
      </c>
      <c r="Q108" s="12">
        <f t="shared" si="40"/>
        <v>-4.1681172256009535E-3</v>
      </c>
      <c r="R108" s="12">
        <f t="shared" si="41"/>
        <v>9.168117225600958E-3</v>
      </c>
      <c r="S108" s="11">
        <f t="shared" si="42"/>
        <v>-277.04946222038399</v>
      </c>
      <c r="T108" s="12">
        <f t="shared" si="43"/>
        <v>0.59673540088601429</v>
      </c>
      <c r="U108" s="12">
        <f t="shared" si="44"/>
        <v>0.52416811722560097</v>
      </c>
      <c r="V108" s="12">
        <f t="shared" si="45"/>
        <v>0.44172362050236158</v>
      </c>
      <c r="W108" s="12">
        <f t="shared" si="46"/>
        <v>0.56200647147579008</v>
      </c>
      <c r="X108">
        <f t="shared" si="47"/>
        <v>0.52</v>
      </c>
    </row>
    <row r="109" spans="12:24" ht="15" customHeight="1" x14ac:dyDescent="0.45">
      <c r="L109" s="9">
        <v>105</v>
      </c>
      <c r="M109" s="17">
        <v>7.31</v>
      </c>
      <c r="N109" s="11">
        <f t="shared" si="37"/>
        <v>1.9892432737616872</v>
      </c>
      <c r="O109" s="10">
        <f t="shared" si="38"/>
        <v>4.0999999999999996</v>
      </c>
      <c r="P109" s="12">
        <f t="shared" si="39"/>
        <v>0.52565675163296932</v>
      </c>
      <c r="Q109" s="12">
        <f t="shared" si="40"/>
        <v>-6.5675163296929906E-4</v>
      </c>
      <c r="R109" s="12">
        <f t="shared" si="41"/>
        <v>5.6567516329693035E-3</v>
      </c>
      <c r="S109" s="11">
        <f t="shared" si="42"/>
        <v>-276.86172685966886</v>
      </c>
      <c r="T109" s="12">
        <f t="shared" si="43"/>
        <v>0.59762983470939735</v>
      </c>
      <c r="U109" s="12">
        <f t="shared" si="44"/>
        <v>0.52565675163296932</v>
      </c>
      <c r="V109" s="12">
        <f t="shared" si="45"/>
        <v>0.44312291938275894</v>
      </c>
      <c r="W109" s="12">
        <f t="shared" si="46"/>
        <v>0.56344917604201661</v>
      </c>
      <c r="X109">
        <f t="shared" si="47"/>
        <v>0.52500000000000002</v>
      </c>
    </row>
    <row r="110" spans="12:24" ht="15" customHeight="1" x14ac:dyDescent="0.45">
      <c r="L110" s="9">
        <v>106</v>
      </c>
      <c r="M110" s="17">
        <v>0.62</v>
      </c>
      <c r="N110" s="11">
        <f t="shared" si="37"/>
        <v>-0.4780358009429998</v>
      </c>
      <c r="O110" s="10">
        <f t="shared" si="38"/>
        <v>4.1399999999999997</v>
      </c>
      <c r="P110" s="12">
        <f t="shared" si="39"/>
        <v>0.53158321593500768</v>
      </c>
      <c r="Q110" s="12">
        <f t="shared" si="40"/>
        <v>-1.5832159350076536E-3</v>
      </c>
      <c r="R110" s="12">
        <f t="shared" si="41"/>
        <v>6.583215935007658E-3</v>
      </c>
      <c r="S110" s="11">
        <f t="shared" si="42"/>
        <v>-276.66695391554629</v>
      </c>
      <c r="T110" s="12">
        <f t="shared" si="43"/>
        <v>0.60118777556967706</v>
      </c>
      <c r="U110" s="12">
        <f t="shared" si="44"/>
        <v>0.53158321593500768</v>
      </c>
      <c r="V110" s="12">
        <f t="shared" si="45"/>
        <v>0.44872703951496012</v>
      </c>
      <c r="W110" s="12">
        <f t="shared" si="46"/>
        <v>0.56917649152916072</v>
      </c>
      <c r="X110">
        <f t="shared" si="47"/>
        <v>0.53</v>
      </c>
    </row>
    <row r="111" spans="12:24" ht="15" customHeight="1" x14ac:dyDescent="0.45">
      <c r="L111" s="9">
        <v>107</v>
      </c>
      <c r="M111" s="17">
        <v>4.47</v>
      </c>
      <c r="N111" s="11">
        <f t="shared" si="37"/>
        <v>1.4973884086254774</v>
      </c>
      <c r="O111" s="10">
        <f t="shared" si="38"/>
        <v>4.16</v>
      </c>
      <c r="P111" s="12">
        <f t="shared" si="39"/>
        <v>0.53452949026599572</v>
      </c>
      <c r="Q111" s="12">
        <f t="shared" si="40"/>
        <v>4.7050973400430962E-4</v>
      </c>
      <c r="R111" s="12">
        <f t="shared" si="41"/>
        <v>4.5294902659956948E-3</v>
      </c>
      <c r="S111" s="11">
        <f t="shared" si="42"/>
        <v>-276.4165864374379</v>
      </c>
      <c r="T111" s="12">
        <f t="shared" si="43"/>
        <v>0.60295493070283834</v>
      </c>
      <c r="U111" s="12">
        <f t="shared" si="44"/>
        <v>0.53452949026599572</v>
      </c>
      <c r="V111" s="12">
        <f t="shared" si="45"/>
        <v>0.45153301239439558</v>
      </c>
      <c r="W111" s="12">
        <f t="shared" si="46"/>
        <v>0.57201411481199405</v>
      </c>
      <c r="X111">
        <f t="shared" si="47"/>
        <v>0.53500000000000003</v>
      </c>
    </row>
    <row r="112" spans="12:24" ht="15" customHeight="1" x14ac:dyDescent="0.45">
      <c r="L112" s="9">
        <v>108</v>
      </c>
      <c r="M112" s="17">
        <v>4.45</v>
      </c>
      <c r="N112" s="11">
        <f t="shared" si="37"/>
        <v>1.4929040961781488</v>
      </c>
      <c r="O112" s="10">
        <f t="shared" si="38"/>
        <v>4.17</v>
      </c>
      <c r="P112" s="12">
        <f t="shared" si="39"/>
        <v>0.5359983604405355</v>
      </c>
      <c r="Q112" s="12">
        <f t="shared" si="40"/>
        <v>4.0016395594645315E-3</v>
      </c>
      <c r="R112" s="12">
        <f t="shared" si="41"/>
        <v>9.983604405354729E-4</v>
      </c>
      <c r="S112" s="11">
        <f t="shared" si="42"/>
        <v>-276.13462875838377</v>
      </c>
      <c r="T112" s="12">
        <f t="shared" si="43"/>
        <v>0.60383556971793451</v>
      </c>
      <c r="U112" s="12">
        <f t="shared" si="44"/>
        <v>0.5359983604405355</v>
      </c>
      <c r="V112" s="12">
        <f t="shared" si="45"/>
        <v>0.45293691637752737</v>
      </c>
      <c r="W112" s="12">
        <f t="shared" si="46"/>
        <v>0.57342643548687322</v>
      </c>
      <c r="X112">
        <f t="shared" si="47"/>
        <v>0.54</v>
      </c>
    </row>
    <row r="113" spans="12:24" ht="15" customHeight="1" x14ac:dyDescent="0.45">
      <c r="L113" s="9">
        <v>109</v>
      </c>
      <c r="M113" s="17">
        <v>1.23</v>
      </c>
      <c r="N113" s="11">
        <f t="shared" si="37"/>
        <v>0.20701416938432612</v>
      </c>
      <c r="O113" s="10">
        <f t="shared" si="38"/>
        <v>4.1900000000000004</v>
      </c>
      <c r="P113" s="12">
        <f t="shared" si="39"/>
        <v>0.53892752892946483</v>
      </c>
      <c r="Q113" s="12">
        <f t="shared" si="40"/>
        <v>6.0724710705352125E-3</v>
      </c>
      <c r="R113" s="12">
        <f t="shared" si="41"/>
        <v>-1.0724710705352081E-3</v>
      </c>
      <c r="S113" s="11">
        <f t="shared" si="42"/>
        <v>-275.8224033821017</v>
      </c>
      <c r="T113" s="12">
        <f t="shared" si="43"/>
        <v>0.60559099235461233</v>
      </c>
      <c r="U113" s="12">
        <f t="shared" si="44"/>
        <v>0.53892752892946483</v>
      </c>
      <c r="V113" s="12">
        <f t="shared" si="45"/>
        <v>0.45574647251215789</v>
      </c>
      <c r="W113" s="12">
        <f t="shared" si="46"/>
        <v>0.57623812143126218</v>
      </c>
      <c r="X113">
        <f t="shared" si="47"/>
        <v>0.54500000000000004</v>
      </c>
    </row>
    <row r="114" spans="12:24" ht="15" customHeight="1" x14ac:dyDescent="0.45">
      <c r="L114" s="9">
        <v>110</v>
      </c>
      <c r="M114" s="17">
        <v>2.06</v>
      </c>
      <c r="N114" s="11">
        <f t="shared" si="37"/>
        <v>0.72270598280148979</v>
      </c>
      <c r="O114" s="10">
        <f t="shared" si="38"/>
        <v>4.22</v>
      </c>
      <c r="P114" s="12">
        <f t="shared" si="39"/>
        <v>0.54329974220553845</v>
      </c>
      <c r="Q114" s="12">
        <f t="shared" si="40"/>
        <v>6.7002577944615949E-3</v>
      </c>
      <c r="R114" s="12">
        <f t="shared" si="41"/>
        <v>-1.7002577944615904E-3</v>
      </c>
      <c r="S114" s="11">
        <f t="shared" si="42"/>
        <v>-275.4653748547272</v>
      </c>
      <c r="T114" s="12">
        <f t="shared" si="43"/>
        <v>0.60820955266568388</v>
      </c>
      <c r="U114" s="12">
        <f t="shared" si="44"/>
        <v>0.54329974220553845</v>
      </c>
      <c r="V114" s="12">
        <f t="shared" si="45"/>
        <v>0.45996491572894849</v>
      </c>
      <c r="W114" s="12">
        <f t="shared" si="46"/>
        <v>0.58042334478126811</v>
      </c>
      <c r="X114">
        <f t="shared" si="47"/>
        <v>0.55000000000000004</v>
      </c>
    </row>
    <row r="115" spans="12:24" ht="15" customHeight="1" x14ac:dyDescent="0.45">
      <c r="L115" s="9">
        <v>111</v>
      </c>
      <c r="M115" s="17">
        <v>6</v>
      </c>
      <c r="N115" s="11">
        <f t="shared" si="37"/>
        <v>1.791759469228055</v>
      </c>
      <c r="O115" s="10">
        <f t="shared" si="38"/>
        <v>4.2300000000000004</v>
      </c>
      <c r="P115" s="12">
        <f t="shared" si="39"/>
        <v>0.54475137437606258</v>
      </c>
      <c r="Q115" s="12">
        <f t="shared" si="40"/>
        <v>1.0248625623937468E-2</v>
      </c>
      <c r="R115" s="12">
        <f t="shared" si="41"/>
        <v>-5.248625623937464E-3</v>
      </c>
      <c r="S115" s="11">
        <f t="shared" si="42"/>
        <v>-275.09827056844904</v>
      </c>
      <c r="T115" s="12">
        <f t="shared" si="43"/>
        <v>0.60907853702122661</v>
      </c>
      <c r="U115" s="12">
        <f t="shared" si="44"/>
        <v>0.54475137437606258</v>
      </c>
      <c r="V115" s="12">
        <f t="shared" si="45"/>
        <v>0.46137208935322738</v>
      </c>
      <c r="W115" s="12">
        <f t="shared" si="46"/>
        <v>0.58180982729302833</v>
      </c>
      <c r="X115">
        <f t="shared" si="47"/>
        <v>0.55500000000000005</v>
      </c>
    </row>
    <row r="116" spans="12:24" ht="15" customHeight="1" x14ac:dyDescent="0.45">
      <c r="L116" s="9">
        <v>112</v>
      </c>
      <c r="M116" s="17">
        <v>5.64</v>
      </c>
      <c r="N116" s="11">
        <f t="shared" si="37"/>
        <v>1.7298840655099674</v>
      </c>
      <c r="O116" s="10">
        <f t="shared" si="38"/>
        <v>4.25</v>
      </c>
      <c r="P116" s="12">
        <f t="shared" si="39"/>
        <v>0.54764593922959337</v>
      </c>
      <c r="Q116" s="12">
        <f t="shared" si="40"/>
        <v>1.2354060770406683E-2</v>
      </c>
      <c r="R116" s="12">
        <f t="shared" si="41"/>
        <v>-7.3540607704066785E-3</v>
      </c>
      <c r="S116" s="11">
        <f t="shared" si="42"/>
        <v>-274.68650939526384</v>
      </c>
      <c r="T116" s="12">
        <f t="shared" si="43"/>
        <v>0.61081072783095558</v>
      </c>
      <c r="U116" s="12">
        <f t="shared" si="44"/>
        <v>0.54764593922959337</v>
      </c>
      <c r="V116" s="12">
        <f t="shared" si="45"/>
        <v>0.46418787041967818</v>
      </c>
      <c r="W116" s="12">
        <f t="shared" si="46"/>
        <v>0.58456993999082552</v>
      </c>
      <c r="X116">
        <f t="shared" si="47"/>
        <v>0.56000000000000005</v>
      </c>
    </row>
    <row r="117" spans="12:24" ht="15" customHeight="1" x14ac:dyDescent="0.45">
      <c r="L117" s="9">
        <v>113</v>
      </c>
      <c r="M117" s="17">
        <v>2.67</v>
      </c>
      <c r="N117" s="11">
        <f t="shared" si="37"/>
        <v>0.98207847241215818</v>
      </c>
      <c r="O117" s="10">
        <f t="shared" si="38"/>
        <v>4.3099999999999996</v>
      </c>
      <c r="P117" s="12">
        <f t="shared" si="39"/>
        <v>0.55625957100744661</v>
      </c>
      <c r="Q117" s="12">
        <f t="shared" si="40"/>
        <v>8.7404289925533396E-3</v>
      </c>
      <c r="R117" s="12">
        <f t="shared" si="41"/>
        <v>-3.7404289925534462E-3</v>
      </c>
      <c r="S117" s="11">
        <f t="shared" si="42"/>
        <v>-274.15726755864807</v>
      </c>
      <c r="T117" s="12">
        <f t="shared" si="43"/>
        <v>0.61596138365162467</v>
      </c>
      <c r="U117" s="12">
        <f t="shared" si="44"/>
        <v>0.55625957100744661</v>
      </c>
      <c r="V117" s="12">
        <f t="shared" si="45"/>
        <v>0.4726454202561069</v>
      </c>
      <c r="W117" s="12">
        <f t="shared" si="46"/>
        <v>0.59274790806522415</v>
      </c>
      <c r="X117">
        <f t="shared" si="47"/>
        <v>0.56499999999999995</v>
      </c>
    </row>
    <row r="118" spans="12:24" ht="15" customHeight="1" x14ac:dyDescent="0.45">
      <c r="L118" s="9">
        <v>114</v>
      </c>
      <c r="M118" s="17">
        <v>2.21</v>
      </c>
      <c r="N118" s="11">
        <f t="shared" si="37"/>
        <v>0.79299251552966143</v>
      </c>
      <c r="O118" s="10">
        <f t="shared" si="38"/>
        <v>4.32</v>
      </c>
      <c r="P118" s="12">
        <f t="shared" si="39"/>
        <v>0.55768489387625308</v>
      </c>
      <c r="Q118" s="12">
        <f t="shared" si="40"/>
        <v>1.2315106123746866E-2</v>
      </c>
      <c r="R118" s="12">
        <f t="shared" si="41"/>
        <v>-7.3151061237468618E-3</v>
      </c>
      <c r="S118" s="11">
        <f t="shared" si="42"/>
        <v>-273.68095262394513</v>
      </c>
      <c r="T118" s="12">
        <f t="shared" si="43"/>
        <v>0.61681317458170359</v>
      </c>
      <c r="U118" s="12">
        <f t="shared" si="44"/>
        <v>0.55768489387625308</v>
      </c>
      <c r="V118" s="12">
        <f t="shared" si="45"/>
        <v>0.47405631562866007</v>
      </c>
      <c r="W118" s="12">
        <f t="shared" si="46"/>
        <v>0.59409604170591934</v>
      </c>
      <c r="X118">
        <f t="shared" si="47"/>
        <v>0.56999999999999995</v>
      </c>
    </row>
    <row r="119" spans="12:24" ht="15" customHeight="1" x14ac:dyDescent="0.45">
      <c r="L119" s="9">
        <v>115</v>
      </c>
      <c r="M119" s="17">
        <v>2.41</v>
      </c>
      <c r="N119" s="11">
        <f t="shared" si="37"/>
        <v>0.87962674750256364</v>
      </c>
      <c r="O119" s="10">
        <f t="shared" si="38"/>
        <v>4.34</v>
      </c>
      <c r="P119" s="12">
        <f t="shared" si="39"/>
        <v>0.56052667336251216</v>
      </c>
      <c r="Q119" s="12">
        <f t="shared" si="40"/>
        <v>1.4473326637487793E-2</v>
      </c>
      <c r="R119" s="12">
        <f t="shared" si="41"/>
        <v>-9.4733266374877889E-3</v>
      </c>
      <c r="S119" s="11">
        <f t="shared" si="42"/>
        <v>-273.15564626532966</v>
      </c>
      <c r="T119" s="12">
        <f t="shared" si="43"/>
        <v>0.61851109286007377</v>
      </c>
      <c r="U119" s="12">
        <f t="shared" si="44"/>
        <v>0.56052667336251216</v>
      </c>
      <c r="V119" s="12">
        <f t="shared" si="45"/>
        <v>0.47687906516297901</v>
      </c>
      <c r="W119" s="12">
        <f t="shared" si="46"/>
        <v>0.59677963143170776</v>
      </c>
      <c r="X119">
        <f t="shared" si="47"/>
        <v>0.57499999999999996</v>
      </c>
    </row>
    <row r="120" spans="12:24" x14ac:dyDescent="0.45">
      <c r="L120" s="9">
        <v>116</v>
      </c>
      <c r="M120" s="17">
        <v>5.41</v>
      </c>
      <c r="N120" s="11">
        <f t="shared" si="37"/>
        <v>1.6882490928583902</v>
      </c>
      <c r="O120" s="10">
        <f t="shared" si="38"/>
        <v>4.3600000000000003</v>
      </c>
      <c r="P120" s="12">
        <f t="shared" si="39"/>
        <v>0.56335659423532958</v>
      </c>
      <c r="Q120" s="12">
        <f t="shared" si="40"/>
        <v>1.6643405764670383E-2</v>
      </c>
      <c r="R120" s="12">
        <f t="shared" si="41"/>
        <v>-1.1643405764670378E-2</v>
      </c>
      <c r="S120" s="11">
        <f t="shared" si="42"/>
        <v>-272.59750368652544</v>
      </c>
      <c r="T120" s="12">
        <f t="shared" si="43"/>
        <v>0.62020148758520888</v>
      </c>
      <c r="U120" s="12">
        <f t="shared" si="44"/>
        <v>0.56335659423532958</v>
      </c>
      <c r="V120" s="12">
        <f t="shared" si="45"/>
        <v>0.47970297530063888</v>
      </c>
      <c r="W120" s="12">
        <f t="shared" si="46"/>
        <v>0.59944636414023922</v>
      </c>
      <c r="X120">
        <f t="shared" si="47"/>
        <v>0.57999999999999996</v>
      </c>
    </row>
    <row r="121" spans="12:24" x14ac:dyDescent="0.45">
      <c r="L121" s="9">
        <v>117</v>
      </c>
      <c r="M121" s="17">
        <v>1.39</v>
      </c>
      <c r="N121" s="11">
        <f t="shared" si="37"/>
        <v>0.3293037471426003</v>
      </c>
      <c r="O121" s="10">
        <f t="shared" si="38"/>
        <v>4.37</v>
      </c>
      <c r="P121" s="12">
        <f t="shared" si="39"/>
        <v>0.56476709426428162</v>
      </c>
      <c r="Q121" s="12">
        <f t="shared" si="40"/>
        <v>2.0232905735718343E-2</v>
      </c>
      <c r="R121" s="12">
        <f t="shared" si="41"/>
        <v>-1.5232905735718338E-2</v>
      </c>
      <c r="S121" s="11">
        <f t="shared" si="42"/>
        <v>-272.0456062404719</v>
      </c>
      <c r="T121" s="12">
        <f t="shared" si="43"/>
        <v>0.62104387403896832</v>
      </c>
      <c r="U121" s="12">
        <f t="shared" si="44"/>
        <v>0.56476709426428162</v>
      </c>
      <c r="V121" s="12">
        <f t="shared" si="45"/>
        <v>0.48111532138640473</v>
      </c>
      <c r="W121" s="12">
        <f t="shared" si="46"/>
        <v>0.60077342682033752</v>
      </c>
      <c r="X121">
        <f t="shared" si="47"/>
        <v>0.58499999999999996</v>
      </c>
    </row>
    <row r="122" spans="12:24" x14ac:dyDescent="0.45">
      <c r="L122" s="9">
        <v>118</v>
      </c>
      <c r="M122" s="17">
        <v>4.08</v>
      </c>
      <c r="N122" s="11">
        <f t="shared" si="37"/>
        <v>1.4060969884160703</v>
      </c>
      <c r="O122" s="10">
        <f t="shared" si="38"/>
        <v>4.4000000000000004</v>
      </c>
      <c r="P122" s="12">
        <f t="shared" si="39"/>
        <v>0.56898069096725723</v>
      </c>
      <c r="Q122" s="12">
        <f t="shared" si="40"/>
        <v>2.1019309032742739E-2</v>
      </c>
      <c r="R122" s="12">
        <f t="shared" si="41"/>
        <v>-1.6019309032742735E-2</v>
      </c>
      <c r="S122" s="11">
        <f t="shared" si="42"/>
        <v>-271.38295765016977</v>
      </c>
      <c r="T122" s="12">
        <f t="shared" si="43"/>
        <v>0.62355983957688321</v>
      </c>
      <c r="U122" s="12">
        <f t="shared" si="44"/>
        <v>0.56898069096725723</v>
      </c>
      <c r="V122" s="12">
        <f t="shared" si="45"/>
        <v>0.48535371127327243</v>
      </c>
      <c r="W122" s="12">
        <f t="shared" si="46"/>
        <v>0.60472948708087282</v>
      </c>
      <c r="X122">
        <f t="shared" si="47"/>
        <v>0.59</v>
      </c>
    </row>
    <row r="123" spans="12:24" x14ac:dyDescent="0.45">
      <c r="L123" s="9">
        <v>119</v>
      </c>
      <c r="M123" s="17">
        <v>1.31</v>
      </c>
      <c r="N123" s="11">
        <f t="shared" si="37"/>
        <v>0.27002713721306021</v>
      </c>
      <c r="O123" s="10">
        <f t="shared" si="38"/>
        <v>4.45</v>
      </c>
      <c r="P123" s="12">
        <f t="shared" si="39"/>
        <v>0.57594338362441722</v>
      </c>
      <c r="Q123" s="12">
        <f t="shared" si="40"/>
        <v>1.9056616375582758E-2</v>
      </c>
      <c r="R123" s="12">
        <f t="shared" si="41"/>
        <v>-1.4056616375582753E-2</v>
      </c>
      <c r="S123" s="11">
        <f t="shared" si="42"/>
        <v>-270.59957542502957</v>
      </c>
      <c r="T123" s="12">
        <f t="shared" si="43"/>
        <v>0.62771605027294819</v>
      </c>
      <c r="U123" s="12">
        <f t="shared" si="44"/>
        <v>0.57594338362441722</v>
      </c>
      <c r="V123" s="12">
        <f t="shared" si="45"/>
        <v>0.49242113633979201</v>
      </c>
      <c r="W123" s="12">
        <f t="shared" si="46"/>
        <v>0.61123960872052729</v>
      </c>
      <c r="X123">
        <f t="shared" si="47"/>
        <v>0.59499999999999997</v>
      </c>
    </row>
    <row r="124" spans="12:24" x14ac:dyDescent="0.45">
      <c r="L124" s="9">
        <v>120</v>
      </c>
      <c r="M124" s="17">
        <v>6.91</v>
      </c>
      <c r="N124" s="11">
        <f t="shared" si="37"/>
        <v>1.9329696377795786</v>
      </c>
      <c r="O124" s="10">
        <f t="shared" si="38"/>
        <v>4.45</v>
      </c>
      <c r="P124" s="12">
        <f t="shared" si="39"/>
        <v>0.57594338362441722</v>
      </c>
      <c r="Q124" s="12">
        <f t="shared" si="40"/>
        <v>2.4056616375582762E-2</v>
      </c>
      <c r="R124" s="12">
        <f t="shared" si="41"/>
        <v>-1.9056616375582758E-2</v>
      </c>
      <c r="S124" s="11">
        <f t="shared" si="42"/>
        <v>-269.98729064894815</v>
      </c>
      <c r="T124" s="12">
        <f t="shared" si="43"/>
        <v>0.62771605027294819</v>
      </c>
      <c r="U124" s="12">
        <f t="shared" si="44"/>
        <v>0.57594338362441722</v>
      </c>
      <c r="V124" s="12">
        <f t="shared" si="45"/>
        <v>0.49242113633979201</v>
      </c>
      <c r="W124" s="12">
        <f t="shared" si="46"/>
        <v>0.61123960872052729</v>
      </c>
      <c r="X124">
        <f t="shared" si="47"/>
        <v>0.6</v>
      </c>
    </row>
    <row r="125" spans="12:24" x14ac:dyDescent="0.45">
      <c r="L125" s="9">
        <v>121</v>
      </c>
      <c r="M125" s="17">
        <v>4.58</v>
      </c>
      <c r="N125" s="11">
        <f t="shared" si="37"/>
        <v>1.5216989981260935</v>
      </c>
      <c r="O125" s="10">
        <f t="shared" si="38"/>
        <v>4.47</v>
      </c>
      <c r="P125" s="12">
        <f t="shared" si="39"/>
        <v>0.57870736565482483</v>
      </c>
      <c r="Q125" s="12">
        <f t="shared" si="40"/>
        <v>2.6292634345175148E-2</v>
      </c>
      <c r="R125" s="12">
        <f t="shared" si="41"/>
        <v>-2.1292634345175143E-2</v>
      </c>
      <c r="S125" s="11">
        <f t="shared" si="42"/>
        <v>-269.26094789074114</v>
      </c>
      <c r="T125" s="12">
        <f t="shared" si="43"/>
        <v>0.62936565741248207</v>
      </c>
      <c r="U125" s="12">
        <f t="shared" si="44"/>
        <v>0.57870736565482483</v>
      </c>
      <c r="V125" s="12">
        <f t="shared" si="45"/>
        <v>0.49524889704997743</v>
      </c>
      <c r="W125" s="12">
        <f t="shared" si="46"/>
        <v>0.61381467665216149</v>
      </c>
      <c r="X125">
        <f t="shared" si="47"/>
        <v>0.60499999999999998</v>
      </c>
    </row>
    <row r="126" spans="12:24" x14ac:dyDescent="0.45">
      <c r="L126" s="9">
        <v>122</v>
      </c>
      <c r="M126" s="17">
        <v>8.6999999999999993</v>
      </c>
      <c r="N126" s="11">
        <f t="shared" si="37"/>
        <v>2.1633230256605378</v>
      </c>
      <c r="O126" s="10">
        <f t="shared" si="38"/>
        <v>4.4800000000000004</v>
      </c>
      <c r="P126" s="12">
        <f t="shared" si="39"/>
        <v>0.58008481929560096</v>
      </c>
      <c r="Q126" s="12">
        <f t="shared" si="40"/>
        <v>2.9915180704399025E-2</v>
      </c>
      <c r="R126" s="12">
        <f t="shared" si="41"/>
        <v>-2.491518070439902E-2</v>
      </c>
      <c r="S126" s="11">
        <f t="shared" si="42"/>
        <v>-268.56246846256295</v>
      </c>
      <c r="T126" s="12">
        <f t="shared" si="43"/>
        <v>0.63018771789794503</v>
      </c>
      <c r="U126" s="12">
        <f t="shared" si="44"/>
        <v>0.58008481929560096</v>
      </c>
      <c r="V126" s="12">
        <f t="shared" si="45"/>
        <v>0.49666287581648438</v>
      </c>
      <c r="W126" s="12">
        <f t="shared" si="46"/>
        <v>0.6150960318224965</v>
      </c>
      <c r="X126">
        <f t="shared" si="47"/>
        <v>0.61</v>
      </c>
    </row>
    <row r="127" spans="12:24" x14ac:dyDescent="0.45">
      <c r="L127" s="9">
        <v>123</v>
      </c>
      <c r="M127" s="17">
        <v>0.55000000000000004</v>
      </c>
      <c r="N127" s="11">
        <f t="shared" si="37"/>
        <v>-0.59783700075562041</v>
      </c>
      <c r="O127" s="10">
        <f t="shared" si="38"/>
        <v>4.5</v>
      </c>
      <c r="P127" s="12">
        <f t="shared" si="39"/>
        <v>0.58283063186976547</v>
      </c>
      <c r="Q127" s="12">
        <f t="shared" si="40"/>
        <v>3.2169368130234521E-2</v>
      </c>
      <c r="R127" s="12">
        <f t="shared" si="41"/>
        <v>-2.7169368130234517E-2</v>
      </c>
      <c r="S127" s="11">
        <f t="shared" si="42"/>
        <v>-267.77613038560685</v>
      </c>
      <c r="T127" s="12">
        <f t="shared" si="43"/>
        <v>0.63182637296564303</v>
      </c>
      <c r="U127" s="12">
        <f t="shared" si="44"/>
        <v>0.58283063186976547</v>
      </c>
      <c r="V127" s="12">
        <f t="shared" si="45"/>
        <v>0.49949094135986694</v>
      </c>
      <c r="W127" s="12">
        <f t="shared" si="46"/>
        <v>0.61764642458559327</v>
      </c>
      <c r="X127">
        <f t="shared" si="47"/>
        <v>0.61499999999999999</v>
      </c>
    </row>
    <row r="128" spans="12:24" x14ac:dyDescent="0.45">
      <c r="L128" s="9">
        <v>124</v>
      </c>
      <c r="M128" s="17">
        <v>0.74</v>
      </c>
      <c r="N128" s="11">
        <f t="shared" si="37"/>
        <v>-0.30110509278392161</v>
      </c>
      <c r="O128" s="10">
        <f t="shared" si="38"/>
        <v>4.51</v>
      </c>
      <c r="P128" s="12">
        <f t="shared" si="39"/>
        <v>0.58419898312771279</v>
      </c>
      <c r="Q128" s="12">
        <f t="shared" si="40"/>
        <v>3.5801016872287206E-2</v>
      </c>
      <c r="R128" s="12">
        <f t="shared" si="41"/>
        <v>-3.0801016872287201E-2</v>
      </c>
      <c r="S128" s="11">
        <f t="shared" si="42"/>
        <v>-267.0307805955141</v>
      </c>
      <c r="T128" s="12">
        <f t="shared" si="43"/>
        <v>0.6326429756270735</v>
      </c>
      <c r="U128" s="12">
        <f t="shared" si="44"/>
        <v>0.58419898312771279</v>
      </c>
      <c r="V128" s="12">
        <f t="shared" si="45"/>
        <v>0.50090499260742027</v>
      </c>
      <c r="W128" s="12">
        <f t="shared" si="46"/>
        <v>0.61891547837003802</v>
      </c>
      <c r="X128">
        <f t="shared" si="47"/>
        <v>0.62</v>
      </c>
    </row>
    <row r="129" spans="12:24" x14ac:dyDescent="0.45">
      <c r="L129" s="9">
        <v>125</v>
      </c>
      <c r="M129" s="17">
        <v>2.61</v>
      </c>
      <c r="N129" s="11">
        <f t="shared" si="37"/>
        <v>0.95935022133460202</v>
      </c>
      <c r="O129" s="10">
        <f t="shared" si="38"/>
        <v>4.5199999999999996</v>
      </c>
      <c r="P129" s="12">
        <f t="shared" si="39"/>
        <v>0.58556429275192445</v>
      </c>
      <c r="Q129" s="12">
        <f t="shared" si="40"/>
        <v>3.9435707248075547E-2</v>
      </c>
      <c r="R129" s="12">
        <f t="shared" si="41"/>
        <v>-3.4435707248075542E-2</v>
      </c>
      <c r="S129" s="11">
        <f t="shared" si="42"/>
        <v>-266.26609539490187</v>
      </c>
      <c r="T129" s="12">
        <f t="shared" si="43"/>
        <v>0.63345776707809209</v>
      </c>
      <c r="U129" s="12">
        <f t="shared" si="44"/>
        <v>0.58556429275192445</v>
      </c>
      <c r="V129" s="12">
        <f t="shared" si="45"/>
        <v>0.50231903248515208</v>
      </c>
      <c r="W129" s="12">
        <f t="shared" si="46"/>
        <v>0.62018044798462701</v>
      </c>
      <c r="X129">
        <f t="shared" si="47"/>
        <v>0.625</v>
      </c>
    </row>
    <row r="130" spans="12:24" x14ac:dyDescent="0.45">
      <c r="L130" s="9">
        <v>126</v>
      </c>
      <c r="M130" s="17">
        <v>9.56</v>
      </c>
      <c r="N130" s="11">
        <f t="shared" si="37"/>
        <v>2.25758772706331</v>
      </c>
      <c r="O130" s="10">
        <f t="shared" si="38"/>
        <v>4.55</v>
      </c>
      <c r="P130" s="12">
        <f t="shared" si="39"/>
        <v>0.58964193647142404</v>
      </c>
      <c r="Q130" s="12">
        <f t="shared" si="40"/>
        <v>4.035806352857596E-2</v>
      </c>
      <c r="R130" s="12">
        <f t="shared" si="41"/>
        <v>-3.5358063528575956E-2</v>
      </c>
      <c r="S130" s="11">
        <f t="shared" si="42"/>
        <v>-265.30624426101679</v>
      </c>
      <c r="T130" s="12">
        <f t="shared" si="43"/>
        <v>0.63589131429647572</v>
      </c>
      <c r="U130" s="12">
        <f t="shared" si="44"/>
        <v>0.58964193647142404</v>
      </c>
      <c r="V130" s="12">
        <f t="shared" si="45"/>
        <v>0.50656090625628769</v>
      </c>
      <c r="W130" s="12">
        <f t="shared" si="46"/>
        <v>0.62395093453902239</v>
      </c>
      <c r="X130">
        <f t="shared" si="47"/>
        <v>0.63</v>
      </c>
    </row>
    <row r="131" spans="12:24" x14ac:dyDescent="0.45">
      <c r="L131" s="9">
        <v>127</v>
      </c>
      <c r="M131" s="17">
        <v>1.72</v>
      </c>
      <c r="N131" s="11">
        <f t="shared" si="37"/>
        <v>0.54232429082536171</v>
      </c>
      <c r="O131" s="10">
        <f t="shared" si="38"/>
        <v>4.5599999999999996</v>
      </c>
      <c r="P131" s="12">
        <f t="shared" si="39"/>
        <v>0.59099504470584208</v>
      </c>
      <c r="Q131" s="12">
        <f t="shared" si="40"/>
        <v>4.4004955294157932E-2</v>
      </c>
      <c r="R131" s="12">
        <f t="shared" si="41"/>
        <v>-3.9004955294157928E-2</v>
      </c>
      <c r="S131" s="11">
        <f t="shared" si="42"/>
        <v>-264.48687157425582</v>
      </c>
      <c r="T131" s="12">
        <f t="shared" si="43"/>
        <v>0.63669890098917414</v>
      </c>
      <c r="U131" s="12">
        <f t="shared" si="44"/>
        <v>0.59099504470584208</v>
      </c>
      <c r="V131" s="12">
        <f t="shared" si="45"/>
        <v>0.50797472301977109</v>
      </c>
      <c r="W131" s="12">
        <f t="shared" si="46"/>
        <v>0.62519965048468973</v>
      </c>
      <c r="X131">
        <f t="shared" si="47"/>
        <v>0.63500000000000001</v>
      </c>
    </row>
    <row r="132" spans="12:24" x14ac:dyDescent="0.45">
      <c r="L132" s="9">
        <v>128</v>
      </c>
      <c r="M132" s="17">
        <v>8.59</v>
      </c>
      <c r="N132" s="11">
        <f t="shared" si="37"/>
        <v>2.150598735996164</v>
      </c>
      <c r="O132" s="10">
        <f t="shared" si="38"/>
        <v>4.58</v>
      </c>
      <c r="P132" s="12">
        <f t="shared" si="39"/>
        <v>0.59369208237747206</v>
      </c>
      <c r="Q132" s="12">
        <f t="shared" si="40"/>
        <v>4.630791762252795E-2</v>
      </c>
      <c r="R132" s="12">
        <f t="shared" si="41"/>
        <v>-4.1307917622527945E-2</v>
      </c>
      <c r="S132" s="11">
        <f t="shared" si="42"/>
        <v>-263.5489692459056</v>
      </c>
      <c r="T132" s="12">
        <f t="shared" si="43"/>
        <v>0.63830870470799739</v>
      </c>
      <c r="U132" s="12">
        <f t="shared" si="44"/>
        <v>0.59369208237747206</v>
      </c>
      <c r="V132" s="12">
        <f t="shared" si="45"/>
        <v>0.51080203826361825</v>
      </c>
      <c r="W132" s="12">
        <f t="shared" si="46"/>
        <v>0.62768496372917848</v>
      </c>
      <c r="X132">
        <f t="shared" si="47"/>
        <v>0.64</v>
      </c>
    </row>
    <row r="133" spans="12:24" x14ac:dyDescent="0.45">
      <c r="L133" s="9">
        <v>129</v>
      </c>
      <c r="M133" s="17">
        <v>4.4800000000000004</v>
      </c>
      <c r="N133" s="11">
        <f t="shared" ref="N133:N164" si="48">IF(M133&gt;0,LN(M133),"")</f>
        <v>1.4996230464268938</v>
      </c>
      <c r="O133" s="10">
        <f t="shared" ref="O133:O164" si="49">SMALL($M$5:$M$204,L133)</f>
        <v>4.58</v>
      </c>
      <c r="P133" s="12">
        <f t="shared" ref="P133:P164" si="50">CHOOSE($C$6,T133,U133,V133,W133)</f>
        <v>0.59369208237747206</v>
      </c>
      <c r="Q133" s="12">
        <f t="shared" ref="Q133:Q164" si="51">L133/$C$9-P133</f>
        <v>5.1307917622527954E-2</v>
      </c>
      <c r="R133" s="12">
        <f t="shared" ref="R133:R164" si="52">P133-(L133-1)/$C$9</f>
        <v>-4.630791762252795E-2</v>
      </c>
      <c r="S133" s="11">
        <f t="shared" ref="S133:S164" si="53">(2*L133-1)*LN(P133)+(2*$C$9+1-2*L133)*LN(1-P133)</f>
        <v>-262.79047021553822</v>
      </c>
      <c r="T133" s="12">
        <f t="shared" ref="T133:T164" si="54">MIN(1-0.000000000001,MAX(0.000000000001,1-EXP(-(O133)/$C$10)))</f>
        <v>0.63830870470799739</v>
      </c>
      <c r="U133" s="12">
        <f t="shared" ref="U133:U164" si="55">MIN(1-0.000000000001,MAX(0.000000000001,_xlfn.GAMMA.DIST(O133,$C$12,$C$13,TRUE)))</f>
        <v>0.59369208237747206</v>
      </c>
      <c r="V133" s="12">
        <f t="shared" ref="V133:V164" si="56">MIN(1-0.000000000001,MAX(0.000000000001,_xlfn.NORM.DIST(O133,$C$10,$C$11,TRUE)))</f>
        <v>0.51080203826361825</v>
      </c>
      <c r="W133" s="12">
        <f t="shared" ref="W133:W164" si="57">MIN(1-0.000000000001,MAX(0.000000000001,_xlfn.LOGNORM.DIST(O133,$C$14,$C$15,TRUE)))</f>
        <v>0.62768496372917848</v>
      </c>
      <c r="X133">
        <f t="shared" ref="X133:X164" si="58">L133/$C$9</f>
        <v>0.64500000000000002</v>
      </c>
    </row>
    <row r="134" spans="12:24" x14ac:dyDescent="0.45">
      <c r="L134" s="9">
        <v>130</v>
      </c>
      <c r="M134" s="17">
        <v>4.45</v>
      </c>
      <c r="N134" s="11">
        <f t="shared" si="48"/>
        <v>1.4929040961781488</v>
      </c>
      <c r="O134" s="10">
        <f t="shared" si="49"/>
        <v>4.6500000000000004</v>
      </c>
      <c r="P134" s="12">
        <f t="shared" si="50"/>
        <v>0.6030350320286737</v>
      </c>
      <c r="Q134" s="12">
        <f t="shared" si="51"/>
        <v>4.6964967971326321E-2</v>
      </c>
      <c r="R134" s="12">
        <f t="shared" si="52"/>
        <v>-4.1964967971326317E-2</v>
      </c>
      <c r="S134" s="11">
        <f t="shared" si="53"/>
        <v>-261.26793823115725</v>
      </c>
      <c r="T134" s="12">
        <f t="shared" si="54"/>
        <v>0.64388705153163828</v>
      </c>
      <c r="U134" s="12">
        <f t="shared" si="55"/>
        <v>0.6030350320286737</v>
      </c>
      <c r="V134" s="12">
        <f t="shared" si="56"/>
        <v>0.52069243670771925</v>
      </c>
      <c r="W134" s="12">
        <f t="shared" si="57"/>
        <v>0.63625721908251209</v>
      </c>
      <c r="X134">
        <f t="shared" si="58"/>
        <v>0.65</v>
      </c>
    </row>
    <row r="135" spans="12:24" x14ac:dyDescent="0.45">
      <c r="L135" s="9">
        <v>131</v>
      </c>
      <c r="M135" s="17">
        <v>6.17</v>
      </c>
      <c r="N135" s="11">
        <f t="shared" si="48"/>
        <v>1.8196988379172965</v>
      </c>
      <c r="O135" s="10">
        <f t="shared" si="49"/>
        <v>4.6900000000000004</v>
      </c>
      <c r="P135" s="12">
        <f t="shared" si="50"/>
        <v>0.6083060907362523</v>
      </c>
      <c r="Q135" s="12">
        <f t="shared" si="51"/>
        <v>4.6693909263747724E-2</v>
      </c>
      <c r="R135" s="12">
        <f t="shared" si="52"/>
        <v>-4.1693909263747719E-2</v>
      </c>
      <c r="S135" s="11">
        <f t="shared" si="53"/>
        <v>-260.01828690322554</v>
      </c>
      <c r="T135" s="12">
        <f t="shared" si="54"/>
        <v>0.64703596494403115</v>
      </c>
      <c r="U135" s="12">
        <f t="shared" si="55"/>
        <v>0.6083060907362523</v>
      </c>
      <c r="V135" s="12">
        <f t="shared" si="56"/>
        <v>0.52633876864347939</v>
      </c>
      <c r="W135" s="12">
        <f t="shared" si="57"/>
        <v>0.6410682496793858</v>
      </c>
      <c r="X135">
        <f t="shared" si="58"/>
        <v>0.65500000000000003</v>
      </c>
    </row>
    <row r="136" spans="12:24" x14ac:dyDescent="0.45">
      <c r="L136" s="9">
        <v>132</v>
      </c>
      <c r="M136" s="17">
        <v>1.93</v>
      </c>
      <c r="N136" s="11">
        <f t="shared" si="48"/>
        <v>0.65752000291679413</v>
      </c>
      <c r="O136" s="10">
        <f t="shared" si="49"/>
        <v>4.78</v>
      </c>
      <c r="P136" s="12">
        <f t="shared" si="50"/>
        <v>0.6199849558267162</v>
      </c>
      <c r="Q136" s="12">
        <f t="shared" si="51"/>
        <v>4.0015044173283831E-2</v>
      </c>
      <c r="R136" s="12">
        <f t="shared" si="52"/>
        <v>-3.5015044173283827E-2</v>
      </c>
      <c r="S136" s="11">
        <f t="shared" si="53"/>
        <v>-258.28338525152969</v>
      </c>
      <c r="T136" s="12">
        <f t="shared" si="54"/>
        <v>0.65401958989580233</v>
      </c>
      <c r="U136" s="12">
        <f t="shared" si="55"/>
        <v>0.6199849558267162</v>
      </c>
      <c r="V136" s="12">
        <f t="shared" si="56"/>
        <v>0.5390219687799469</v>
      </c>
      <c r="W136" s="12">
        <f t="shared" si="57"/>
        <v>0.65166417558278311</v>
      </c>
      <c r="X136">
        <f t="shared" si="58"/>
        <v>0.66</v>
      </c>
    </row>
    <row r="137" spans="12:24" x14ac:dyDescent="0.45">
      <c r="L137" s="9">
        <v>133</v>
      </c>
      <c r="M137" s="17">
        <v>2.61</v>
      </c>
      <c r="N137" s="11">
        <f t="shared" si="48"/>
        <v>0.95935022133460202</v>
      </c>
      <c r="O137" s="10">
        <f t="shared" si="49"/>
        <v>4.8099999999999996</v>
      </c>
      <c r="P137" s="12">
        <f t="shared" si="50"/>
        <v>0.62382206144730867</v>
      </c>
      <c r="Q137" s="12">
        <f t="shared" si="51"/>
        <v>4.1177938552691362E-2</v>
      </c>
      <c r="R137" s="12">
        <f t="shared" si="52"/>
        <v>-3.6177938552691358E-2</v>
      </c>
      <c r="S137" s="11">
        <f t="shared" si="53"/>
        <v>-257.03943484697237</v>
      </c>
      <c r="T137" s="12">
        <f t="shared" si="54"/>
        <v>0.6563166230587002</v>
      </c>
      <c r="U137" s="12">
        <f t="shared" si="55"/>
        <v>0.62382206144730867</v>
      </c>
      <c r="V137" s="12">
        <f t="shared" si="56"/>
        <v>0.54324153782281137</v>
      </c>
      <c r="W137" s="12">
        <f t="shared" si="57"/>
        <v>0.65512660761260422</v>
      </c>
      <c r="X137">
        <f t="shared" si="58"/>
        <v>0.66500000000000004</v>
      </c>
    </row>
    <row r="138" spans="12:24" x14ac:dyDescent="0.45">
      <c r="L138" s="9">
        <v>134</v>
      </c>
      <c r="M138" s="17">
        <v>1.57</v>
      </c>
      <c r="N138" s="11">
        <f t="shared" si="48"/>
        <v>0.45107561936021673</v>
      </c>
      <c r="O138" s="10">
        <f t="shared" si="49"/>
        <v>4.92</v>
      </c>
      <c r="P138" s="12">
        <f t="shared" si="50"/>
        <v>0.63765193036467838</v>
      </c>
      <c r="Q138" s="12">
        <f t="shared" si="51"/>
        <v>3.2348069635321663E-2</v>
      </c>
      <c r="R138" s="12">
        <f t="shared" si="52"/>
        <v>-2.7348069635321659E-2</v>
      </c>
      <c r="S138" s="11">
        <f t="shared" si="53"/>
        <v>-255.15499452521595</v>
      </c>
      <c r="T138" s="12">
        <f t="shared" si="54"/>
        <v>0.66460936968657836</v>
      </c>
      <c r="U138" s="12">
        <f t="shared" si="55"/>
        <v>0.63765193036467838</v>
      </c>
      <c r="V138" s="12">
        <f t="shared" si="56"/>
        <v>0.55866805365909433</v>
      </c>
      <c r="W138" s="12">
        <f t="shared" si="57"/>
        <v>0.66753026569108265</v>
      </c>
      <c r="X138">
        <f t="shared" si="58"/>
        <v>0.67</v>
      </c>
    </row>
    <row r="139" spans="12:24" x14ac:dyDescent="0.45">
      <c r="L139" s="9">
        <v>135</v>
      </c>
      <c r="M139" s="17">
        <v>4.3099999999999996</v>
      </c>
      <c r="N139" s="11">
        <f t="shared" si="48"/>
        <v>1.4609379041156563</v>
      </c>
      <c r="O139" s="10">
        <f t="shared" si="49"/>
        <v>4.93</v>
      </c>
      <c r="P139" s="12">
        <f t="shared" si="50"/>
        <v>0.63889051066239877</v>
      </c>
      <c r="Q139" s="12">
        <f t="shared" si="51"/>
        <v>3.6109489337601275E-2</v>
      </c>
      <c r="R139" s="12">
        <f t="shared" si="52"/>
        <v>-3.110948933760127E-2</v>
      </c>
      <c r="S139" s="11">
        <f t="shared" si="53"/>
        <v>-253.9511709645983</v>
      </c>
      <c r="T139" s="12">
        <f t="shared" si="54"/>
        <v>0.66535326023501029</v>
      </c>
      <c r="U139" s="12">
        <f t="shared" si="55"/>
        <v>0.63889051066239877</v>
      </c>
      <c r="V139" s="12">
        <f t="shared" si="56"/>
        <v>0.56006641899737297</v>
      </c>
      <c r="W139" s="12">
        <f t="shared" si="57"/>
        <v>0.66863541083619438</v>
      </c>
      <c r="X139">
        <f t="shared" si="58"/>
        <v>0.67500000000000004</v>
      </c>
    </row>
    <row r="140" spans="12:24" x14ac:dyDescent="0.45">
      <c r="L140" s="9">
        <v>136</v>
      </c>
      <c r="M140" s="17">
        <v>11.64</v>
      </c>
      <c r="N140" s="11">
        <f t="shared" si="48"/>
        <v>2.4544474423032918</v>
      </c>
      <c r="O140" s="10">
        <f t="shared" si="49"/>
        <v>5</v>
      </c>
      <c r="P140" s="12">
        <f t="shared" si="50"/>
        <v>0.64747337057776755</v>
      </c>
      <c r="Q140" s="12">
        <f t="shared" si="51"/>
        <v>3.25266294222325E-2</v>
      </c>
      <c r="R140" s="12">
        <f t="shared" si="52"/>
        <v>-2.7526629422232496E-2</v>
      </c>
      <c r="S140" s="11">
        <f t="shared" si="53"/>
        <v>-252.29678891287747</v>
      </c>
      <c r="T140" s="12">
        <f t="shared" si="54"/>
        <v>0.670514500226431</v>
      </c>
      <c r="U140" s="12">
        <f t="shared" si="55"/>
        <v>0.64747337057776755</v>
      </c>
      <c r="V140" s="12">
        <f t="shared" si="56"/>
        <v>0.56983304851410321</v>
      </c>
      <c r="W140" s="12">
        <f t="shared" si="57"/>
        <v>0.67626833127153874</v>
      </c>
      <c r="X140">
        <f t="shared" si="58"/>
        <v>0.68</v>
      </c>
    </row>
    <row r="141" spans="12:24" x14ac:dyDescent="0.45">
      <c r="L141" s="9">
        <v>137</v>
      </c>
      <c r="M141" s="17">
        <v>3.11</v>
      </c>
      <c r="N141" s="11">
        <f t="shared" si="48"/>
        <v>1.1346227261911428</v>
      </c>
      <c r="O141" s="10">
        <f t="shared" si="49"/>
        <v>5.1100000000000003</v>
      </c>
      <c r="P141" s="12">
        <f t="shared" si="50"/>
        <v>0.66065263700359478</v>
      </c>
      <c r="Q141" s="12">
        <f t="shared" si="51"/>
        <v>2.4347362996405275E-2</v>
      </c>
      <c r="R141" s="12">
        <f t="shared" si="52"/>
        <v>-1.9347362996405271E-2</v>
      </c>
      <c r="S141" s="11">
        <f t="shared" si="53"/>
        <v>-250.41873556769474</v>
      </c>
      <c r="T141" s="12">
        <f t="shared" si="54"/>
        <v>0.67846466584543519</v>
      </c>
      <c r="U141" s="12">
        <f t="shared" si="55"/>
        <v>0.66065263700359478</v>
      </c>
      <c r="V141" s="12">
        <f t="shared" si="56"/>
        <v>0.58509243238569664</v>
      </c>
      <c r="W141" s="12">
        <f t="shared" si="57"/>
        <v>0.68790455268504092</v>
      </c>
      <c r="X141">
        <f t="shared" si="58"/>
        <v>0.68500000000000005</v>
      </c>
    </row>
    <row r="142" spans="12:24" x14ac:dyDescent="0.45">
      <c r="L142" s="9">
        <v>138</v>
      </c>
      <c r="M142" s="17">
        <v>5.55</v>
      </c>
      <c r="N142" s="11">
        <f t="shared" si="48"/>
        <v>1.7137979277583431</v>
      </c>
      <c r="O142" s="10">
        <f t="shared" si="49"/>
        <v>5.27</v>
      </c>
      <c r="P142" s="12">
        <f t="shared" si="50"/>
        <v>0.67915260881921014</v>
      </c>
      <c r="Q142" s="12">
        <f t="shared" si="51"/>
        <v>1.0847391180789812E-2</v>
      </c>
      <c r="R142" s="12">
        <f t="shared" si="52"/>
        <v>-5.8473911807899182E-3</v>
      </c>
      <c r="S142" s="11">
        <f t="shared" si="53"/>
        <v>-248.49880161325561</v>
      </c>
      <c r="T142" s="12">
        <f t="shared" si="54"/>
        <v>0.68968735923959856</v>
      </c>
      <c r="U142" s="12">
        <f t="shared" si="55"/>
        <v>0.67915260881921014</v>
      </c>
      <c r="V142" s="12">
        <f t="shared" si="56"/>
        <v>0.60705470175559295</v>
      </c>
      <c r="W142" s="12">
        <f t="shared" si="57"/>
        <v>0.70407228285801837</v>
      </c>
      <c r="X142">
        <f t="shared" si="58"/>
        <v>0.69</v>
      </c>
    </row>
    <row r="143" spans="12:24" x14ac:dyDescent="0.45">
      <c r="L143" s="9">
        <v>139</v>
      </c>
      <c r="M143" s="17">
        <v>5.1100000000000003</v>
      </c>
      <c r="N143" s="11">
        <f t="shared" si="48"/>
        <v>1.631199404215613</v>
      </c>
      <c r="O143" s="10">
        <f t="shared" si="49"/>
        <v>5.34</v>
      </c>
      <c r="P143" s="12">
        <f t="shared" si="50"/>
        <v>0.68699812077595679</v>
      </c>
      <c r="Q143" s="12">
        <f t="shared" si="51"/>
        <v>8.0018792240431624E-3</v>
      </c>
      <c r="R143" s="12">
        <f t="shared" si="52"/>
        <v>-3.001879224043158E-3</v>
      </c>
      <c r="S143" s="11">
        <f t="shared" si="53"/>
        <v>-246.86253944057546</v>
      </c>
      <c r="T143" s="12">
        <f t="shared" si="54"/>
        <v>0.69447329563467797</v>
      </c>
      <c r="U143" s="12">
        <f t="shared" si="55"/>
        <v>0.68699812077595679</v>
      </c>
      <c r="V143" s="12">
        <f t="shared" si="56"/>
        <v>0.61656145090070202</v>
      </c>
      <c r="W143" s="12">
        <f t="shared" si="57"/>
        <v>0.71087235505593294</v>
      </c>
      <c r="X143">
        <f t="shared" si="58"/>
        <v>0.69499999999999995</v>
      </c>
    </row>
    <row r="144" spans="12:24" x14ac:dyDescent="0.45">
      <c r="L144" s="9">
        <v>140</v>
      </c>
      <c r="M144" s="17">
        <v>4.58</v>
      </c>
      <c r="N144" s="11">
        <f t="shared" si="48"/>
        <v>1.5216989981260935</v>
      </c>
      <c r="O144" s="10">
        <f t="shared" si="49"/>
        <v>5.4</v>
      </c>
      <c r="P144" s="12">
        <f t="shared" si="50"/>
        <v>0.6936033833420725</v>
      </c>
      <c r="Q144" s="12">
        <f t="shared" si="51"/>
        <v>6.3966166579274564E-3</v>
      </c>
      <c r="R144" s="12">
        <f t="shared" si="52"/>
        <v>-1.3966166579274519E-3</v>
      </c>
      <c r="S144" s="11">
        <f t="shared" si="53"/>
        <v>-245.20139908111958</v>
      </c>
      <c r="T144" s="12">
        <f t="shared" si="54"/>
        <v>0.69851673416379945</v>
      </c>
      <c r="U144" s="12">
        <f t="shared" si="55"/>
        <v>0.6936033833420725</v>
      </c>
      <c r="V144" s="12">
        <f t="shared" si="56"/>
        <v>0.62465484315361042</v>
      </c>
      <c r="W144" s="12">
        <f t="shared" si="57"/>
        <v>0.71657232432694973</v>
      </c>
      <c r="X144">
        <f t="shared" si="58"/>
        <v>0.7</v>
      </c>
    </row>
    <row r="145" spans="12:24" x14ac:dyDescent="0.45">
      <c r="L145" s="9">
        <v>141</v>
      </c>
      <c r="M145" s="17">
        <v>3.59</v>
      </c>
      <c r="N145" s="11">
        <f t="shared" si="48"/>
        <v>1.2781522025001875</v>
      </c>
      <c r="O145" s="10">
        <f t="shared" si="49"/>
        <v>5.41</v>
      </c>
      <c r="P145" s="12">
        <f t="shared" si="50"/>
        <v>0.69469358022572369</v>
      </c>
      <c r="Q145" s="12">
        <f t="shared" si="51"/>
        <v>1.0306419774276265E-2</v>
      </c>
      <c r="R145" s="12">
        <f t="shared" si="52"/>
        <v>-5.3064197742762609E-3</v>
      </c>
      <c r="S145" s="11">
        <f t="shared" si="53"/>
        <v>-243.55020554738422</v>
      </c>
      <c r="T145" s="12">
        <f t="shared" si="54"/>
        <v>0.69918541877122697</v>
      </c>
      <c r="U145" s="12">
        <f t="shared" si="55"/>
        <v>0.69469358022572369</v>
      </c>
      <c r="V145" s="12">
        <f t="shared" si="56"/>
        <v>0.62599853156464025</v>
      </c>
      <c r="W145" s="12">
        <f t="shared" si="57"/>
        <v>0.71751093431731283</v>
      </c>
      <c r="X145">
        <f t="shared" si="58"/>
        <v>0.70499999999999996</v>
      </c>
    </row>
    <row r="146" spans="12:24" x14ac:dyDescent="0.45">
      <c r="L146" s="9">
        <v>142</v>
      </c>
      <c r="M146" s="17">
        <v>8.86</v>
      </c>
      <c r="N146" s="11">
        <f t="shared" si="48"/>
        <v>2.1815467646169897</v>
      </c>
      <c r="O146" s="10">
        <f t="shared" si="49"/>
        <v>5.44</v>
      </c>
      <c r="P146" s="12">
        <f t="shared" si="50"/>
        <v>0.69794591587011467</v>
      </c>
      <c r="Q146" s="12">
        <f t="shared" si="51"/>
        <v>1.205408412988529E-2</v>
      </c>
      <c r="R146" s="12">
        <f t="shared" si="52"/>
        <v>-7.0540841298852852E-3</v>
      </c>
      <c r="S146" s="11">
        <f t="shared" si="53"/>
        <v>-241.83712217342577</v>
      </c>
      <c r="T146" s="12">
        <f t="shared" si="54"/>
        <v>0.70118258695990465</v>
      </c>
      <c r="U146" s="12">
        <f t="shared" si="55"/>
        <v>0.69794591587011467</v>
      </c>
      <c r="V146" s="12">
        <f t="shared" si="56"/>
        <v>0.63002036088075097</v>
      </c>
      <c r="W146" s="12">
        <f t="shared" si="57"/>
        <v>0.72030744503099142</v>
      </c>
      <c r="X146">
        <f t="shared" si="58"/>
        <v>0.71</v>
      </c>
    </row>
    <row r="147" spans="12:24" x14ac:dyDescent="0.45">
      <c r="L147" s="9">
        <v>143</v>
      </c>
      <c r="M147" s="17">
        <v>4.32</v>
      </c>
      <c r="N147" s="11">
        <f t="shared" si="48"/>
        <v>1.4632554022560189</v>
      </c>
      <c r="O147" s="10">
        <f t="shared" si="49"/>
        <v>5.49</v>
      </c>
      <c r="P147" s="12">
        <f t="shared" si="50"/>
        <v>0.70330579727549514</v>
      </c>
      <c r="Q147" s="12">
        <f t="shared" si="51"/>
        <v>1.1694202724504832E-2</v>
      </c>
      <c r="R147" s="12">
        <f t="shared" si="52"/>
        <v>-6.6942027245048275E-3</v>
      </c>
      <c r="S147" s="11">
        <f t="shared" si="53"/>
        <v>-240.04072390258426</v>
      </c>
      <c r="T147" s="12">
        <f t="shared" si="54"/>
        <v>0.70448177832899694</v>
      </c>
      <c r="U147" s="12">
        <f t="shared" si="55"/>
        <v>0.70330579727549514</v>
      </c>
      <c r="V147" s="12">
        <f t="shared" si="56"/>
        <v>0.63669172400654839</v>
      </c>
      <c r="W147" s="12">
        <f t="shared" si="57"/>
        <v>0.72490449001398183</v>
      </c>
      <c r="X147">
        <f t="shared" si="58"/>
        <v>0.71499999999999997</v>
      </c>
    </row>
    <row r="148" spans="12:24" x14ac:dyDescent="0.45">
      <c r="L148" s="9">
        <v>144</v>
      </c>
      <c r="M148" s="17">
        <v>2.9</v>
      </c>
      <c r="N148" s="11">
        <f t="shared" si="48"/>
        <v>1.0647107369924282</v>
      </c>
      <c r="O148" s="10">
        <f t="shared" si="49"/>
        <v>5.55</v>
      </c>
      <c r="P148" s="12">
        <f t="shared" si="50"/>
        <v>0.70963800294704837</v>
      </c>
      <c r="Q148" s="12">
        <f t="shared" si="51"/>
        <v>1.0361997052951599E-2</v>
      </c>
      <c r="R148" s="12">
        <f t="shared" si="52"/>
        <v>-5.3619970529515948E-3</v>
      </c>
      <c r="S148" s="11">
        <f t="shared" si="53"/>
        <v>-238.17992053709034</v>
      </c>
      <c r="T148" s="12">
        <f t="shared" si="54"/>
        <v>0.70839276138379803</v>
      </c>
      <c r="U148" s="12">
        <f t="shared" si="55"/>
        <v>0.70963800294704837</v>
      </c>
      <c r="V148" s="12">
        <f t="shared" si="56"/>
        <v>0.64464280349661618</v>
      </c>
      <c r="W148" s="12">
        <f t="shared" si="57"/>
        <v>0.73031717614534675</v>
      </c>
      <c r="X148">
        <f t="shared" si="58"/>
        <v>0.72</v>
      </c>
    </row>
    <row r="149" spans="12:24" x14ac:dyDescent="0.45">
      <c r="L149" s="9">
        <v>145</v>
      </c>
      <c r="M149" s="17">
        <v>7.84</v>
      </c>
      <c r="N149" s="11">
        <f t="shared" si="48"/>
        <v>2.0592388343623163</v>
      </c>
      <c r="O149" s="10">
        <f t="shared" si="49"/>
        <v>5.58</v>
      </c>
      <c r="P149" s="12">
        <f t="shared" si="50"/>
        <v>0.7127635412043799</v>
      </c>
      <c r="Q149" s="12">
        <f t="shared" si="51"/>
        <v>1.2236458795620075E-2</v>
      </c>
      <c r="R149" s="12">
        <f t="shared" si="52"/>
        <v>-7.236458795620071E-3</v>
      </c>
      <c r="S149" s="11">
        <f t="shared" si="53"/>
        <v>-236.32389973580328</v>
      </c>
      <c r="T149" s="12">
        <f t="shared" si="54"/>
        <v>0.71032880018276012</v>
      </c>
      <c r="U149" s="12">
        <f t="shared" si="55"/>
        <v>0.7127635412043799</v>
      </c>
      <c r="V149" s="12">
        <f t="shared" si="56"/>
        <v>0.64859511017760563</v>
      </c>
      <c r="W149" s="12">
        <f t="shared" si="57"/>
        <v>0.7329816846682361</v>
      </c>
      <c r="X149">
        <f t="shared" si="58"/>
        <v>0.72499999999999998</v>
      </c>
    </row>
    <row r="150" spans="12:24" x14ac:dyDescent="0.45">
      <c r="L150" s="9">
        <v>146</v>
      </c>
      <c r="M150" s="17">
        <v>6.62</v>
      </c>
      <c r="N150" s="11">
        <f t="shared" si="48"/>
        <v>1.8900953699489169</v>
      </c>
      <c r="O150" s="10">
        <f t="shared" si="49"/>
        <v>5.59</v>
      </c>
      <c r="P150" s="12">
        <f t="shared" si="50"/>
        <v>0.7137994001246063</v>
      </c>
      <c r="Q150" s="12">
        <f t="shared" si="51"/>
        <v>1.6200599875393684E-2</v>
      </c>
      <c r="R150" s="12">
        <f t="shared" si="52"/>
        <v>-1.120059987539368E-2</v>
      </c>
      <c r="S150" s="11">
        <f t="shared" si="53"/>
        <v>-234.47740515100674</v>
      </c>
      <c r="T150" s="12">
        <f t="shared" si="54"/>
        <v>0.71097128583447788</v>
      </c>
      <c r="U150" s="12">
        <f t="shared" si="55"/>
        <v>0.7137994001246063</v>
      </c>
      <c r="V150" s="12">
        <f t="shared" si="56"/>
        <v>0.64990900855706424</v>
      </c>
      <c r="W150" s="12">
        <f t="shared" si="57"/>
        <v>0.73386372136026667</v>
      </c>
      <c r="X150">
        <f t="shared" si="58"/>
        <v>0.73</v>
      </c>
    </row>
    <row r="151" spans="12:24" x14ac:dyDescent="0.45">
      <c r="L151" s="9">
        <v>147</v>
      </c>
      <c r="M151" s="17">
        <v>5</v>
      </c>
      <c r="N151" s="11">
        <f t="shared" si="48"/>
        <v>1.6094379124341003</v>
      </c>
      <c r="O151" s="10">
        <f t="shared" si="49"/>
        <v>5.64</v>
      </c>
      <c r="P151" s="12">
        <f t="shared" si="50"/>
        <v>0.71893394871950567</v>
      </c>
      <c r="Q151" s="12">
        <f t="shared" si="51"/>
        <v>1.606605128049432E-2</v>
      </c>
      <c r="R151" s="12">
        <f t="shared" si="52"/>
        <v>-1.1066051280494316E-2</v>
      </c>
      <c r="S151" s="11">
        <f t="shared" si="53"/>
        <v>-232.48655374029539</v>
      </c>
      <c r="T151" s="12">
        <f t="shared" si="54"/>
        <v>0.71416240187250746</v>
      </c>
      <c r="U151" s="12">
        <f t="shared" si="55"/>
        <v>0.71893394871950567</v>
      </c>
      <c r="V151" s="12">
        <f t="shared" si="56"/>
        <v>0.65645133937423072</v>
      </c>
      <c r="W151" s="12">
        <f t="shared" si="57"/>
        <v>0.73822834463691012</v>
      </c>
      <c r="X151">
        <f t="shared" si="58"/>
        <v>0.73499999999999999</v>
      </c>
    </row>
    <row r="152" spans="12:24" x14ac:dyDescent="0.45">
      <c r="L152" s="9">
        <v>148</v>
      </c>
      <c r="M152" s="17">
        <v>3.76</v>
      </c>
      <c r="N152" s="11">
        <f t="shared" si="48"/>
        <v>1.324418957401803</v>
      </c>
      <c r="O152" s="10">
        <f t="shared" si="49"/>
        <v>5.81</v>
      </c>
      <c r="P152" s="12">
        <f t="shared" si="50"/>
        <v>0.73583894137352845</v>
      </c>
      <c r="Q152" s="12">
        <f t="shared" si="51"/>
        <v>4.1610586264715366E-3</v>
      </c>
      <c r="R152" s="12">
        <f t="shared" si="52"/>
        <v>8.3894137352846787E-4</v>
      </c>
      <c r="S152" s="11">
        <f t="shared" si="53"/>
        <v>-230.26509467370246</v>
      </c>
      <c r="T152" s="12">
        <f t="shared" si="54"/>
        <v>0.72475097562009716</v>
      </c>
      <c r="U152" s="12">
        <f t="shared" si="55"/>
        <v>0.73583894137352845</v>
      </c>
      <c r="V152" s="12">
        <f t="shared" si="56"/>
        <v>0.67833712968961213</v>
      </c>
      <c r="W152" s="12">
        <f t="shared" si="57"/>
        <v>0.75251383792829663</v>
      </c>
      <c r="X152">
        <f t="shared" si="58"/>
        <v>0.74</v>
      </c>
    </row>
    <row r="153" spans="12:24" x14ac:dyDescent="0.45">
      <c r="L153" s="9">
        <v>149</v>
      </c>
      <c r="M153" s="17">
        <v>10.48</v>
      </c>
      <c r="N153" s="11">
        <f t="shared" si="48"/>
        <v>2.349468678892896</v>
      </c>
      <c r="O153" s="10">
        <f t="shared" si="49"/>
        <v>5.94</v>
      </c>
      <c r="P153" s="12">
        <f t="shared" si="50"/>
        <v>0.74819936251220898</v>
      </c>
      <c r="Q153" s="12">
        <f t="shared" si="51"/>
        <v>-3.1993625122089808E-3</v>
      </c>
      <c r="R153" s="12">
        <f t="shared" si="52"/>
        <v>8.1993625122089853E-3</v>
      </c>
      <c r="S153" s="11">
        <f t="shared" si="53"/>
        <v>-228.20460074401262</v>
      </c>
      <c r="T153" s="12">
        <f t="shared" si="54"/>
        <v>0.73258267989039527</v>
      </c>
      <c r="U153" s="12">
        <f t="shared" si="55"/>
        <v>0.74819936251220898</v>
      </c>
      <c r="V153" s="12">
        <f t="shared" si="56"/>
        <v>0.69467029906950672</v>
      </c>
      <c r="W153" s="12">
        <f t="shared" si="57"/>
        <v>0.76288161281536904</v>
      </c>
      <c r="X153">
        <f t="shared" si="58"/>
        <v>0.745</v>
      </c>
    </row>
    <row r="154" spans="12:24" x14ac:dyDescent="0.45">
      <c r="L154" s="9">
        <v>150</v>
      </c>
      <c r="M154" s="17">
        <v>4.16</v>
      </c>
      <c r="N154" s="11">
        <f t="shared" si="48"/>
        <v>1.4255150742731719</v>
      </c>
      <c r="O154" s="10">
        <f t="shared" si="49"/>
        <v>5.95</v>
      </c>
      <c r="P154" s="12">
        <f t="shared" si="50"/>
        <v>0.74913012450045535</v>
      </c>
      <c r="Q154" s="12">
        <f t="shared" si="51"/>
        <v>8.6987549954464782E-4</v>
      </c>
      <c r="R154" s="12">
        <f t="shared" si="52"/>
        <v>4.1301245004553566E-3</v>
      </c>
      <c r="S154" s="11">
        <f t="shared" si="53"/>
        <v>-226.02884205108049</v>
      </c>
      <c r="T154" s="12">
        <f t="shared" si="54"/>
        <v>0.73317580682638228</v>
      </c>
      <c r="U154" s="12">
        <f t="shared" si="55"/>
        <v>0.74913012450045535</v>
      </c>
      <c r="V154" s="12">
        <f t="shared" si="56"/>
        <v>0.69591133601047117</v>
      </c>
      <c r="W154" s="12">
        <f t="shared" si="57"/>
        <v>0.7636598324999615</v>
      </c>
      <c r="X154">
        <f t="shared" si="58"/>
        <v>0.75</v>
      </c>
    </row>
    <row r="155" spans="12:24" x14ac:dyDescent="0.45">
      <c r="L155" s="9">
        <v>151</v>
      </c>
      <c r="M155" s="17">
        <v>2.72</v>
      </c>
      <c r="N155" s="11">
        <f t="shared" si="48"/>
        <v>1.000631880307906</v>
      </c>
      <c r="O155" s="10">
        <f t="shared" si="49"/>
        <v>6</v>
      </c>
      <c r="P155" s="12">
        <f t="shared" si="50"/>
        <v>0.75374142481205419</v>
      </c>
      <c r="Q155" s="12">
        <f t="shared" si="51"/>
        <v>1.2585751879458096E-3</v>
      </c>
      <c r="R155" s="12">
        <f t="shared" si="52"/>
        <v>3.7414248120541949E-3</v>
      </c>
      <c r="S155" s="11">
        <f t="shared" si="53"/>
        <v>-223.83042268683184</v>
      </c>
      <c r="T155" s="12">
        <f t="shared" si="54"/>
        <v>0.73612176658899253</v>
      </c>
      <c r="U155" s="12">
        <f t="shared" si="55"/>
        <v>0.75374142481205419</v>
      </c>
      <c r="V155" s="12">
        <f t="shared" si="56"/>
        <v>0.70208249584177107</v>
      </c>
      <c r="W155" s="12">
        <f t="shared" si="57"/>
        <v>0.76751043855417111</v>
      </c>
      <c r="X155">
        <f t="shared" si="58"/>
        <v>0.755</v>
      </c>
    </row>
    <row r="156" spans="12:24" x14ac:dyDescent="0.45">
      <c r="L156" s="9">
        <v>152</v>
      </c>
      <c r="M156" s="17">
        <v>6</v>
      </c>
      <c r="N156" s="11">
        <f t="shared" si="48"/>
        <v>1.791759469228055</v>
      </c>
      <c r="O156" s="10">
        <f t="shared" si="49"/>
        <v>6</v>
      </c>
      <c r="P156" s="12">
        <f t="shared" si="50"/>
        <v>0.75374142481205419</v>
      </c>
      <c r="Q156" s="12">
        <f t="shared" si="51"/>
        <v>6.258575187945814E-3</v>
      </c>
      <c r="R156" s="12">
        <f t="shared" si="52"/>
        <v>-1.2585751879458096E-3</v>
      </c>
      <c r="S156" s="11">
        <f t="shared" si="53"/>
        <v>-221.59308814936765</v>
      </c>
      <c r="T156" s="12">
        <f t="shared" si="54"/>
        <v>0.73612176658899253</v>
      </c>
      <c r="U156" s="12">
        <f t="shared" si="55"/>
        <v>0.75374142481205419</v>
      </c>
      <c r="V156" s="12">
        <f t="shared" si="56"/>
        <v>0.70208249584177107</v>
      </c>
      <c r="W156" s="12">
        <f t="shared" si="57"/>
        <v>0.76751043855417111</v>
      </c>
      <c r="X156">
        <f t="shared" si="58"/>
        <v>0.76</v>
      </c>
    </row>
    <row r="157" spans="12:24" x14ac:dyDescent="0.45">
      <c r="L157" s="9">
        <v>153</v>
      </c>
      <c r="M157" s="17">
        <v>3.39</v>
      </c>
      <c r="N157" s="11">
        <f t="shared" si="48"/>
        <v>1.220829921392359</v>
      </c>
      <c r="O157" s="10">
        <f t="shared" si="49"/>
        <v>6.05</v>
      </c>
      <c r="P157" s="12">
        <f t="shared" si="50"/>
        <v>0.7582823064426254</v>
      </c>
      <c r="Q157" s="12">
        <f t="shared" si="51"/>
        <v>6.7176935573746155E-3</v>
      </c>
      <c r="R157" s="12">
        <f t="shared" si="52"/>
        <v>-1.717693557374611E-3</v>
      </c>
      <c r="S157" s="11">
        <f t="shared" si="53"/>
        <v>-219.29191064094553</v>
      </c>
      <c r="T157" s="12">
        <f t="shared" si="54"/>
        <v>0.73903520051944471</v>
      </c>
      <c r="U157" s="12">
        <f t="shared" si="55"/>
        <v>0.7582823064426254</v>
      </c>
      <c r="V157" s="12">
        <f t="shared" si="56"/>
        <v>0.70819591998773312</v>
      </c>
      <c r="W157" s="12">
        <f t="shared" si="57"/>
        <v>0.77129438404243666</v>
      </c>
      <c r="X157">
        <f t="shared" si="58"/>
        <v>0.76500000000000001</v>
      </c>
    </row>
    <row r="158" spans="12:24" x14ac:dyDescent="0.45">
      <c r="L158" s="9">
        <v>154</v>
      </c>
      <c r="M158" s="17">
        <v>4.1399999999999997</v>
      </c>
      <c r="N158" s="11">
        <f t="shared" si="48"/>
        <v>1.4206957878372228</v>
      </c>
      <c r="O158" s="10">
        <f t="shared" si="49"/>
        <v>6.17</v>
      </c>
      <c r="P158" s="12">
        <f t="shared" si="50"/>
        <v>0.76889672369888196</v>
      </c>
      <c r="Q158" s="12">
        <f t="shared" si="51"/>
        <v>1.1032763011180613E-3</v>
      </c>
      <c r="R158" s="12">
        <f t="shared" si="52"/>
        <v>3.8967236988819431E-3</v>
      </c>
      <c r="S158" s="11">
        <f t="shared" si="53"/>
        <v>-216.91400010692439</v>
      </c>
      <c r="T158" s="12">
        <f t="shared" si="54"/>
        <v>0.74589687718731879</v>
      </c>
      <c r="U158" s="12">
        <f t="shared" si="55"/>
        <v>0.76889672369888196</v>
      </c>
      <c r="V158" s="12">
        <f t="shared" si="56"/>
        <v>0.72262453311384689</v>
      </c>
      <c r="W158" s="12">
        <f t="shared" si="57"/>
        <v>0.78011053670100949</v>
      </c>
      <c r="X158">
        <f t="shared" si="58"/>
        <v>0.77</v>
      </c>
    </row>
    <row r="159" spans="12:24" x14ac:dyDescent="0.45">
      <c r="L159" s="9">
        <v>155</v>
      </c>
      <c r="M159" s="17">
        <v>3.28</v>
      </c>
      <c r="N159" s="11">
        <f t="shared" si="48"/>
        <v>1.1878434223960523</v>
      </c>
      <c r="O159" s="10">
        <f t="shared" si="49"/>
        <v>6.18</v>
      </c>
      <c r="P159" s="12">
        <f t="shared" si="50"/>
        <v>0.76976337245761672</v>
      </c>
      <c r="Q159" s="12">
        <f t="shared" si="51"/>
        <v>5.2366275423832986E-3</v>
      </c>
      <c r="R159" s="12">
        <f t="shared" si="52"/>
        <v>-2.366275423832942E-4</v>
      </c>
      <c r="S159" s="11">
        <f t="shared" si="53"/>
        <v>-214.50362423750903</v>
      </c>
      <c r="T159" s="12">
        <f t="shared" si="54"/>
        <v>0.74646047346671018</v>
      </c>
      <c r="U159" s="12">
        <f t="shared" si="55"/>
        <v>0.76976337245761672</v>
      </c>
      <c r="V159" s="12">
        <f t="shared" si="56"/>
        <v>0.72381099242008284</v>
      </c>
      <c r="W159" s="12">
        <f t="shared" si="57"/>
        <v>0.78082865117762867</v>
      </c>
      <c r="X159">
        <f t="shared" si="58"/>
        <v>0.77500000000000002</v>
      </c>
    </row>
    <row r="160" spans="12:24" x14ac:dyDescent="0.45">
      <c r="L160" s="9">
        <v>156</v>
      </c>
      <c r="M160" s="17">
        <v>3.71</v>
      </c>
      <c r="N160" s="11">
        <f t="shared" si="48"/>
        <v>1.3110318766193438</v>
      </c>
      <c r="O160" s="10">
        <f t="shared" si="49"/>
        <v>6.26</v>
      </c>
      <c r="P160" s="12">
        <f t="shared" si="50"/>
        <v>0.77659877824390411</v>
      </c>
      <c r="Q160" s="12">
        <f t="shared" si="51"/>
        <v>3.4012217560959179E-3</v>
      </c>
      <c r="R160" s="12">
        <f t="shared" si="52"/>
        <v>1.5987782439040865E-3</v>
      </c>
      <c r="S160" s="11">
        <f t="shared" si="53"/>
        <v>-212.02252343966973</v>
      </c>
      <c r="T160" s="12">
        <f t="shared" si="54"/>
        <v>0.75092447414494146</v>
      </c>
      <c r="U160" s="12">
        <f t="shared" si="55"/>
        <v>0.77659877824390411</v>
      </c>
      <c r="V160" s="12">
        <f t="shared" si="56"/>
        <v>0.73321200763882799</v>
      </c>
      <c r="W160" s="12">
        <f t="shared" si="57"/>
        <v>0.78648400115513717</v>
      </c>
      <c r="X160">
        <f t="shared" si="58"/>
        <v>0.78</v>
      </c>
    </row>
    <row r="161" spans="12:24" x14ac:dyDescent="0.45">
      <c r="L161" s="9">
        <v>157</v>
      </c>
      <c r="M161" s="17">
        <v>1.1299999999999999</v>
      </c>
      <c r="N161" s="11">
        <f t="shared" si="48"/>
        <v>0.12221763272424911</v>
      </c>
      <c r="O161" s="10">
        <f t="shared" si="49"/>
        <v>6.29</v>
      </c>
      <c r="P161" s="12">
        <f t="shared" si="50"/>
        <v>0.77911757878122279</v>
      </c>
      <c r="Q161" s="12">
        <f t="shared" si="51"/>
        <v>5.8824212187772451E-3</v>
      </c>
      <c r="R161" s="12">
        <f t="shared" si="52"/>
        <v>-8.8242121877724067E-4</v>
      </c>
      <c r="S161" s="11">
        <f t="shared" si="53"/>
        <v>-209.50355893284495</v>
      </c>
      <c r="T161" s="12">
        <f t="shared" si="54"/>
        <v>0.75257813639357285</v>
      </c>
      <c r="U161" s="12">
        <f t="shared" si="55"/>
        <v>0.77911757878122279</v>
      </c>
      <c r="V161" s="12">
        <f t="shared" si="56"/>
        <v>0.73669522522489173</v>
      </c>
      <c r="W161" s="12">
        <f t="shared" si="57"/>
        <v>0.78856426830224169</v>
      </c>
      <c r="X161">
        <f t="shared" si="58"/>
        <v>0.78500000000000003</v>
      </c>
    </row>
    <row r="162" spans="12:24" x14ac:dyDescent="0.45">
      <c r="L162" s="9">
        <v>158</v>
      </c>
      <c r="M162" s="17">
        <v>2.27</v>
      </c>
      <c r="N162" s="11">
        <f t="shared" si="48"/>
        <v>0.81977983149331135</v>
      </c>
      <c r="O162" s="10">
        <f t="shared" si="49"/>
        <v>6.55</v>
      </c>
      <c r="P162" s="12">
        <f t="shared" si="50"/>
        <v>0.79995563454116536</v>
      </c>
      <c r="Q162" s="12">
        <f t="shared" si="51"/>
        <v>-9.9556345411653258E-3</v>
      </c>
      <c r="R162" s="12">
        <f t="shared" si="52"/>
        <v>1.495563454116533E-2</v>
      </c>
      <c r="S162" s="11">
        <f t="shared" si="53"/>
        <v>-207.09105737569186</v>
      </c>
      <c r="T162" s="12">
        <f t="shared" si="54"/>
        <v>0.76645769531956121</v>
      </c>
      <c r="U162" s="12">
        <f t="shared" si="55"/>
        <v>0.79995563454116536</v>
      </c>
      <c r="V162" s="12">
        <f t="shared" si="56"/>
        <v>0.76588044758677787</v>
      </c>
      <c r="W162" s="12">
        <f t="shared" si="57"/>
        <v>0.8057067411342973</v>
      </c>
      <c r="X162">
        <f t="shared" si="58"/>
        <v>0.79</v>
      </c>
    </row>
    <row r="163" spans="12:24" x14ac:dyDescent="0.45">
      <c r="L163" s="9">
        <v>159</v>
      </c>
      <c r="M163" s="17">
        <v>2.44</v>
      </c>
      <c r="N163" s="11">
        <f t="shared" si="48"/>
        <v>0.89199803930511046</v>
      </c>
      <c r="O163" s="10">
        <f t="shared" si="49"/>
        <v>6.61</v>
      </c>
      <c r="P163" s="12">
        <f t="shared" si="50"/>
        <v>0.80451801854724103</v>
      </c>
      <c r="Q163" s="12">
        <f t="shared" si="51"/>
        <v>-9.5180185472409917E-3</v>
      </c>
      <c r="R163" s="12">
        <f t="shared" si="52"/>
        <v>1.4518018547240996E-2</v>
      </c>
      <c r="S163" s="11">
        <f t="shared" si="53"/>
        <v>-204.43110407919295</v>
      </c>
      <c r="T163" s="12">
        <f t="shared" si="54"/>
        <v>0.76954846918460318</v>
      </c>
      <c r="U163" s="12">
        <f t="shared" si="55"/>
        <v>0.80451801854724103</v>
      </c>
      <c r="V163" s="12">
        <f t="shared" si="56"/>
        <v>0.77235174453607081</v>
      </c>
      <c r="W163" s="12">
        <f t="shared" si="57"/>
        <v>0.80944598199118367</v>
      </c>
      <c r="X163">
        <f t="shared" si="58"/>
        <v>0.79500000000000004</v>
      </c>
    </row>
    <row r="164" spans="12:24" x14ac:dyDescent="0.45">
      <c r="L164" s="9">
        <v>160</v>
      </c>
      <c r="M164" s="17">
        <v>3.47</v>
      </c>
      <c r="N164" s="11">
        <f t="shared" si="48"/>
        <v>1.2441545939587679</v>
      </c>
      <c r="O164" s="10">
        <f t="shared" si="49"/>
        <v>6.61</v>
      </c>
      <c r="P164" s="12">
        <f t="shared" si="50"/>
        <v>0.80451801854724103</v>
      </c>
      <c r="Q164" s="12">
        <f t="shared" si="51"/>
        <v>-4.5180185472409873E-3</v>
      </c>
      <c r="R164" s="12">
        <f t="shared" si="52"/>
        <v>9.5180185472409917E-3</v>
      </c>
      <c r="S164" s="11">
        <f t="shared" si="53"/>
        <v>-201.60155376982166</v>
      </c>
      <c r="T164" s="12">
        <f t="shared" si="54"/>
        <v>0.76954846918460318</v>
      </c>
      <c r="U164" s="12">
        <f t="shared" si="55"/>
        <v>0.80451801854724103</v>
      </c>
      <c r="V164" s="12">
        <f t="shared" si="56"/>
        <v>0.77235174453607081</v>
      </c>
      <c r="W164" s="12">
        <f t="shared" si="57"/>
        <v>0.80944598199118367</v>
      </c>
      <c r="X164">
        <f t="shared" si="58"/>
        <v>0.8</v>
      </c>
    </row>
    <row r="165" spans="12:24" x14ac:dyDescent="0.45">
      <c r="L165" s="9">
        <v>161</v>
      </c>
      <c r="M165" s="17">
        <v>4.92</v>
      </c>
      <c r="N165" s="11">
        <f t="shared" ref="N165:N196" si="59">IF(M165&gt;0,LN(M165),"")</f>
        <v>1.5933085305042167</v>
      </c>
      <c r="O165" s="10">
        <f t="shared" ref="O165:O196" si="60">SMALL($M$5:$M$204,L165)</f>
        <v>6.62</v>
      </c>
      <c r="P165" s="12">
        <f t="shared" ref="P165:P196" si="61">CHOOSE($C$6,T165,U165,V165,W165)</f>
        <v>0.80526964557733272</v>
      </c>
      <c r="Q165" s="12">
        <f t="shared" ref="Q165:Q196" si="62">L165/$C$9-P165</f>
        <v>-2.696455773326667E-4</v>
      </c>
      <c r="R165" s="12">
        <f t="shared" ref="R165:R196" si="63">P165-(L165-1)/$C$9</f>
        <v>5.2696455773326711E-3</v>
      </c>
      <c r="S165" s="11">
        <f t="shared" ref="S165:S196" si="64">(2*L165-1)*LN(P165)+(2*$C$9+1-2*L165)*LN(1-P165)</f>
        <v>-198.77658677923336</v>
      </c>
      <c r="T165" s="12">
        <f t="shared" ref="T165:T196" si="65">MIN(1-0.000000000001,MAX(0.000000000001,1-EXP(-(O165)/$C$10)))</f>
        <v>0.77005960664686635</v>
      </c>
      <c r="U165" s="12">
        <f t="shared" ref="U165:U196" si="66">MIN(1-0.000000000001,MAX(0.000000000001,_xlfn.GAMMA.DIST(O165,$C$12,$C$13,TRUE)))</f>
        <v>0.80526964557733272</v>
      </c>
      <c r="V165" s="12">
        <f t="shared" ref="V165:V196" si="67">MIN(1-0.000000000001,MAX(0.000000000001,_xlfn.NORM.DIST(O165,$C$10,$C$11,TRUE)))</f>
        <v>0.77342041800528916</v>
      </c>
      <c r="W165" s="12">
        <f t="shared" ref="W165:W196" si="68">MIN(1-0.000000000001,MAX(0.000000000001,_xlfn.LOGNORM.DIST(O165,$C$14,$C$15,TRUE)))</f>
        <v>0.81006159021282131</v>
      </c>
      <c r="X165">
        <f t="shared" ref="X165:X196" si="69">L165/$C$9</f>
        <v>0.80500000000000005</v>
      </c>
    </row>
    <row r="166" spans="12:24" x14ac:dyDescent="0.45">
      <c r="L166" s="9">
        <v>162</v>
      </c>
      <c r="M166" s="17">
        <v>2.02</v>
      </c>
      <c r="N166" s="11">
        <f t="shared" si="59"/>
        <v>0.70309751141311339</v>
      </c>
      <c r="O166" s="10">
        <f t="shared" si="60"/>
        <v>6.66</v>
      </c>
      <c r="P166" s="12">
        <f t="shared" si="61"/>
        <v>0.80825130138742995</v>
      </c>
      <c r="Q166" s="12">
        <f t="shared" si="62"/>
        <v>1.7486986125700987E-3</v>
      </c>
      <c r="R166" s="12">
        <f t="shared" si="63"/>
        <v>3.2513013874299057E-3</v>
      </c>
      <c r="S166" s="11">
        <f t="shared" si="64"/>
        <v>-195.93182865151746</v>
      </c>
      <c r="T166" s="12">
        <f t="shared" si="65"/>
        <v>0.77209284467371919</v>
      </c>
      <c r="U166" s="12">
        <f t="shared" si="66"/>
        <v>0.80825130138742995</v>
      </c>
      <c r="V166" s="12">
        <f t="shared" si="67"/>
        <v>0.7776666765117809</v>
      </c>
      <c r="W166" s="12">
        <f t="shared" si="68"/>
        <v>0.81250259315845108</v>
      </c>
      <c r="X166">
        <f t="shared" si="69"/>
        <v>0.81</v>
      </c>
    </row>
    <row r="167" spans="12:24" x14ac:dyDescent="0.45">
      <c r="L167" s="9">
        <v>163</v>
      </c>
      <c r="M167" s="17">
        <v>13.39</v>
      </c>
      <c r="N167" s="11">
        <f t="shared" si="59"/>
        <v>2.5945081597030812</v>
      </c>
      <c r="O167" s="10">
        <f t="shared" si="60"/>
        <v>6.67</v>
      </c>
      <c r="P167" s="12">
        <f t="shared" si="61"/>
        <v>0.80899053041649538</v>
      </c>
      <c r="Q167" s="12">
        <f t="shared" si="62"/>
        <v>6.0094695835045675E-3</v>
      </c>
      <c r="R167" s="12">
        <f t="shared" si="63"/>
        <v>-1.0094695835046741E-3</v>
      </c>
      <c r="S167" s="11">
        <f t="shared" si="64"/>
        <v>-193.04704235775992</v>
      </c>
      <c r="T167" s="12">
        <f t="shared" si="65"/>
        <v>0.77259833875567618</v>
      </c>
      <c r="U167" s="12">
        <f t="shared" si="66"/>
        <v>0.80899053041649538</v>
      </c>
      <c r="V167" s="12">
        <f t="shared" si="67"/>
        <v>0.77872110384948989</v>
      </c>
      <c r="W167" s="12">
        <f t="shared" si="68"/>
        <v>0.81310752429069222</v>
      </c>
      <c r="X167">
        <f t="shared" si="69"/>
        <v>0.81499999999999995</v>
      </c>
    </row>
    <row r="168" spans="12:24" x14ac:dyDescent="0.45">
      <c r="L168" s="9">
        <v>164</v>
      </c>
      <c r="M168" s="17">
        <v>3.76</v>
      </c>
      <c r="N168" s="11">
        <f t="shared" si="59"/>
        <v>1.324418957401803</v>
      </c>
      <c r="O168" s="10">
        <f t="shared" si="60"/>
        <v>6.7</v>
      </c>
      <c r="P168" s="12">
        <f t="shared" si="61"/>
        <v>0.81119346400858661</v>
      </c>
      <c r="Q168" s="12">
        <f t="shared" si="62"/>
        <v>8.8065359914133445E-3</v>
      </c>
      <c r="R168" s="12">
        <f t="shared" si="63"/>
        <v>-3.8065359914133401E-3</v>
      </c>
      <c r="S168" s="11">
        <f t="shared" si="64"/>
        <v>-190.11769173159047</v>
      </c>
      <c r="T168" s="12">
        <f t="shared" si="65"/>
        <v>0.77410810388087214</v>
      </c>
      <c r="U168" s="12">
        <f t="shared" si="66"/>
        <v>0.81119346400858661</v>
      </c>
      <c r="V168" s="12">
        <f t="shared" si="67"/>
        <v>0.78186716846709059</v>
      </c>
      <c r="W168" s="12">
        <f t="shared" si="68"/>
        <v>0.81490967103391831</v>
      </c>
      <c r="X168">
        <f t="shared" si="69"/>
        <v>0.82</v>
      </c>
    </row>
    <row r="169" spans="12:24" x14ac:dyDescent="0.45">
      <c r="L169" s="9">
        <v>165</v>
      </c>
      <c r="M169" s="17">
        <v>5.34</v>
      </c>
      <c r="N169" s="11">
        <f t="shared" si="59"/>
        <v>1.6752256529721035</v>
      </c>
      <c r="O169" s="10">
        <f t="shared" si="60"/>
        <v>6.76</v>
      </c>
      <c r="P169" s="12">
        <f t="shared" si="61"/>
        <v>0.81553345033671343</v>
      </c>
      <c r="Q169" s="12">
        <f t="shared" si="62"/>
        <v>9.4665496632865276E-3</v>
      </c>
      <c r="R169" s="12">
        <f t="shared" si="63"/>
        <v>-4.4665496632865231E-3</v>
      </c>
      <c r="S169" s="11">
        <f t="shared" si="64"/>
        <v>-187.09771077312541</v>
      </c>
      <c r="T169" s="12">
        <f t="shared" si="65"/>
        <v>0.77709762978199348</v>
      </c>
      <c r="U169" s="12">
        <f t="shared" si="66"/>
        <v>0.81553345033671343</v>
      </c>
      <c r="V169" s="12">
        <f t="shared" si="67"/>
        <v>0.78808135229633114</v>
      </c>
      <c r="W169" s="12">
        <f t="shared" si="68"/>
        <v>0.81845772461627053</v>
      </c>
      <c r="X169">
        <f t="shared" si="69"/>
        <v>0.82499999999999996</v>
      </c>
    </row>
    <row r="170" spans="12:24" x14ac:dyDescent="0.45">
      <c r="L170" s="9">
        <v>166</v>
      </c>
      <c r="M170" s="17">
        <v>1.82</v>
      </c>
      <c r="N170" s="11">
        <f t="shared" si="59"/>
        <v>0.59883650108870401</v>
      </c>
      <c r="O170" s="10">
        <f t="shared" si="60"/>
        <v>6.88</v>
      </c>
      <c r="P170" s="12">
        <f t="shared" si="61"/>
        <v>0.82395420248089024</v>
      </c>
      <c r="Q170" s="12">
        <f t="shared" si="62"/>
        <v>6.0457975191097191E-3</v>
      </c>
      <c r="R170" s="12">
        <f t="shared" si="63"/>
        <v>-1.0457975191097146E-3</v>
      </c>
      <c r="S170" s="11">
        <f t="shared" si="64"/>
        <v>-183.94871549183642</v>
      </c>
      <c r="T170" s="12">
        <f t="shared" si="65"/>
        <v>0.7829585121538043</v>
      </c>
      <c r="U170" s="12">
        <f t="shared" si="66"/>
        <v>0.82395420248089024</v>
      </c>
      <c r="V170" s="12">
        <f t="shared" si="67"/>
        <v>0.80019437404612659</v>
      </c>
      <c r="W170" s="12">
        <f t="shared" si="68"/>
        <v>0.82533440576111372</v>
      </c>
      <c r="X170">
        <f t="shared" si="69"/>
        <v>0.83</v>
      </c>
    </row>
    <row r="171" spans="12:24" x14ac:dyDescent="0.45">
      <c r="L171" s="9">
        <v>167</v>
      </c>
      <c r="M171" s="17">
        <v>2.1800000000000002</v>
      </c>
      <c r="N171" s="11">
        <f t="shared" si="59"/>
        <v>0.77932487680099771</v>
      </c>
      <c r="O171" s="10">
        <f t="shared" si="60"/>
        <v>6.91</v>
      </c>
      <c r="P171" s="12">
        <f t="shared" si="61"/>
        <v>0.82600628639275797</v>
      </c>
      <c r="Q171" s="12">
        <f t="shared" si="62"/>
        <v>8.9937136072419932E-3</v>
      </c>
      <c r="R171" s="12">
        <f t="shared" si="63"/>
        <v>-3.9937136072419888E-3</v>
      </c>
      <c r="S171" s="11">
        <f t="shared" si="64"/>
        <v>-180.81923329408625</v>
      </c>
      <c r="T171" s="12">
        <f t="shared" si="65"/>
        <v>0.7843994940150526</v>
      </c>
      <c r="U171" s="12">
        <f t="shared" si="66"/>
        <v>0.82600628639275797</v>
      </c>
      <c r="V171" s="12">
        <f t="shared" si="67"/>
        <v>0.80315627124698463</v>
      </c>
      <c r="W171" s="12">
        <f t="shared" si="68"/>
        <v>0.82700899367422598</v>
      </c>
      <c r="X171">
        <f t="shared" si="69"/>
        <v>0.83499999999999996</v>
      </c>
    </row>
    <row r="172" spans="12:24" x14ac:dyDescent="0.45">
      <c r="L172" s="9">
        <v>168</v>
      </c>
      <c r="M172" s="17">
        <v>10.55</v>
      </c>
      <c r="N172" s="11">
        <f t="shared" si="59"/>
        <v>2.3561258599220753</v>
      </c>
      <c r="O172" s="10">
        <f t="shared" si="60"/>
        <v>6.96</v>
      </c>
      <c r="P172" s="12">
        <f t="shared" si="61"/>
        <v>0.82937998716280248</v>
      </c>
      <c r="Q172" s="12">
        <f t="shared" si="62"/>
        <v>1.062001283719749E-2</v>
      </c>
      <c r="R172" s="12">
        <f t="shared" si="63"/>
        <v>-5.6200128371974856E-3</v>
      </c>
      <c r="S172" s="11">
        <f t="shared" si="64"/>
        <v>-177.61131060031937</v>
      </c>
      <c r="T172" s="12">
        <f t="shared" si="65"/>
        <v>0.78677990190788871</v>
      </c>
      <c r="U172" s="12">
        <f t="shared" si="66"/>
        <v>0.82937998716280248</v>
      </c>
      <c r="V172" s="12">
        <f t="shared" si="67"/>
        <v>0.80803329594222217</v>
      </c>
      <c r="W172" s="12">
        <f t="shared" si="68"/>
        <v>0.82976128296161755</v>
      </c>
      <c r="X172">
        <f t="shared" si="69"/>
        <v>0.84</v>
      </c>
    </row>
    <row r="173" spans="12:24" x14ac:dyDescent="0.45">
      <c r="L173" s="9">
        <v>169</v>
      </c>
      <c r="M173" s="17">
        <v>6.18</v>
      </c>
      <c r="N173" s="11">
        <f t="shared" si="59"/>
        <v>1.8213182714695995</v>
      </c>
      <c r="O173" s="10">
        <f t="shared" si="60"/>
        <v>7.05</v>
      </c>
      <c r="P173" s="12">
        <f t="shared" si="61"/>
        <v>0.83530841732877315</v>
      </c>
      <c r="Q173" s="12">
        <f t="shared" si="62"/>
        <v>9.6915826712268283E-3</v>
      </c>
      <c r="R173" s="12">
        <f t="shared" si="63"/>
        <v>-4.6915826712268238E-3</v>
      </c>
      <c r="S173" s="11">
        <f t="shared" si="64"/>
        <v>-174.27647296587082</v>
      </c>
      <c r="T173" s="12">
        <f t="shared" si="65"/>
        <v>0.79099860140518741</v>
      </c>
      <c r="U173" s="12">
        <f t="shared" si="66"/>
        <v>0.83530841732877315</v>
      </c>
      <c r="V173" s="12">
        <f t="shared" si="67"/>
        <v>0.81662352727572829</v>
      </c>
      <c r="W173" s="12">
        <f t="shared" si="68"/>
        <v>0.83459598242548205</v>
      </c>
      <c r="X173">
        <f t="shared" si="69"/>
        <v>0.84499999999999997</v>
      </c>
    </row>
    <row r="174" spans="12:24" x14ac:dyDescent="0.45">
      <c r="L174" s="9">
        <v>170</v>
      </c>
      <c r="M174" s="17">
        <v>3.78</v>
      </c>
      <c r="N174" s="11">
        <f t="shared" si="59"/>
        <v>1.3297240096314962</v>
      </c>
      <c r="O174" s="10">
        <f t="shared" si="60"/>
        <v>7.06</v>
      </c>
      <c r="P174" s="12">
        <f t="shared" si="61"/>
        <v>0.83595582866204365</v>
      </c>
      <c r="Q174" s="12">
        <f t="shared" si="62"/>
        <v>1.4044171337956324E-2</v>
      </c>
      <c r="R174" s="12">
        <f t="shared" si="63"/>
        <v>-9.0441713379563193E-3</v>
      </c>
      <c r="S174" s="11">
        <f t="shared" si="64"/>
        <v>-171.00664434542207</v>
      </c>
      <c r="T174" s="12">
        <f t="shared" si="65"/>
        <v>0.79146216284957971</v>
      </c>
      <c r="U174" s="12">
        <f t="shared" si="66"/>
        <v>0.83595582866204365</v>
      </c>
      <c r="V174" s="12">
        <f t="shared" si="67"/>
        <v>0.81756297777269493</v>
      </c>
      <c r="W174" s="12">
        <f t="shared" si="68"/>
        <v>0.83512386272610395</v>
      </c>
      <c r="X174">
        <f t="shared" si="69"/>
        <v>0.85</v>
      </c>
    </row>
    <row r="175" spans="12:24" x14ac:dyDescent="0.45">
      <c r="L175" s="9">
        <v>171</v>
      </c>
      <c r="M175" s="17">
        <v>1.45</v>
      </c>
      <c r="N175" s="11">
        <f t="shared" si="59"/>
        <v>0.37156355643248301</v>
      </c>
      <c r="O175" s="10">
        <f t="shared" si="60"/>
        <v>7.31</v>
      </c>
      <c r="P175" s="12">
        <f t="shared" si="61"/>
        <v>0.85142820614165804</v>
      </c>
      <c r="Q175" s="12">
        <f t="shared" si="62"/>
        <v>3.5717938583419429E-3</v>
      </c>
      <c r="R175" s="12">
        <f t="shared" si="63"/>
        <v>1.4282061416580616E-3</v>
      </c>
      <c r="S175" s="11">
        <f t="shared" si="64"/>
        <v>-167.34100473652782</v>
      </c>
      <c r="T175" s="12">
        <f t="shared" si="65"/>
        <v>0.80272289765422489</v>
      </c>
      <c r="U175" s="12">
        <f t="shared" si="66"/>
        <v>0.85142820614165804</v>
      </c>
      <c r="V175" s="12">
        <f t="shared" si="67"/>
        <v>0.84006604423855502</v>
      </c>
      <c r="W175" s="12">
        <f t="shared" si="68"/>
        <v>0.84774066788313795</v>
      </c>
      <c r="X175">
        <f t="shared" si="69"/>
        <v>0.85499999999999998</v>
      </c>
    </row>
    <row r="176" spans="12:24" x14ac:dyDescent="0.45">
      <c r="L176" s="9">
        <v>172</v>
      </c>
      <c r="M176" s="17">
        <v>10.31</v>
      </c>
      <c r="N176" s="11">
        <f t="shared" si="59"/>
        <v>2.3331142980288688</v>
      </c>
      <c r="O176" s="10">
        <f t="shared" si="60"/>
        <v>7.33</v>
      </c>
      <c r="P176" s="12">
        <f t="shared" si="61"/>
        <v>0.85260821578530477</v>
      </c>
      <c r="Q176" s="12">
        <f t="shared" si="62"/>
        <v>7.3917842146952184E-3</v>
      </c>
      <c r="R176" s="12">
        <f t="shared" si="63"/>
        <v>-2.391784214695214E-3</v>
      </c>
      <c r="S176" s="11">
        <f t="shared" si="64"/>
        <v>-163.82879173230793</v>
      </c>
      <c r="T176" s="12">
        <f t="shared" si="65"/>
        <v>0.80359704148109357</v>
      </c>
      <c r="U176" s="12">
        <f t="shared" si="66"/>
        <v>0.85260821578530477</v>
      </c>
      <c r="V176" s="12">
        <f t="shared" si="67"/>
        <v>0.84178433710456779</v>
      </c>
      <c r="W176" s="12">
        <f t="shared" si="68"/>
        <v>0.84870341212060563</v>
      </c>
      <c r="X176">
        <f t="shared" si="69"/>
        <v>0.86</v>
      </c>
    </row>
    <row r="177" spans="12:24" x14ac:dyDescent="0.45">
      <c r="L177" s="9">
        <v>173</v>
      </c>
      <c r="M177" s="17">
        <v>2.11</v>
      </c>
      <c r="N177" s="11">
        <f t="shared" si="59"/>
        <v>0.74668794748797507</v>
      </c>
      <c r="O177" s="10">
        <f t="shared" si="60"/>
        <v>7.4</v>
      </c>
      <c r="P177" s="12">
        <f t="shared" si="61"/>
        <v>0.85667287898927214</v>
      </c>
      <c r="Q177" s="12">
        <f t="shared" si="62"/>
        <v>8.3271210107278559E-3</v>
      </c>
      <c r="R177" s="12">
        <f t="shared" si="63"/>
        <v>-3.3271210107278515E-3</v>
      </c>
      <c r="S177" s="11">
        <f t="shared" si="64"/>
        <v>-160.21561621965935</v>
      </c>
      <c r="T177" s="12">
        <f t="shared" si="65"/>
        <v>0.80662615452326147</v>
      </c>
      <c r="U177" s="12">
        <f t="shared" si="66"/>
        <v>0.85667287898927214</v>
      </c>
      <c r="V177" s="12">
        <f t="shared" si="67"/>
        <v>0.84770261228155985</v>
      </c>
      <c r="W177" s="12">
        <f t="shared" si="68"/>
        <v>0.85202085203198885</v>
      </c>
      <c r="X177">
        <f t="shared" si="69"/>
        <v>0.86499999999999999</v>
      </c>
    </row>
    <row r="178" spans="12:24" x14ac:dyDescent="0.45">
      <c r="L178" s="9">
        <v>174</v>
      </c>
      <c r="M178" s="17">
        <v>3.01</v>
      </c>
      <c r="N178" s="11">
        <f t="shared" si="59"/>
        <v>1.1019400787607843</v>
      </c>
      <c r="O178" s="10">
        <f t="shared" si="60"/>
        <v>7.45</v>
      </c>
      <c r="P178" s="12">
        <f t="shared" si="61"/>
        <v>0.85951474766026537</v>
      </c>
      <c r="Q178" s="12">
        <f t="shared" si="62"/>
        <v>1.048525233973463E-2</v>
      </c>
      <c r="R178" s="12">
        <f t="shared" si="63"/>
        <v>-5.4852523397346253E-3</v>
      </c>
      <c r="S178" s="11">
        <f t="shared" si="64"/>
        <v>-156.55198802065803</v>
      </c>
      <c r="T178" s="12">
        <f t="shared" si="65"/>
        <v>0.80876116170210843</v>
      </c>
      <c r="U178" s="12">
        <f t="shared" si="66"/>
        <v>0.85951474766026537</v>
      </c>
      <c r="V178" s="12">
        <f t="shared" si="67"/>
        <v>0.85183881173101184</v>
      </c>
      <c r="W178" s="12">
        <f t="shared" si="68"/>
        <v>0.85434160602642428</v>
      </c>
      <c r="X178">
        <f t="shared" si="69"/>
        <v>0.87</v>
      </c>
    </row>
    <row r="179" spans="12:24" x14ac:dyDescent="0.45">
      <c r="L179" s="9">
        <v>175</v>
      </c>
      <c r="M179" s="17">
        <v>3.76</v>
      </c>
      <c r="N179" s="11">
        <f t="shared" si="59"/>
        <v>1.324418957401803</v>
      </c>
      <c r="O179" s="10">
        <f t="shared" si="60"/>
        <v>7.49</v>
      </c>
      <c r="P179" s="12">
        <f t="shared" si="61"/>
        <v>0.86175190892407894</v>
      </c>
      <c r="Q179" s="12">
        <f t="shared" si="62"/>
        <v>1.3248091075921065E-2</v>
      </c>
      <c r="R179" s="12">
        <f t="shared" si="63"/>
        <v>-8.2480910759210602E-3</v>
      </c>
      <c r="S179" s="11">
        <f t="shared" si="64"/>
        <v>-152.84094035585917</v>
      </c>
      <c r="T179" s="12">
        <f t="shared" si="65"/>
        <v>0.81045218289489762</v>
      </c>
      <c r="U179" s="12">
        <f t="shared" si="66"/>
        <v>0.86175190892407894</v>
      </c>
      <c r="V179" s="12">
        <f t="shared" si="67"/>
        <v>0.85509315398701058</v>
      </c>
      <c r="W179" s="12">
        <f t="shared" si="68"/>
        <v>0.85616946530924076</v>
      </c>
      <c r="X179">
        <f t="shared" si="69"/>
        <v>0.875</v>
      </c>
    </row>
    <row r="180" spans="12:24" x14ac:dyDescent="0.45">
      <c r="L180" s="9">
        <v>176</v>
      </c>
      <c r="M180" s="17">
        <v>5.27</v>
      </c>
      <c r="N180" s="11">
        <f t="shared" si="59"/>
        <v>1.6620303625532709</v>
      </c>
      <c r="O180" s="10">
        <f t="shared" si="60"/>
        <v>7.65</v>
      </c>
      <c r="P180" s="12">
        <f t="shared" si="61"/>
        <v>0.87038508659332792</v>
      </c>
      <c r="Q180" s="12">
        <f t="shared" si="62"/>
        <v>9.6149134066720876E-3</v>
      </c>
      <c r="R180" s="12">
        <f t="shared" si="63"/>
        <v>-4.6149134066720832E-3</v>
      </c>
      <c r="S180" s="11">
        <f t="shared" si="64"/>
        <v>-148.84184151170061</v>
      </c>
      <c r="T180" s="12">
        <f t="shared" si="65"/>
        <v>0.81706805620318212</v>
      </c>
      <c r="U180" s="12">
        <f t="shared" si="66"/>
        <v>0.87038508659332792</v>
      </c>
      <c r="V180" s="12">
        <f t="shared" si="67"/>
        <v>0.86762673340789487</v>
      </c>
      <c r="W180" s="12">
        <f t="shared" si="68"/>
        <v>0.86323301391784546</v>
      </c>
      <c r="X180">
        <f t="shared" si="69"/>
        <v>0.88</v>
      </c>
    </row>
    <row r="181" spans="12:24" x14ac:dyDescent="0.45">
      <c r="L181" s="9">
        <v>177</v>
      </c>
      <c r="M181" s="17">
        <v>4.22</v>
      </c>
      <c r="N181" s="11">
        <f t="shared" si="59"/>
        <v>1.4398351280479205</v>
      </c>
      <c r="O181" s="10">
        <f t="shared" si="60"/>
        <v>7.77</v>
      </c>
      <c r="P181" s="12">
        <f t="shared" si="61"/>
        <v>0.87653871383761417</v>
      </c>
      <c r="Q181" s="12">
        <f t="shared" si="62"/>
        <v>8.4612861623858393E-3</v>
      </c>
      <c r="R181" s="12">
        <f t="shared" si="63"/>
        <v>-3.4612861623858349E-3</v>
      </c>
      <c r="S181" s="11">
        <f t="shared" si="64"/>
        <v>-144.83226493365939</v>
      </c>
      <c r="T181" s="12">
        <f t="shared" si="65"/>
        <v>0.82187797636505056</v>
      </c>
      <c r="U181" s="12">
        <f t="shared" si="66"/>
        <v>0.87653871383761417</v>
      </c>
      <c r="V181" s="12">
        <f t="shared" si="67"/>
        <v>0.87652237263693222</v>
      </c>
      <c r="W181" s="12">
        <f t="shared" si="68"/>
        <v>0.86828029644630367</v>
      </c>
      <c r="X181">
        <f t="shared" si="69"/>
        <v>0.88500000000000001</v>
      </c>
    </row>
    <row r="182" spans="12:24" x14ac:dyDescent="0.45">
      <c r="L182" s="9">
        <v>178</v>
      </c>
      <c r="M182" s="17">
        <v>4.09</v>
      </c>
      <c r="N182" s="11">
        <f t="shared" si="59"/>
        <v>1.4085449700547104</v>
      </c>
      <c r="O182" s="10">
        <f t="shared" si="60"/>
        <v>7.84</v>
      </c>
      <c r="P182" s="12">
        <f t="shared" si="61"/>
        <v>0.88000544086615806</v>
      </c>
      <c r="Q182" s="12">
        <f t="shared" si="62"/>
        <v>9.9945591338419515E-3</v>
      </c>
      <c r="R182" s="12">
        <f t="shared" si="63"/>
        <v>-4.9945591338419471E-3</v>
      </c>
      <c r="S182" s="11">
        <f t="shared" si="64"/>
        <v>-140.79255149799334</v>
      </c>
      <c r="T182" s="12">
        <f t="shared" si="65"/>
        <v>0.82462514345947102</v>
      </c>
      <c r="U182" s="12">
        <f t="shared" si="66"/>
        <v>0.88000544086615806</v>
      </c>
      <c r="V182" s="12">
        <f t="shared" si="67"/>
        <v>0.88151376955019833</v>
      </c>
      <c r="W182" s="12">
        <f t="shared" si="68"/>
        <v>0.8711295779723548</v>
      </c>
      <c r="X182">
        <f t="shared" si="69"/>
        <v>0.89</v>
      </c>
    </row>
    <row r="183" spans="12:24" x14ac:dyDescent="0.45">
      <c r="L183" s="9">
        <v>179</v>
      </c>
      <c r="M183" s="17">
        <v>12.5</v>
      </c>
      <c r="N183" s="11">
        <f t="shared" si="59"/>
        <v>2.5257286443082556</v>
      </c>
      <c r="O183" s="10">
        <f t="shared" si="60"/>
        <v>8</v>
      </c>
      <c r="P183" s="12">
        <f t="shared" si="61"/>
        <v>0.88760099921856317</v>
      </c>
      <c r="Q183" s="12">
        <f t="shared" si="62"/>
        <v>7.3990007814368486E-3</v>
      </c>
      <c r="R183" s="12">
        <f t="shared" si="63"/>
        <v>-2.3990007814368441E-3</v>
      </c>
      <c r="S183" s="11">
        <f t="shared" si="64"/>
        <v>-136.55127744558285</v>
      </c>
      <c r="T183" s="12">
        <f t="shared" si="65"/>
        <v>0.83074633150611232</v>
      </c>
      <c r="U183" s="12">
        <f t="shared" si="66"/>
        <v>0.88760099921856317</v>
      </c>
      <c r="V183" s="12">
        <f t="shared" si="67"/>
        <v>0.89238280445554863</v>
      </c>
      <c r="W183" s="12">
        <f t="shared" si="68"/>
        <v>0.87739040331565854</v>
      </c>
      <c r="X183">
        <f t="shared" si="69"/>
        <v>0.89500000000000002</v>
      </c>
    </row>
    <row r="184" spans="12:24" x14ac:dyDescent="0.45">
      <c r="L184" s="9">
        <v>180</v>
      </c>
      <c r="M184" s="17">
        <v>4.5</v>
      </c>
      <c r="N184" s="11">
        <f t="shared" si="59"/>
        <v>1.5040773967762742</v>
      </c>
      <c r="O184" s="10">
        <f t="shared" si="60"/>
        <v>8.1199999999999992</v>
      </c>
      <c r="P184" s="12">
        <f t="shared" si="61"/>
        <v>0.89300827557190821</v>
      </c>
      <c r="Q184" s="12">
        <f t="shared" si="62"/>
        <v>6.9917244280918167E-3</v>
      </c>
      <c r="R184" s="12">
        <f t="shared" si="63"/>
        <v>-1.9917244280918123E-3</v>
      </c>
      <c r="S184" s="11">
        <f t="shared" si="64"/>
        <v>-132.25939108718879</v>
      </c>
      <c r="T184" s="12">
        <f t="shared" si="65"/>
        <v>0.83519660200377432</v>
      </c>
      <c r="U184" s="12">
        <f t="shared" si="66"/>
        <v>0.89300827557190821</v>
      </c>
      <c r="V184" s="12">
        <f t="shared" si="67"/>
        <v>0.9000495774918833</v>
      </c>
      <c r="W184" s="12">
        <f t="shared" si="68"/>
        <v>0.88186567974617713</v>
      </c>
      <c r="X184">
        <f t="shared" si="69"/>
        <v>0.9</v>
      </c>
    </row>
    <row r="185" spans="12:24" x14ac:dyDescent="0.45">
      <c r="L185" s="9">
        <v>181</v>
      </c>
      <c r="M185" s="17">
        <v>5.58</v>
      </c>
      <c r="N185" s="11">
        <f t="shared" si="59"/>
        <v>1.7191887763932197</v>
      </c>
      <c r="O185" s="10">
        <f t="shared" si="60"/>
        <v>8.23</v>
      </c>
      <c r="P185" s="12">
        <f t="shared" si="61"/>
        <v>0.89775563994981078</v>
      </c>
      <c r="Q185" s="12">
        <f t="shared" si="62"/>
        <v>7.2443600501892469E-3</v>
      </c>
      <c r="R185" s="12">
        <f t="shared" si="63"/>
        <v>-2.2443600501892425E-3</v>
      </c>
      <c r="S185" s="11">
        <f t="shared" si="64"/>
        <v>-127.87170436855466</v>
      </c>
      <c r="T185" s="12">
        <f t="shared" si="65"/>
        <v>0.83917314819334898</v>
      </c>
      <c r="U185" s="12">
        <f t="shared" si="66"/>
        <v>0.89775563994981078</v>
      </c>
      <c r="V185" s="12">
        <f t="shared" si="67"/>
        <v>0.90671991340918723</v>
      </c>
      <c r="W185" s="12">
        <f t="shared" si="68"/>
        <v>0.88580981003416481</v>
      </c>
      <c r="X185">
        <f t="shared" si="69"/>
        <v>0.90500000000000003</v>
      </c>
    </row>
    <row r="186" spans="12:24" x14ac:dyDescent="0.45">
      <c r="L186" s="9">
        <v>182</v>
      </c>
      <c r="M186" s="17">
        <v>1.37</v>
      </c>
      <c r="N186" s="11">
        <f t="shared" si="59"/>
        <v>0.3148107398400336</v>
      </c>
      <c r="O186" s="10">
        <f t="shared" si="60"/>
        <v>8.27</v>
      </c>
      <c r="P186" s="12">
        <f t="shared" si="61"/>
        <v>0.89943370259809352</v>
      </c>
      <c r="Q186" s="12">
        <f t="shared" si="62"/>
        <v>1.056629740190651E-2</v>
      </c>
      <c r="R186" s="12">
        <f t="shared" si="63"/>
        <v>-5.5662974019065059E-3</v>
      </c>
      <c r="S186" s="11">
        <f t="shared" si="64"/>
        <v>-123.4610551449496</v>
      </c>
      <c r="T186" s="12">
        <f t="shared" si="65"/>
        <v>0.8405952527051479</v>
      </c>
      <c r="U186" s="12">
        <f t="shared" si="66"/>
        <v>0.89943370259809352</v>
      </c>
      <c r="V186" s="12">
        <f t="shared" si="67"/>
        <v>0.90906209829142104</v>
      </c>
      <c r="W186" s="12">
        <f t="shared" si="68"/>
        <v>0.8872077360232159</v>
      </c>
      <c r="X186">
        <f t="shared" si="69"/>
        <v>0.91</v>
      </c>
    </row>
    <row r="187" spans="12:24" x14ac:dyDescent="0.45">
      <c r="L187" s="9">
        <v>183</v>
      </c>
      <c r="M187" s="17">
        <v>6.76</v>
      </c>
      <c r="N187" s="11">
        <f t="shared" si="59"/>
        <v>1.9110228900548727</v>
      </c>
      <c r="O187" s="10">
        <f t="shared" si="60"/>
        <v>8.59</v>
      </c>
      <c r="P187" s="12">
        <f t="shared" si="61"/>
        <v>0.91197683092666626</v>
      </c>
      <c r="Q187" s="12">
        <f t="shared" si="62"/>
        <v>3.0231690733337757E-3</v>
      </c>
      <c r="R187" s="12">
        <f t="shared" si="63"/>
        <v>1.9768309266662287E-3</v>
      </c>
      <c r="S187" s="11">
        <f t="shared" si="64"/>
        <v>-118.68678577756452</v>
      </c>
      <c r="T187" s="12">
        <f t="shared" si="65"/>
        <v>0.85152860988964796</v>
      </c>
      <c r="U187" s="12">
        <f t="shared" si="66"/>
        <v>0.91197683092666626</v>
      </c>
      <c r="V187" s="12">
        <f t="shared" si="67"/>
        <v>0.92625099250864307</v>
      </c>
      <c r="W187" s="12">
        <f t="shared" si="68"/>
        <v>0.8977326196176757</v>
      </c>
      <c r="X187">
        <f t="shared" si="69"/>
        <v>0.91500000000000004</v>
      </c>
    </row>
    <row r="188" spans="12:24" x14ac:dyDescent="0.45">
      <c r="L188" s="9">
        <v>184</v>
      </c>
      <c r="M188" s="17">
        <v>1</v>
      </c>
      <c r="N188" s="11">
        <f t="shared" si="59"/>
        <v>0</v>
      </c>
      <c r="O188" s="10">
        <f t="shared" si="60"/>
        <v>8.65</v>
      </c>
      <c r="P188" s="12">
        <f t="shared" si="61"/>
        <v>0.91416198918942659</v>
      </c>
      <c r="Q188" s="12">
        <f t="shared" si="62"/>
        <v>5.8380108105734463E-3</v>
      </c>
      <c r="R188" s="12">
        <f t="shared" si="63"/>
        <v>-8.3801081057344184E-4</v>
      </c>
      <c r="S188" s="11">
        <f t="shared" si="64"/>
        <v>-113.96201031370131</v>
      </c>
      <c r="T188" s="12">
        <f t="shared" si="65"/>
        <v>0.85349352794972888</v>
      </c>
      <c r="U188" s="12">
        <f t="shared" si="66"/>
        <v>0.91416198918942659</v>
      </c>
      <c r="V188" s="12">
        <f t="shared" si="67"/>
        <v>0.92917751022500294</v>
      </c>
      <c r="W188" s="12">
        <f t="shared" si="68"/>
        <v>0.89958218414664515</v>
      </c>
      <c r="X188">
        <f t="shared" si="69"/>
        <v>0.92</v>
      </c>
    </row>
    <row r="189" spans="12:24" x14ac:dyDescent="0.45">
      <c r="L189" s="9">
        <v>185</v>
      </c>
      <c r="M189" s="17">
        <v>2.63</v>
      </c>
      <c r="N189" s="11">
        <f t="shared" si="59"/>
        <v>0.96698384618967315</v>
      </c>
      <c r="O189" s="10">
        <f t="shared" si="60"/>
        <v>8.6999999999999993</v>
      </c>
      <c r="P189" s="12">
        <f t="shared" si="61"/>
        <v>0.91594461633674285</v>
      </c>
      <c r="Q189" s="12">
        <f t="shared" si="62"/>
        <v>9.0553836632571993E-3</v>
      </c>
      <c r="R189" s="12">
        <f t="shared" si="63"/>
        <v>-4.0553836632571949E-3</v>
      </c>
      <c r="S189" s="11">
        <f t="shared" si="64"/>
        <v>-109.16263113237073</v>
      </c>
      <c r="T189" s="12">
        <f t="shared" si="65"/>
        <v>0.85511108056551155</v>
      </c>
      <c r="U189" s="12">
        <f t="shared" si="66"/>
        <v>0.91594461633674285</v>
      </c>
      <c r="V189" s="12">
        <f t="shared" si="67"/>
        <v>0.93154741997093815</v>
      </c>
      <c r="W189" s="12">
        <f t="shared" si="68"/>
        <v>0.90109514352640141</v>
      </c>
      <c r="X189">
        <f t="shared" si="69"/>
        <v>0.92500000000000004</v>
      </c>
    </row>
    <row r="190" spans="12:24" x14ac:dyDescent="0.45">
      <c r="L190" s="9">
        <v>186</v>
      </c>
      <c r="M190" s="17">
        <v>14.96</v>
      </c>
      <c r="N190" s="11">
        <f t="shared" si="59"/>
        <v>2.7053799725463312</v>
      </c>
      <c r="O190" s="10">
        <f t="shared" si="60"/>
        <v>8.86</v>
      </c>
      <c r="P190" s="12">
        <f t="shared" si="61"/>
        <v>0.92142175136189386</v>
      </c>
      <c r="Q190" s="12">
        <f t="shared" si="62"/>
        <v>8.5782486381061895E-3</v>
      </c>
      <c r="R190" s="12">
        <f t="shared" si="63"/>
        <v>-3.5782486381061851E-3</v>
      </c>
      <c r="S190" s="11">
        <f t="shared" si="64"/>
        <v>-104.12783301122388</v>
      </c>
      <c r="T190" s="12">
        <f t="shared" si="65"/>
        <v>0.86016820414199313</v>
      </c>
      <c r="U190" s="12">
        <f t="shared" si="66"/>
        <v>0.92142175136189386</v>
      </c>
      <c r="V190" s="12">
        <f t="shared" si="67"/>
        <v>0.93872125709785592</v>
      </c>
      <c r="W190" s="12">
        <f t="shared" si="68"/>
        <v>0.9057690142424174</v>
      </c>
      <c r="X190">
        <f t="shared" si="69"/>
        <v>0.93</v>
      </c>
    </row>
    <row r="191" spans="12:24" x14ac:dyDescent="0.45">
      <c r="L191" s="9">
        <v>187</v>
      </c>
      <c r="M191" s="17">
        <v>2.42</v>
      </c>
      <c r="N191" s="11">
        <f t="shared" si="59"/>
        <v>0.88376754016859504</v>
      </c>
      <c r="O191" s="10">
        <f t="shared" si="60"/>
        <v>9.56</v>
      </c>
      <c r="P191" s="12">
        <f t="shared" si="61"/>
        <v>0.94170766549402884</v>
      </c>
      <c r="Q191" s="12">
        <f t="shared" si="62"/>
        <v>-6.7076654940287916E-3</v>
      </c>
      <c r="R191" s="12">
        <f t="shared" si="63"/>
        <v>1.1707665494028796E-2</v>
      </c>
      <c r="S191" s="11">
        <f t="shared" si="64"/>
        <v>-99.144210444597704</v>
      </c>
      <c r="T191" s="12">
        <f t="shared" si="65"/>
        <v>0.88029755582413116</v>
      </c>
      <c r="U191" s="12">
        <f t="shared" si="66"/>
        <v>0.94170766549402884</v>
      </c>
      <c r="V191" s="12">
        <f t="shared" si="67"/>
        <v>0.96345294030270412</v>
      </c>
      <c r="W191" s="12">
        <f t="shared" si="68"/>
        <v>0.92352129355655266</v>
      </c>
      <c r="X191">
        <f t="shared" si="69"/>
        <v>0.93500000000000005</v>
      </c>
    </row>
    <row r="192" spans="12:24" x14ac:dyDescent="0.45">
      <c r="L192" s="9">
        <v>188</v>
      </c>
      <c r="M192" s="17">
        <v>4.17</v>
      </c>
      <c r="N192" s="11">
        <f t="shared" si="59"/>
        <v>1.4279160358107101</v>
      </c>
      <c r="O192" s="10">
        <f t="shared" si="60"/>
        <v>10.11</v>
      </c>
      <c r="P192" s="12">
        <f t="shared" si="61"/>
        <v>0.95408453695946138</v>
      </c>
      <c r="Q192" s="12">
        <f t="shared" si="62"/>
        <v>-1.4084536959461436E-2</v>
      </c>
      <c r="R192" s="12">
        <f t="shared" si="63"/>
        <v>1.9084536959461329E-2</v>
      </c>
      <c r="S192" s="11">
        <f t="shared" si="64"/>
        <v>-94.649957691366779</v>
      </c>
      <c r="T192" s="12">
        <f t="shared" si="65"/>
        <v>0.89405876973122167</v>
      </c>
      <c r="U192" s="12">
        <f t="shared" si="66"/>
        <v>0.95408453695946138</v>
      </c>
      <c r="V192" s="12">
        <f t="shared" si="67"/>
        <v>0.97654934022616835</v>
      </c>
      <c r="W192" s="12">
        <f t="shared" si="68"/>
        <v>0.93486507315444956</v>
      </c>
      <c r="X192">
        <f t="shared" si="69"/>
        <v>0.94</v>
      </c>
    </row>
    <row r="193" spans="12:24" x14ac:dyDescent="0.45">
      <c r="L193" s="9">
        <v>189</v>
      </c>
      <c r="M193" s="17">
        <v>1.75</v>
      </c>
      <c r="N193" s="11">
        <f t="shared" si="59"/>
        <v>0.55961578793542266</v>
      </c>
      <c r="O193" s="10">
        <f t="shared" si="60"/>
        <v>10.31</v>
      </c>
      <c r="P193" s="12">
        <f t="shared" si="61"/>
        <v>0.95793558489664488</v>
      </c>
      <c r="Q193" s="12">
        <f t="shared" si="62"/>
        <v>-1.2935584896644925E-2</v>
      </c>
      <c r="R193" s="12">
        <f t="shared" si="63"/>
        <v>1.7935584896644929E-2</v>
      </c>
      <c r="S193" s="11">
        <f t="shared" si="64"/>
        <v>-89.078200173499638</v>
      </c>
      <c r="T193" s="12">
        <f t="shared" si="65"/>
        <v>0.89866056835638308</v>
      </c>
      <c r="U193" s="12">
        <f t="shared" si="66"/>
        <v>0.95793558489664488</v>
      </c>
      <c r="V193" s="12">
        <f t="shared" si="67"/>
        <v>0.98020878702291303</v>
      </c>
      <c r="W193" s="12">
        <f t="shared" si="68"/>
        <v>0.93851323388612218</v>
      </c>
      <c r="X193">
        <f t="shared" si="69"/>
        <v>0.94499999999999995</v>
      </c>
    </row>
    <row r="194" spans="12:24" x14ac:dyDescent="0.45">
      <c r="L194" s="9">
        <v>190</v>
      </c>
      <c r="M194" s="17">
        <v>1.75</v>
      </c>
      <c r="N194" s="11">
        <f t="shared" si="59"/>
        <v>0.55961578793542266</v>
      </c>
      <c r="O194" s="10">
        <f t="shared" si="60"/>
        <v>10.34</v>
      </c>
      <c r="P194" s="12">
        <f t="shared" si="61"/>
        <v>0.95848617889484555</v>
      </c>
      <c r="Q194" s="12">
        <f t="shared" si="62"/>
        <v>-8.4861788948455974E-3</v>
      </c>
      <c r="R194" s="12">
        <f t="shared" si="63"/>
        <v>1.3486178894845602E-2</v>
      </c>
      <c r="S194" s="11">
        <f t="shared" si="64"/>
        <v>-82.885957826502121</v>
      </c>
      <c r="T194" s="12">
        <f t="shared" si="65"/>
        <v>0.89933338111802041</v>
      </c>
      <c r="U194" s="12">
        <f t="shared" si="66"/>
        <v>0.95848617889484555</v>
      </c>
      <c r="V194" s="12">
        <f t="shared" si="67"/>
        <v>0.98071352461432693</v>
      </c>
      <c r="W194" s="12">
        <f t="shared" si="68"/>
        <v>0.93904048262518403</v>
      </c>
      <c r="X194">
        <f t="shared" si="69"/>
        <v>0.95</v>
      </c>
    </row>
    <row r="195" spans="12:24" x14ac:dyDescent="0.45">
      <c r="L195" s="9">
        <v>191</v>
      </c>
      <c r="M195" s="17">
        <v>8.27</v>
      </c>
      <c r="N195" s="11">
        <f t="shared" si="59"/>
        <v>2.1126345090355998</v>
      </c>
      <c r="O195" s="10">
        <f t="shared" si="60"/>
        <v>10.48</v>
      </c>
      <c r="P195" s="12">
        <f t="shared" si="61"/>
        <v>0.96096655749987869</v>
      </c>
      <c r="Q195" s="12">
        <f t="shared" si="62"/>
        <v>-5.966557499878733E-3</v>
      </c>
      <c r="R195" s="12">
        <f t="shared" si="63"/>
        <v>1.0966557499878737E-2</v>
      </c>
      <c r="S195" s="11">
        <f t="shared" si="64"/>
        <v>-76.793163891883481</v>
      </c>
      <c r="T195" s="12">
        <f t="shared" si="65"/>
        <v>0.90241458830521659</v>
      </c>
      <c r="U195" s="12">
        <f t="shared" si="66"/>
        <v>0.96096655749987869</v>
      </c>
      <c r="V195" s="12">
        <f t="shared" si="67"/>
        <v>0.98292672509171419</v>
      </c>
      <c r="W195" s="12">
        <f t="shared" si="68"/>
        <v>0.9414350124478621</v>
      </c>
      <c r="X195">
        <f t="shared" si="69"/>
        <v>0.95499999999999996</v>
      </c>
    </row>
    <row r="196" spans="12:24" x14ac:dyDescent="0.45">
      <c r="L196" s="9">
        <v>192</v>
      </c>
      <c r="M196" s="17">
        <v>3.08</v>
      </c>
      <c r="N196" s="11">
        <f t="shared" si="59"/>
        <v>1.1249295969854831</v>
      </c>
      <c r="O196" s="10">
        <f t="shared" si="60"/>
        <v>10.5</v>
      </c>
      <c r="P196" s="12">
        <f t="shared" si="61"/>
        <v>0.96130920972052425</v>
      </c>
      <c r="Q196" s="12">
        <f t="shared" si="62"/>
        <v>-1.3092097205242847E-3</v>
      </c>
      <c r="R196" s="12">
        <f t="shared" si="63"/>
        <v>6.3092097205242892E-3</v>
      </c>
      <c r="S196" s="11">
        <f t="shared" si="64"/>
        <v>-70.399472246589454</v>
      </c>
      <c r="T196" s="12">
        <f t="shared" si="65"/>
        <v>0.90284699370965082</v>
      </c>
      <c r="U196" s="12">
        <f t="shared" si="66"/>
        <v>0.96130920972052425</v>
      </c>
      <c r="V196" s="12">
        <f t="shared" si="67"/>
        <v>0.98322445270196102</v>
      </c>
      <c r="W196" s="12">
        <f t="shared" si="68"/>
        <v>0.94176841437304259</v>
      </c>
      <c r="X196">
        <f t="shared" si="69"/>
        <v>0.96</v>
      </c>
    </row>
    <row r="197" spans="12:24" x14ac:dyDescent="0.45">
      <c r="L197" s="9">
        <v>193</v>
      </c>
      <c r="M197" s="17">
        <v>3.96</v>
      </c>
      <c r="N197" s="11">
        <f t="shared" ref="N197:N228" si="70">IF(M197&gt;0,LN(M197),"")</f>
        <v>1.3762440252663892</v>
      </c>
      <c r="O197" s="10">
        <f t="shared" ref="O197:O204" si="71">SMALL($M$5:$M$204,L197)</f>
        <v>10.54</v>
      </c>
      <c r="P197" s="12">
        <f t="shared" ref="P197:P204" si="72">CHOOSE($C$6,T197,U197,V197,W197)</f>
        <v>0.96198597075032699</v>
      </c>
      <c r="Q197" s="12">
        <f t="shared" ref="Q197:Q228" si="73">L197/$C$9-P197</f>
        <v>3.0140292496729781E-3</v>
      </c>
      <c r="R197" s="12">
        <f t="shared" ref="R197:R204" si="74">P197-(L197-1)/$C$9</f>
        <v>1.9859707503270263E-3</v>
      </c>
      <c r="S197" s="11">
        <f t="shared" ref="S197:S204" si="75">(2*L197-1)*LN(P197)+(2*$C$9+1-2*L197)*LN(1-P197)</f>
        <v>-63.967833508454895</v>
      </c>
      <c r="T197" s="12">
        <f t="shared" ref="T197:T204" si="76">MIN(1-0.000000000001,MAX(0.000000000001,1-EXP(-(O197)/$C$10)))</f>
        <v>0.90370606498430606</v>
      </c>
      <c r="U197" s="12">
        <f t="shared" ref="U197:U204" si="77">MIN(1-0.000000000001,MAX(0.000000000001,_xlfn.GAMMA.DIST(O197,$C$12,$C$13,TRUE)))</f>
        <v>0.96198597075032699</v>
      </c>
      <c r="V197" s="12">
        <f t="shared" ref="V197:V204" si="78">MIN(1-0.000000000001,MAX(0.000000000001,_xlfn.NORM.DIST(O197,$C$10,$C$11,TRUE)))</f>
        <v>0.98380660319180324</v>
      </c>
      <c r="W197" s="12">
        <f t="shared" ref="W197:W204" si="79">MIN(1-0.000000000001,MAX(0.000000000001,_xlfn.LOGNORM.DIST(O197,$C$14,$C$15,TRUE)))</f>
        <v>0.94242886384461133</v>
      </c>
      <c r="X197">
        <f t="shared" ref="X197:X204" si="80">L197/$C$9</f>
        <v>0.96499999999999997</v>
      </c>
    </row>
    <row r="198" spans="12:24" x14ac:dyDescent="0.45">
      <c r="L198" s="9">
        <v>194</v>
      </c>
      <c r="M198" s="17">
        <v>3.41</v>
      </c>
      <c r="N198" s="11">
        <f t="shared" si="70"/>
        <v>1.2267122912954254</v>
      </c>
      <c r="O198" s="10">
        <f t="shared" si="71"/>
        <v>10.55</v>
      </c>
      <c r="P198" s="12">
        <f t="shared" si="72"/>
        <v>0.96215339706024627</v>
      </c>
      <c r="Q198" s="12">
        <f t="shared" si="73"/>
        <v>7.8466029397536996E-3</v>
      </c>
      <c r="R198" s="12">
        <f t="shared" si="74"/>
        <v>-2.8466029397536952E-3</v>
      </c>
      <c r="S198" s="11">
        <f t="shared" si="75"/>
        <v>-57.495778548204001</v>
      </c>
      <c r="T198" s="12">
        <f t="shared" si="76"/>
        <v>0.90391964324695029</v>
      </c>
      <c r="U198" s="12">
        <f t="shared" si="77"/>
        <v>0.96215339706024627</v>
      </c>
      <c r="V198" s="12">
        <f t="shared" si="78"/>
        <v>0.98394940686404997</v>
      </c>
      <c r="W198" s="12">
        <f t="shared" si="79"/>
        <v>0.94259266317383039</v>
      </c>
      <c r="X198">
        <f t="shared" si="80"/>
        <v>0.97</v>
      </c>
    </row>
    <row r="199" spans="12:24" x14ac:dyDescent="0.45">
      <c r="L199" s="9">
        <v>195</v>
      </c>
      <c r="M199" s="17">
        <v>1.32</v>
      </c>
      <c r="N199" s="11">
        <f t="shared" si="70"/>
        <v>0.27763173659827955</v>
      </c>
      <c r="O199" s="10">
        <f t="shared" si="71"/>
        <v>11.64</v>
      </c>
      <c r="P199" s="12">
        <f t="shared" si="72"/>
        <v>0.97673852730042066</v>
      </c>
      <c r="Q199" s="12">
        <f t="shared" si="73"/>
        <v>-1.738527300420678E-3</v>
      </c>
      <c r="R199" s="12">
        <f t="shared" si="74"/>
        <v>6.7385273004206825E-3</v>
      </c>
      <c r="S199" s="11">
        <f t="shared" si="75"/>
        <v>-50.526142173407607</v>
      </c>
      <c r="T199" s="12">
        <f t="shared" si="76"/>
        <v>0.92457367956367176</v>
      </c>
      <c r="U199" s="12">
        <f t="shared" si="77"/>
        <v>0.97673852730042066</v>
      </c>
      <c r="V199" s="12">
        <f t="shared" si="78"/>
        <v>0.99428872851134009</v>
      </c>
      <c r="W199" s="12">
        <f t="shared" si="79"/>
        <v>0.9576772951252811</v>
      </c>
      <c r="X199">
        <f t="shared" si="80"/>
        <v>0.97499999999999998</v>
      </c>
    </row>
    <row r="200" spans="12:24" x14ac:dyDescent="0.45">
      <c r="L200" s="9">
        <v>196</v>
      </c>
      <c r="M200" s="17">
        <v>3.79</v>
      </c>
      <c r="N200" s="11">
        <f t="shared" si="70"/>
        <v>1.3323660190943349</v>
      </c>
      <c r="O200" s="10">
        <f t="shared" si="71"/>
        <v>12.5</v>
      </c>
      <c r="P200" s="12">
        <f t="shared" si="72"/>
        <v>0.9842689566254299</v>
      </c>
      <c r="Q200" s="12">
        <f t="shared" si="73"/>
        <v>-4.2689566254299205E-3</v>
      </c>
      <c r="R200" s="12">
        <f t="shared" si="74"/>
        <v>9.2689566254299249E-3</v>
      </c>
      <c r="S200" s="11">
        <f t="shared" si="75"/>
        <v>-43.568804050062937</v>
      </c>
      <c r="T200" s="12">
        <f t="shared" si="76"/>
        <v>0.93768526298173471</v>
      </c>
      <c r="U200" s="12">
        <f t="shared" si="77"/>
        <v>0.9842689566254299</v>
      </c>
      <c r="V200" s="12">
        <f t="shared" si="78"/>
        <v>0.99770388054643089</v>
      </c>
      <c r="W200" s="12">
        <f t="shared" si="79"/>
        <v>0.96646682755014868</v>
      </c>
      <c r="X200">
        <f t="shared" si="80"/>
        <v>0.98</v>
      </c>
    </row>
    <row r="201" spans="12:24" x14ac:dyDescent="0.45">
      <c r="L201" s="9">
        <v>197</v>
      </c>
      <c r="M201" s="17">
        <v>8</v>
      </c>
      <c r="N201" s="11">
        <f t="shared" si="70"/>
        <v>2.0794415416798357</v>
      </c>
      <c r="O201" s="10">
        <f t="shared" si="71"/>
        <v>13.29</v>
      </c>
      <c r="P201" s="12">
        <f t="shared" si="72"/>
        <v>0.98907068071850857</v>
      </c>
      <c r="Q201" s="12">
        <f t="shared" si="73"/>
        <v>-4.0706807185085792E-3</v>
      </c>
      <c r="R201" s="12">
        <f t="shared" si="74"/>
        <v>9.0706807185085836E-3</v>
      </c>
      <c r="S201" s="11">
        <f t="shared" si="75"/>
        <v>-35.933010652169614</v>
      </c>
      <c r="T201" s="12">
        <f t="shared" si="76"/>
        <v>0.94771117256432413</v>
      </c>
      <c r="U201" s="12">
        <f t="shared" si="77"/>
        <v>0.98907068071850857</v>
      </c>
      <c r="V201" s="12">
        <f t="shared" si="78"/>
        <v>0.99907822239835364</v>
      </c>
      <c r="W201" s="12">
        <f t="shared" si="79"/>
        <v>0.97276756227493899</v>
      </c>
      <c r="X201">
        <f t="shared" si="80"/>
        <v>0.98499999999999999</v>
      </c>
    </row>
    <row r="202" spans="12:24" x14ac:dyDescent="0.45">
      <c r="L202" s="9">
        <v>198</v>
      </c>
      <c r="M202" s="17">
        <v>2.41</v>
      </c>
      <c r="N202" s="11">
        <f t="shared" si="70"/>
        <v>0.87962674750256364</v>
      </c>
      <c r="O202" s="10">
        <f t="shared" si="71"/>
        <v>13.39</v>
      </c>
      <c r="P202" s="12">
        <f t="shared" si="72"/>
        <v>0.98956628151741155</v>
      </c>
      <c r="Q202" s="12">
        <f t="shared" si="73"/>
        <v>4.3371848258844103E-4</v>
      </c>
      <c r="R202" s="12">
        <f t="shared" si="74"/>
        <v>4.5662815174115634E-3</v>
      </c>
      <c r="S202" s="11">
        <f t="shared" si="75"/>
        <v>-26.956532650775554</v>
      </c>
      <c r="T202" s="12">
        <f t="shared" si="76"/>
        <v>0.94885942236150378</v>
      </c>
      <c r="U202" s="12">
        <f t="shared" si="77"/>
        <v>0.98956628151741155</v>
      </c>
      <c r="V202" s="12">
        <f t="shared" si="78"/>
        <v>0.99918305304337596</v>
      </c>
      <c r="W202" s="12">
        <f t="shared" si="79"/>
        <v>0.97346563419653465</v>
      </c>
      <c r="X202">
        <f t="shared" si="80"/>
        <v>0.99</v>
      </c>
    </row>
    <row r="203" spans="12:24" x14ac:dyDescent="0.45">
      <c r="L203" s="9">
        <v>199</v>
      </c>
      <c r="M203" s="17">
        <v>5.59</v>
      </c>
      <c r="N203" s="11">
        <f t="shared" si="70"/>
        <v>1.7209792871670078</v>
      </c>
      <c r="O203" s="10">
        <f t="shared" si="71"/>
        <v>14.87</v>
      </c>
      <c r="P203" s="12">
        <f t="shared" si="72"/>
        <v>0.99478810373649273</v>
      </c>
      <c r="Q203" s="12">
        <f t="shared" si="73"/>
        <v>2.1189626350726076E-4</v>
      </c>
      <c r="R203" s="12">
        <f t="shared" si="74"/>
        <v>4.7881037364927437E-3</v>
      </c>
      <c r="S203" s="11">
        <f t="shared" si="75"/>
        <v>-17.844968221950886</v>
      </c>
      <c r="T203" s="12">
        <f t="shared" si="76"/>
        <v>0.96318327311074148</v>
      </c>
      <c r="U203" s="12">
        <f t="shared" si="77"/>
        <v>0.99478810373649273</v>
      </c>
      <c r="V203" s="12">
        <f t="shared" si="78"/>
        <v>0.99988078323713714</v>
      </c>
      <c r="W203" s="12">
        <f t="shared" si="79"/>
        <v>0.98176109222092334</v>
      </c>
      <c r="X203">
        <f t="shared" si="80"/>
        <v>0.995</v>
      </c>
    </row>
    <row r="204" spans="12:24" x14ac:dyDescent="0.45">
      <c r="L204" s="9">
        <v>200</v>
      </c>
      <c r="M204" s="17">
        <v>8.1199999999999992</v>
      </c>
      <c r="N204" s="11">
        <f t="shared" si="70"/>
        <v>2.0943301541735866</v>
      </c>
      <c r="O204" s="10">
        <f t="shared" si="71"/>
        <v>14.96</v>
      </c>
      <c r="P204" s="12">
        <f t="shared" si="72"/>
        <v>0.99500556621605574</v>
      </c>
      <c r="Q204" s="12">
        <f t="shared" si="73"/>
        <v>4.9944337839442632E-3</v>
      </c>
      <c r="R204" s="12">
        <f t="shared" si="74"/>
        <v>5.5662160557412577E-6</v>
      </c>
      <c r="S204" s="11">
        <f t="shared" si="75"/>
        <v>-7.2972033431028747</v>
      </c>
      <c r="T204" s="12">
        <f t="shared" si="76"/>
        <v>0.96391171620128357</v>
      </c>
      <c r="U204" s="12">
        <f t="shared" si="77"/>
        <v>0.99500556621605574</v>
      </c>
      <c r="V204" s="12">
        <f t="shared" si="78"/>
        <v>0.99989483473079299</v>
      </c>
      <c r="W204" s="12">
        <f t="shared" si="79"/>
        <v>0.98216234510965139</v>
      </c>
      <c r="X204">
        <f t="shared" si="80"/>
        <v>1</v>
      </c>
    </row>
  </sheetData>
  <mergeCells count="19">
    <mergeCell ref="C45:E45"/>
    <mergeCell ref="D38:E38"/>
    <mergeCell ref="H39:I40"/>
    <mergeCell ref="B39:C40"/>
    <mergeCell ref="F35:G36"/>
    <mergeCell ref="C44:E44"/>
    <mergeCell ref="H38:I38"/>
    <mergeCell ref="D34:E34"/>
    <mergeCell ref="F34:G34"/>
    <mergeCell ref="C43:E43"/>
    <mergeCell ref="H34:I34"/>
    <mergeCell ref="F39:G40"/>
    <mergeCell ref="D39:E40"/>
    <mergeCell ref="B38:C38"/>
    <mergeCell ref="F38:G38"/>
    <mergeCell ref="B34:C34"/>
    <mergeCell ref="B35:C36"/>
    <mergeCell ref="D35:E36"/>
    <mergeCell ref="H35:I36"/>
  </mergeCells>
  <conditionalFormatting sqref="C43:C45">
    <cfRule type="expression" dxfId="4" priority="1">
      <formula>LEFT(C43,2)="No"</formula>
    </cfRule>
    <cfRule type="expression" dxfId="3" priority="2">
      <formula>LEFT(C43,2)="Se"</formula>
    </cfRule>
  </conditionalFormatting>
  <conditionalFormatting sqref="B50:E53">
    <cfRule type="expression" dxfId="2" priority="3">
      <formula>$E50=1</formula>
    </cfRule>
  </conditionalFormatting>
  <dataValidations count="1">
    <dataValidation type="list" sqref="C5">
      <formula1>"Exponencial,Gamma,Normal,Lognormal"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4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3" customWidth="1"/>
    <col min="2" max="2" width="34" customWidth="1"/>
    <col min="3" max="9" width="12" customWidth="1"/>
    <col min="10" max="11" width="3" customWidth="1"/>
    <col min="12" max="12" width="6" customWidth="1"/>
    <col min="13" max="20" width="10" customWidth="1"/>
    <col min="21" max="24" width="8" customWidth="1"/>
  </cols>
  <sheetData>
    <row r="1" spans="1:24" ht="15" customHeight="1" x14ac:dyDescent="0.6">
      <c r="A1" s="1" t="s">
        <v>191</v>
      </c>
    </row>
    <row r="2" spans="1:24" ht="15" customHeight="1" x14ac:dyDescent="0.45">
      <c r="A2" s="2" t="s">
        <v>192</v>
      </c>
    </row>
    <row r="3" spans="1:24" ht="15" customHeight="1" x14ac:dyDescent="0.45"/>
    <row r="4" spans="1:24" ht="28.05" customHeight="1" x14ac:dyDescent="0.45">
      <c r="L4" s="3" t="s">
        <v>29</v>
      </c>
      <c r="M4" s="3" t="s">
        <v>188</v>
      </c>
      <c r="N4" s="3" t="s">
        <v>193</v>
      </c>
      <c r="O4" s="3" t="s">
        <v>194</v>
      </c>
      <c r="P4" s="3" t="s">
        <v>195</v>
      </c>
      <c r="Q4" s="3" t="s">
        <v>196</v>
      </c>
      <c r="R4" s="3" t="s">
        <v>197</v>
      </c>
      <c r="S4" s="3" t="s">
        <v>198</v>
      </c>
      <c r="T4" s="3" t="s">
        <v>199</v>
      </c>
      <c r="U4" s="3" t="s">
        <v>200</v>
      </c>
      <c r="V4" s="3" t="s">
        <v>201</v>
      </c>
      <c r="W4" s="3" t="s">
        <v>202</v>
      </c>
    </row>
    <row r="5" spans="1:24" ht="15" customHeight="1" x14ac:dyDescent="0.45">
      <c r="B5" s="4" t="s">
        <v>203</v>
      </c>
      <c r="C5" s="66" t="s">
        <v>204</v>
      </c>
      <c r="D5" s="58"/>
      <c r="E5" s="59"/>
      <c r="L5" s="9">
        <v>1</v>
      </c>
      <c r="M5" s="11">
        <f t="shared" ref="M5:M68" ca="1" si="0">-$C$10*LN(1-RAND())</f>
        <v>1.4488820996598886</v>
      </c>
      <c r="N5" s="19">
        <f t="shared" ref="N5:N68" ca="1" si="1">$C$12*(-LN(1-RAND()))^(1/$C$11)</f>
        <v>1058.4266561644347</v>
      </c>
      <c r="O5" s="9">
        <f t="shared" ref="O5:O68" ca="1" si="2">MAX(1,ROUNDUP(LN(1-RAND())/LN(1-$C$13),0))</f>
        <v>1</v>
      </c>
      <c r="P5" s="9">
        <f t="shared" ref="P5:P68" ca="1" si="3">INDEX($B$24:$B$44,MATCH(RAND(),$C$24:$C$44,1))</f>
        <v>2</v>
      </c>
      <c r="Q5" s="11">
        <f t="shared" ref="Q5:Q68" ca="1" si="4">-($C$16/$C$15)*LN(RAND()*RAND()*RAND())</f>
        <v>5.2055719694134126</v>
      </c>
      <c r="R5" s="11">
        <f t="shared" ref="R5:R68" ca="1" si="5">$C$17+$C$18*(RAND()+RAND()+RAND()+RAND()+RAND()+RAND()+RAND()+RAND()+RAND()+RAND()+RAND()+RAND()-6)</f>
        <v>11.179831571237139</v>
      </c>
      <c r="S5" s="11" t="str">
        <f t="shared" ref="S5:S68" ca="1" si="6">IF(1.5*W5&lt;=6*V5*(1-V5),V5,"")</f>
        <v/>
      </c>
      <c r="T5" s="11">
        <f t="shared" ref="T5:T68" ca="1" si="7">-IF(X5&lt;$C$19,$C$20,$C$21)*LN(1-RAND())</f>
        <v>4.0144874977463241</v>
      </c>
      <c r="V5" s="11">
        <f t="shared" ref="V5:X24" ca="1" si="8">RAND()</f>
        <v>0.79919773414340689</v>
      </c>
      <c r="W5" s="11">
        <f t="shared" ca="1" si="8"/>
        <v>0.67388977947035777</v>
      </c>
      <c r="X5" s="11">
        <f t="shared" ca="1" si="8"/>
        <v>0.21999500218717427</v>
      </c>
    </row>
    <row r="6" spans="1:24" ht="15" customHeight="1" x14ac:dyDescent="0.45">
      <c r="B6" s="7" t="s">
        <v>151</v>
      </c>
      <c r="C6" s="9">
        <f>MATCH(C5,{"Inversa: exponencial","Inversa: Weibull","Inversa: geométrica","Inversa: Poisson","Convolución: Erlang","Convolución: normal (12 U)","Aceptación-rechazo: Beta(2,2)","Composición: hiperexponencial"},0)</f>
        <v>1</v>
      </c>
      <c r="L6" s="9">
        <v>2</v>
      </c>
      <c r="M6" s="11">
        <f t="shared" ca="1" si="0"/>
        <v>3.0342915241174602</v>
      </c>
      <c r="N6" s="19">
        <f t="shared" ca="1" si="1"/>
        <v>1823.3709710517667</v>
      </c>
      <c r="O6" s="9">
        <f t="shared" ca="1" si="2"/>
        <v>1</v>
      </c>
      <c r="P6" s="9">
        <f t="shared" ca="1" si="3"/>
        <v>3</v>
      </c>
      <c r="Q6" s="11">
        <f t="shared" ca="1" si="4"/>
        <v>4.7421805964339718</v>
      </c>
      <c r="R6" s="11">
        <f t="shared" ca="1" si="5"/>
        <v>12.978891269378616</v>
      </c>
      <c r="S6" s="11" t="str">
        <f t="shared" ca="1" si="6"/>
        <v/>
      </c>
      <c r="T6" s="11">
        <f t="shared" ca="1" si="7"/>
        <v>4.0509176422589084</v>
      </c>
      <c r="V6" s="11">
        <f t="shared" ca="1" si="8"/>
        <v>0.24214597770248536</v>
      </c>
      <c r="W6" s="11">
        <f t="shared" ca="1" si="8"/>
        <v>0.81840033621941277</v>
      </c>
      <c r="X6" s="11">
        <f t="shared" ca="1" si="8"/>
        <v>0.40345223931199825</v>
      </c>
    </row>
    <row r="7" spans="1:24" ht="15" customHeight="1" x14ac:dyDescent="0.45">
      <c r="B7" s="7" t="s">
        <v>205</v>
      </c>
      <c r="C7" s="9">
        <f>IF(OR(C6=3,C6=4),1,0)</f>
        <v>0</v>
      </c>
      <c r="L7" s="9">
        <v>3</v>
      </c>
      <c r="M7" s="11">
        <f t="shared" ca="1" si="0"/>
        <v>3.4671408445918845</v>
      </c>
      <c r="N7" s="19">
        <f t="shared" ca="1" si="1"/>
        <v>301.83265391023087</v>
      </c>
      <c r="O7" s="9">
        <f t="shared" ca="1" si="2"/>
        <v>1</v>
      </c>
      <c r="P7" s="9">
        <f t="shared" ca="1" si="3"/>
        <v>2</v>
      </c>
      <c r="Q7" s="11">
        <f t="shared" ca="1" si="4"/>
        <v>6.5378136834911249</v>
      </c>
      <c r="R7" s="11">
        <f t="shared" ca="1" si="5"/>
        <v>13.937203186444361</v>
      </c>
      <c r="S7" s="11">
        <f t="shared" ca="1" si="6"/>
        <v>0.42315487302599963</v>
      </c>
      <c r="T7" s="11">
        <f t="shared" ca="1" si="7"/>
        <v>0.67144673741780048</v>
      </c>
      <c r="V7" s="11">
        <f t="shared" ca="1" si="8"/>
        <v>0.42315487302599963</v>
      </c>
      <c r="W7" s="11">
        <f t="shared" ca="1" si="8"/>
        <v>0.49455100429063292</v>
      </c>
      <c r="X7" s="11">
        <f t="shared" ca="1" si="8"/>
        <v>0.63090498310736554</v>
      </c>
    </row>
    <row r="8" spans="1:24" ht="15" customHeight="1" x14ac:dyDescent="0.45">
      <c r="F8" s="6" t="s">
        <v>206</v>
      </c>
      <c r="L8" s="9">
        <v>4</v>
      </c>
      <c r="M8" s="11">
        <f t="shared" ca="1" si="0"/>
        <v>2.2907574904487431</v>
      </c>
      <c r="N8" s="19">
        <f t="shared" ca="1" si="1"/>
        <v>1608.1869280908945</v>
      </c>
      <c r="O8" s="9">
        <f t="shared" ca="1" si="2"/>
        <v>1</v>
      </c>
      <c r="P8" s="9">
        <f t="shared" ca="1" si="3"/>
        <v>4</v>
      </c>
      <c r="Q8" s="11">
        <f t="shared" ca="1" si="4"/>
        <v>4.1215996474648886</v>
      </c>
      <c r="R8" s="11">
        <f t="shared" ca="1" si="5"/>
        <v>9.8646230111421467</v>
      </c>
      <c r="S8" s="11" t="str">
        <f t="shared" ca="1" si="6"/>
        <v/>
      </c>
      <c r="T8" s="11">
        <f t="shared" ca="1" si="7"/>
        <v>2.0882872753855271</v>
      </c>
      <c r="V8" s="11">
        <f t="shared" ca="1" si="8"/>
        <v>0.98889124820001617</v>
      </c>
      <c r="W8" s="11">
        <f t="shared" ca="1" si="8"/>
        <v>0.65932418745500709</v>
      </c>
      <c r="X8" s="11">
        <f t="shared" ca="1" si="8"/>
        <v>0.84527689264795947</v>
      </c>
    </row>
    <row r="9" spans="1:24" ht="24" customHeight="1" x14ac:dyDescent="0.45">
      <c r="B9" s="3" t="s">
        <v>207</v>
      </c>
      <c r="C9" s="3" t="s">
        <v>153</v>
      </c>
      <c r="D9" s="3" t="s">
        <v>208</v>
      </c>
      <c r="F9" s="39" t="s">
        <v>209</v>
      </c>
      <c r="G9" s="40"/>
      <c r="H9" s="47" t="s">
        <v>210</v>
      </c>
      <c r="I9" s="48"/>
      <c r="L9" s="9">
        <v>5</v>
      </c>
      <c r="M9" s="11">
        <f t="shared" ca="1" si="0"/>
        <v>1.1551880189876242</v>
      </c>
      <c r="N9" s="19">
        <f t="shared" ca="1" si="1"/>
        <v>799.50506734039504</v>
      </c>
      <c r="O9" s="9">
        <f t="shared" ca="1" si="2"/>
        <v>1</v>
      </c>
      <c r="P9" s="9">
        <f t="shared" ca="1" si="3"/>
        <v>4</v>
      </c>
      <c r="Q9" s="11">
        <f t="shared" ca="1" si="4"/>
        <v>3.2257773829542726</v>
      </c>
      <c r="R9" s="11">
        <f t="shared" ca="1" si="5"/>
        <v>8.5609906915019138</v>
      </c>
      <c r="S9" s="11" t="str">
        <f t="shared" ca="1" si="6"/>
        <v/>
      </c>
      <c r="T9" s="11">
        <f t="shared" ca="1" si="7"/>
        <v>6.9273605468435084</v>
      </c>
      <c r="V9" s="11">
        <f t="shared" ca="1" si="8"/>
        <v>0.30654147545809896</v>
      </c>
      <c r="W9" s="11">
        <f t="shared" ca="1" si="8"/>
        <v>0.92115905277419063</v>
      </c>
      <c r="X9" s="11">
        <f t="shared" ca="1" si="8"/>
        <v>0.40106481577102004</v>
      </c>
    </row>
    <row r="10" spans="1:24" ht="17" customHeight="1" x14ac:dyDescent="0.45">
      <c r="B10" s="7" t="s">
        <v>211</v>
      </c>
      <c r="C10" s="16">
        <v>4</v>
      </c>
      <c r="D10" s="2" t="s">
        <v>212</v>
      </c>
      <c r="F10" s="62">
        <f ca="1">AVERAGE(INDEX($M$5:$T$504,0,$C$6))</f>
        <v>3.7386930253441268</v>
      </c>
      <c r="G10" s="40"/>
      <c r="H10" s="64">
        <f>INDEX(C47:C54,C6)</f>
        <v>4</v>
      </c>
      <c r="I10" s="48"/>
      <c r="L10" s="9">
        <v>6</v>
      </c>
      <c r="M10" s="11">
        <f t="shared" ca="1" si="0"/>
        <v>12.360321815361088</v>
      </c>
      <c r="N10" s="19">
        <f t="shared" ca="1" si="1"/>
        <v>860.91758562829762</v>
      </c>
      <c r="O10" s="9">
        <f t="shared" ca="1" si="2"/>
        <v>2</v>
      </c>
      <c r="P10" s="9">
        <f t="shared" ca="1" si="3"/>
        <v>3</v>
      </c>
      <c r="Q10" s="11">
        <f t="shared" ca="1" si="4"/>
        <v>7.4359682366198188</v>
      </c>
      <c r="R10" s="11">
        <f t="shared" ca="1" si="5"/>
        <v>13.540035017748085</v>
      </c>
      <c r="S10" s="11">
        <f t="shared" ca="1" si="6"/>
        <v>0.82733187945146769</v>
      </c>
      <c r="T10" s="11">
        <f t="shared" ca="1" si="7"/>
        <v>0.72939992435142831</v>
      </c>
      <c r="V10" s="11">
        <f t="shared" ca="1" si="8"/>
        <v>0.82733187945146769</v>
      </c>
      <c r="W10" s="11">
        <f t="shared" ca="1" si="8"/>
        <v>0.52965158418128133</v>
      </c>
      <c r="X10" s="11">
        <f t="shared" ca="1" si="8"/>
        <v>9.0873718830724148E-2</v>
      </c>
    </row>
    <row r="11" spans="1:24" ht="17" customHeight="1" x14ac:dyDescent="0.45">
      <c r="B11" s="7" t="s">
        <v>213</v>
      </c>
      <c r="C11" s="16">
        <v>1.8</v>
      </c>
      <c r="D11" s="2" t="s">
        <v>214</v>
      </c>
      <c r="F11" s="40"/>
      <c r="G11" s="40"/>
      <c r="H11" s="48"/>
      <c r="I11" s="48"/>
      <c r="L11" s="9">
        <v>7</v>
      </c>
      <c r="M11" s="11">
        <f t="shared" ca="1" si="0"/>
        <v>5.177377537729341</v>
      </c>
      <c r="N11" s="19">
        <f t="shared" ca="1" si="1"/>
        <v>711.35522497182694</v>
      </c>
      <c r="O11" s="9">
        <f t="shared" ca="1" si="2"/>
        <v>3</v>
      </c>
      <c r="P11" s="9">
        <f t="shared" ca="1" si="3"/>
        <v>2</v>
      </c>
      <c r="Q11" s="11">
        <f t="shared" ca="1" si="4"/>
        <v>6.5228319767835217</v>
      </c>
      <c r="R11" s="11">
        <f t="shared" ca="1" si="5"/>
        <v>9.471696762100775</v>
      </c>
      <c r="S11" s="11">
        <f t="shared" ca="1" si="6"/>
        <v>0.50927115943671364</v>
      </c>
      <c r="T11" s="11">
        <f t="shared" ca="1" si="7"/>
        <v>2.1984933190528766</v>
      </c>
      <c r="V11" s="11">
        <f t="shared" ca="1" si="8"/>
        <v>0.50927115943671364</v>
      </c>
      <c r="W11" s="11">
        <f t="shared" ca="1" si="8"/>
        <v>2.2629748021873786E-2</v>
      </c>
      <c r="X11" s="11">
        <f t="shared" ca="1" si="8"/>
        <v>0.3001392721889512</v>
      </c>
    </row>
    <row r="12" spans="1:24" ht="15" customHeight="1" x14ac:dyDescent="0.45">
      <c r="B12" s="7" t="s">
        <v>215</v>
      </c>
      <c r="C12" s="16">
        <v>900</v>
      </c>
      <c r="D12" s="2"/>
      <c r="L12" s="9">
        <v>8</v>
      </c>
      <c r="M12" s="11">
        <f t="shared" ca="1" si="0"/>
        <v>7.3093737243173891</v>
      </c>
      <c r="N12" s="19">
        <f t="shared" ca="1" si="1"/>
        <v>297.97604861750887</v>
      </c>
      <c r="O12" s="9">
        <f t="shared" ca="1" si="2"/>
        <v>1</v>
      </c>
      <c r="P12" s="9">
        <f t="shared" ca="1" si="3"/>
        <v>2</v>
      </c>
      <c r="Q12" s="11">
        <f t="shared" ca="1" si="4"/>
        <v>4.5533477331409502</v>
      </c>
      <c r="R12" s="11">
        <f t="shared" ca="1" si="5"/>
        <v>8.4286003106451126</v>
      </c>
      <c r="S12" s="11">
        <f t="shared" ca="1" si="6"/>
        <v>0.67478711332031516</v>
      </c>
      <c r="T12" s="11">
        <f t="shared" ca="1" si="7"/>
        <v>0.4615343637203761</v>
      </c>
      <c r="V12" s="11">
        <f t="shared" ca="1" si="8"/>
        <v>0.67478711332031516</v>
      </c>
      <c r="W12" s="11">
        <f t="shared" ca="1" si="8"/>
        <v>0.59285346513328752</v>
      </c>
      <c r="X12" s="11">
        <f t="shared" ca="1" si="8"/>
        <v>0.64395125962751976</v>
      </c>
    </row>
    <row r="13" spans="1:24" ht="24" customHeight="1" x14ac:dyDescent="0.45">
      <c r="B13" s="7" t="s">
        <v>216</v>
      </c>
      <c r="C13" s="16">
        <v>0.6</v>
      </c>
      <c r="D13" s="2" t="s">
        <v>217</v>
      </c>
      <c r="F13" s="32" t="s">
        <v>218</v>
      </c>
      <c r="G13" s="33"/>
      <c r="H13" s="47" t="s">
        <v>219</v>
      </c>
      <c r="I13" s="48"/>
      <c r="L13" s="9">
        <v>9</v>
      </c>
      <c r="M13" s="11">
        <f t="shared" ca="1" si="0"/>
        <v>9.4657221572288606</v>
      </c>
      <c r="N13" s="19">
        <f t="shared" ca="1" si="1"/>
        <v>786.65588695608847</v>
      </c>
      <c r="O13" s="9">
        <f t="shared" ca="1" si="2"/>
        <v>1</v>
      </c>
      <c r="P13" s="9">
        <f t="shared" ca="1" si="3"/>
        <v>4</v>
      </c>
      <c r="Q13" s="11">
        <f t="shared" ca="1" si="4"/>
        <v>5.9025210865066642</v>
      </c>
      <c r="R13" s="11">
        <f t="shared" ca="1" si="5"/>
        <v>10.496385669833394</v>
      </c>
      <c r="S13" s="11" t="str">
        <f t="shared" ca="1" si="6"/>
        <v/>
      </c>
      <c r="T13" s="11">
        <f t="shared" ca="1" si="7"/>
        <v>0.12216192545991472</v>
      </c>
      <c r="V13" s="11">
        <f t="shared" ca="1" si="8"/>
        <v>9.2632374377845106E-2</v>
      </c>
      <c r="W13" s="11">
        <f t="shared" ca="1" si="8"/>
        <v>0.40614992940615924</v>
      </c>
      <c r="X13" s="11">
        <f t="shared" ca="1" si="8"/>
        <v>0.19271405051985924</v>
      </c>
    </row>
    <row r="14" spans="1:24" ht="17" customHeight="1" x14ac:dyDescent="0.45">
      <c r="B14" s="7" t="s">
        <v>220</v>
      </c>
      <c r="C14" s="16">
        <v>3</v>
      </c>
      <c r="D14" s="2" t="s">
        <v>221</v>
      </c>
      <c r="F14" s="60">
        <f ca="1">VAR(INDEX($M$5:$T$504,0,$C$6))</f>
        <v>11.444099904581096</v>
      </c>
      <c r="G14" s="33"/>
      <c r="H14" s="64">
        <f>INDEX(D47:D54,C6)</f>
        <v>16</v>
      </c>
      <c r="I14" s="48"/>
      <c r="L14" s="9">
        <v>10</v>
      </c>
      <c r="M14" s="11">
        <f t="shared" ca="1" si="0"/>
        <v>0.81435139921424127</v>
      </c>
      <c r="N14" s="19">
        <f t="shared" ca="1" si="1"/>
        <v>1785.6278226037118</v>
      </c>
      <c r="O14" s="9">
        <f t="shared" ca="1" si="2"/>
        <v>7</v>
      </c>
      <c r="P14" s="9">
        <f t="shared" ca="1" si="3"/>
        <v>1</v>
      </c>
      <c r="Q14" s="11">
        <f t="shared" ca="1" si="4"/>
        <v>8.0749857170977748</v>
      </c>
      <c r="R14" s="11">
        <f t="shared" ca="1" si="5"/>
        <v>8.192129505695414</v>
      </c>
      <c r="S14" s="11" t="str">
        <f t="shared" ca="1" si="6"/>
        <v/>
      </c>
      <c r="T14" s="11">
        <f t="shared" ca="1" si="7"/>
        <v>0.52562880577837667</v>
      </c>
      <c r="V14" s="11">
        <f t="shared" ca="1" si="8"/>
        <v>0.18430390176538347</v>
      </c>
      <c r="W14" s="11">
        <f t="shared" ca="1" si="8"/>
        <v>0.63130004965862507</v>
      </c>
      <c r="X14" s="11">
        <f t="shared" ca="1" si="8"/>
        <v>0.20906177161755857</v>
      </c>
    </row>
    <row r="15" spans="1:24" ht="17" customHeight="1" x14ac:dyDescent="0.45">
      <c r="B15" s="7" t="s">
        <v>222</v>
      </c>
      <c r="C15" s="16">
        <v>3</v>
      </c>
      <c r="D15" s="2" t="s">
        <v>223</v>
      </c>
      <c r="F15" s="33"/>
      <c r="G15" s="33"/>
      <c r="H15" s="48"/>
      <c r="I15" s="48"/>
      <c r="L15" s="9">
        <v>11</v>
      </c>
      <c r="M15" s="11">
        <f t="shared" ca="1" si="0"/>
        <v>3.652370114126096</v>
      </c>
      <c r="N15" s="19">
        <f t="shared" ca="1" si="1"/>
        <v>758.90079804334516</v>
      </c>
      <c r="O15" s="9">
        <f t="shared" ca="1" si="2"/>
        <v>5</v>
      </c>
      <c r="P15" s="9">
        <f t="shared" ca="1" si="3"/>
        <v>2</v>
      </c>
      <c r="Q15" s="11">
        <f t="shared" ca="1" si="4"/>
        <v>4.2811130088179272</v>
      </c>
      <c r="R15" s="11">
        <f t="shared" ca="1" si="5"/>
        <v>9.9534508230848608</v>
      </c>
      <c r="S15" s="11">
        <f t="shared" ca="1" si="6"/>
        <v>0.24948008891235607</v>
      </c>
      <c r="T15" s="11">
        <f t="shared" ca="1" si="7"/>
        <v>3.0470987076930403</v>
      </c>
      <c r="V15" s="11">
        <f t="shared" ca="1" si="8"/>
        <v>0.24948008891235607</v>
      </c>
      <c r="W15" s="11">
        <f t="shared" ca="1" si="8"/>
        <v>1.1366430699773167E-2</v>
      </c>
      <c r="X15" s="11">
        <f t="shared" ca="1" si="8"/>
        <v>0.39954877997368277</v>
      </c>
    </row>
    <row r="16" spans="1:24" ht="15" customHeight="1" x14ac:dyDescent="0.45">
      <c r="B16" s="7" t="s">
        <v>224</v>
      </c>
      <c r="C16" s="16">
        <v>6</v>
      </c>
      <c r="D16" s="2"/>
      <c r="L16" s="9">
        <v>12</v>
      </c>
      <c r="M16" s="11">
        <f t="shared" ca="1" si="0"/>
        <v>7.3100467735725623</v>
      </c>
      <c r="N16" s="19">
        <f t="shared" ca="1" si="1"/>
        <v>477.45224403408196</v>
      </c>
      <c r="O16" s="9">
        <f t="shared" ca="1" si="2"/>
        <v>1</v>
      </c>
      <c r="P16" s="9">
        <f t="shared" ca="1" si="3"/>
        <v>6</v>
      </c>
      <c r="Q16" s="11">
        <f t="shared" ca="1" si="4"/>
        <v>3.9569490769993436</v>
      </c>
      <c r="R16" s="11">
        <f t="shared" ca="1" si="5"/>
        <v>8.5015846193855715</v>
      </c>
      <c r="S16" s="11">
        <f t="shared" ca="1" si="6"/>
        <v>0.14962075721472168</v>
      </c>
      <c r="T16" s="11">
        <f t="shared" ca="1" si="7"/>
        <v>2.4935765972792909</v>
      </c>
      <c r="V16" s="11">
        <f t="shared" ca="1" si="8"/>
        <v>0.14962075721472168</v>
      </c>
      <c r="W16" s="11">
        <f t="shared" ca="1" si="8"/>
        <v>5.60237595119496E-2</v>
      </c>
      <c r="X16" s="11">
        <f t="shared" ca="1" si="8"/>
        <v>0.48509144130914572</v>
      </c>
    </row>
    <row r="17" spans="2:24" ht="24" customHeight="1" x14ac:dyDescent="0.45">
      <c r="B17" s="7" t="s">
        <v>225</v>
      </c>
      <c r="C17" s="16">
        <v>10</v>
      </c>
      <c r="D17" s="2" t="s">
        <v>226</v>
      </c>
      <c r="F17" s="38" t="s">
        <v>227</v>
      </c>
      <c r="G17" s="35"/>
      <c r="H17" s="36" t="s">
        <v>228</v>
      </c>
      <c r="I17" s="37"/>
      <c r="L17" s="9">
        <v>13</v>
      </c>
      <c r="M17" s="11">
        <f t="shared" ca="1" si="0"/>
        <v>6.4411123952214506</v>
      </c>
      <c r="N17" s="19">
        <f t="shared" ca="1" si="1"/>
        <v>1065.6486122114115</v>
      </c>
      <c r="O17" s="9">
        <f t="shared" ca="1" si="2"/>
        <v>1</v>
      </c>
      <c r="P17" s="9">
        <f t="shared" ca="1" si="3"/>
        <v>4</v>
      </c>
      <c r="Q17" s="11">
        <f t="shared" ca="1" si="4"/>
        <v>3.2569001689374604</v>
      </c>
      <c r="R17" s="11">
        <f t="shared" ca="1" si="5"/>
        <v>5.4990305797621772</v>
      </c>
      <c r="S17" s="11">
        <f t="shared" ca="1" si="6"/>
        <v>0.27311741084424423</v>
      </c>
      <c r="T17" s="11">
        <f t="shared" ca="1" si="7"/>
        <v>1.129591715671346</v>
      </c>
      <c r="V17" s="11">
        <f t="shared" ca="1" si="8"/>
        <v>0.27311741084424423</v>
      </c>
      <c r="W17" s="11">
        <f t="shared" ca="1" si="8"/>
        <v>0.22232224323107763</v>
      </c>
      <c r="X17" s="11">
        <f t="shared" ca="1" si="8"/>
        <v>0.48322980045020825</v>
      </c>
    </row>
    <row r="18" spans="2:24" ht="17" customHeight="1" x14ac:dyDescent="0.45">
      <c r="B18" s="7" t="s">
        <v>229</v>
      </c>
      <c r="C18" s="16">
        <v>2</v>
      </c>
      <c r="D18" s="2"/>
      <c r="F18" s="45">
        <f ca="1">COUNT(INDEX($M$5:$T$504,0,$C$6))</f>
        <v>500</v>
      </c>
      <c r="G18" s="35"/>
      <c r="H18" s="67">
        <f ca="1">COUNT(S5:S504)/500</f>
        <v>0.64600000000000002</v>
      </c>
      <c r="I18" s="37"/>
      <c r="L18" s="9">
        <v>14</v>
      </c>
      <c r="M18" s="11">
        <f t="shared" ca="1" si="0"/>
        <v>0.17673348097596392</v>
      </c>
      <c r="N18" s="19">
        <f t="shared" ca="1" si="1"/>
        <v>740.78384981549414</v>
      </c>
      <c r="O18" s="9">
        <f t="shared" ca="1" si="2"/>
        <v>2</v>
      </c>
      <c r="P18" s="9">
        <f t="shared" ca="1" si="3"/>
        <v>4</v>
      </c>
      <c r="Q18" s="11">
        <f t="shared" ca="1" si="4"/>
        <v>7.5990357215635678</v>
      </c>
      <c r="R18" s="11">
        <f t="shared" ca="1" si="5"/>
        <v>9.4068000479407505</v>
      </c>
      <c r="S18" s="11">
        <f t="shared" ca="1" si="6"/>
        <v>0.40351095067561993</v>
      </c>
      <c r="T18" s="11">
        <f t="shared" ca="1" si="7"/>
        <v>0.97655412611462145</v>
      </c>
      <c r="V18" s="11">
        <f t="shared" ca="1" si="8"/>
        <v>0.40351095067561993</v>
      </c>
      <c r="W18" s="11">
        <f t="shared" ca="1" si="8"/>
        <v>0.85997158886331904</v>
      </c>
      <c r="X18" s="11">
        <f t="shared" ca="1" si="8"/>
        <v>9.1463184759979277E-2</v>
      </c>
    </row>
    <row r="19" spans="2:24" ht="17" customHeight="1" x14ac:dyDescent="0.45">
      <c r="B19" s="7" t="s">
        <v>230</v>
      </c>
      <c r="C19" s="16">
        <v>0.7</v>
      </c>
      <c r="D19" s="2" t="s">
        <v>231</v>
      </c>
      <c r="F19" s="35"/>
      <c r="G19" s="35"/>
      <c r="H19" s="37"/>
      <c r="I19" s="37"/>
      <c r="L19" s="9">
        <v>15</v>
      </c>
      <c r="M19" s="11">
        <f t="shared" ca="1" si="0"/>
        <v>0.26443965034691708</v>
      </c>
      <c r="N19" s="19">
        <f t="shared" ca="1" si="1"/>
        <v>337.06343635107868</v>
      </c>
      <c r="O19" s="9">
        <f t="shared" ca="1" si="2"/>
        <v>2</v>
      </c>
      <c r="P19" s="9">
        <f t="shared" ca="1" si="3"/>
        <v>4</v>
      </c>
      <c r="Q19" s="11">
        <f t="shared" ca="1" si="4"/>
        <v>6.2435148298989116</v>
      </c>
      <c r="R19" s="11">
        <f t="shared" ca="1" si="5"/>
        <v>12.385932820500228</v>
      </c>
      <c r="S19" s="11">
        <f t="shared" ca="1" si="6"/>
        <v>0.309533688283538</v>
      </c>
      <c r="T19" s="11">
        <f t="shared" ca="1" si="7"/>
        <v>3.9661729567786748</v>
      </c>
      <c r="V19" s="11">
        <f t="shared" ca="1" si="8"/>
        <v>0.309533688283538</v>
      </c>
      <c r="W19" s="11">
        <f t="shared" ca="1" si="8"/>
        <v>5.4275910497298963E-2</v>
      </c>
      <c r="X19" s="11">
        <f t="shared" ca="1" si="8"/>
        <v>0.77420577146875336</v>
      </c>
    </row>
    <row r="20" spans="2:24" ht="15" customHeight="1" x14ac:dyDescent="0.45">
      <c r="B20" s="7" t="s">
        <v>232</v>
      </c>
      <c r="C20" s="16">
        <v>2</v>
      </c>
      <c r="D20" s="2"/>
      <c r="L20" s="9">
        <v>16</v>
      </c>
      <c r="M20" s="11">
        <f t="shared" ca="1" si="0"/>
        <v>0.88193023296575279</v>
      </c>
      <c r="N20" s="19">
        <f t="shared" ca="1" si="1"/>
        <v>161.68653786892187</v>
      </c>
      <c r="O20" s="9">
        <f t="shared" ca="1" si="2"/>
        <v>1</v>
      </c>
      <c r="P20" s="9">
        <f t="shared" ca="1" si="3"/>
        <v>3</v>
      </c>
      <c r="Q20" s="11">
        <f t="shared" ca="1" si="4"/>
        <v>6.9032228352673535</v>
      </c>
      <c r="R20" s="11">
        <f t="shared" ca="1" si="5"/>
        <v>9.9334728348021439</v>
      </c>
      <c r="S20" s="11">
        <f t="shared" ca="1" si="6"/>
        <v>0.7605373283226754</v>
      </c>
      <c r="T20" s="11">
        <f t="shared" ca="1" si="7"/>
        <v>0.23382298149442024</v>
      </c>
      <c r="V20" s="11">
        <f t="shared" ca="1" si="8"/>
        <v>0.7605373283226754</v>
      </c>
      <c r="W20" s="11">
        <f t="shared" ca="1" si="8"/>
        <v>0.67079295451954046</v>
      </c>
      <c r="X20" s="11">
        <f t="shared" ca="1" si="8"/>
        <v>0.17347337803147944</v>
      </c>
    </row>
    <row r="21" spans="2:24" ht="15" customHeight="1" x14ac:dyDescent="0.45">
      <c r="B21" s="7" t="s">
        <v>233</v>
      </c>
      <c r="C21" s="16">
        <v>8</v>
      </c>
      <c r="D21" s="2"/>
      <c r="L21" s="9">
        <v>17</v>
      </c>
      <c r="M21" s="11">
        <f t="shared" ca="1" si="0"/>
        <v>0.55812017203126463</v>
      </c>
      <c r="N21" s="19">
        <f t="shared" ca="1" si="1"/>
        <v>189.15516393210271</v>
      </c>
      <c r="O21" s="9">
        <f t="shared" ca="1" si="2"/>
        <v>1</v>
      </c>
      <c r="P21" s="9">
        <f t="shared" ca="1" si="3"/>
        <v>3</v>
      </c>
      <c r="Q21" s="11">
        <f t="shared" ca="1" si="4"/>
        <v>8.4352966830919129</v>
      </c>
      <c r="R21" s="11">
        <f t="shared" ca="1" si="5"/>
        <v>9.7029437352076418</v>
      </c>
      <c r="S21" s="11">
        <f t="shared" ca="1" si="6"/>
        <v>0.29290332196313418</v>
      </c>
      <c r="T21" s="11">
        <f t="shared" ca="1" si="7"/>
        <v>10.70479393799093</v>
      </c>
      <c r="V21" s="11">
        <f t="shared" ca="1" si="8"/>
        <v>0.29290332196313418</v>
      </c>
      <c r="W21" s="11">
        <f t="shared" ca="1" si="8"/>
        <v>0.13983915748157372</v>
      </c>
      <c r="X21" s="11">
        <f t="shared" ca="1" si="8"/>
        <v>0.967607797841599</v>
      </c>
    </row>
    <row r="22" spans="2:24" ht="28.05" customHeight="1" x14ac:dyDescent="0.45">
      <c r="F22" s="3" t="s">
        <v>164</v>
      </c>
      <c r="G22" s="3" t="s">
        <v>165</v>
      </c>
      <c r="H22" s="3" t="s">
        <v>166</v>
      </c>
      <c r="I22" s="3" t="s">
        <v>167</v>
      </c>
      <c r="L22" s="9">
        <v>18</v>
      </c>
      <c r="M22" s="11">
        <f t="shared" ca="1" si="0"/>
        <v>4.2741607043656682</v>
      </c>
      <c r="N22" s="19">
        <f t="shared" ca="1" si="1"/>
        <v>735.34388130573188</v>
      </c>
      <c r="O22" s="9">
        <f t="shared" ca="1" si="2"/>
        <v>1</v>
      </c>
      <c r="P22" s="9">
        <f t="shared" ca="1" si="3"/>
        <v>5</v>
      </c>
      <c r="Q22" s="11">
        <f t="shared" ca="1" si="4"/>
        <v>8.3344657283726704</v>
      </c>
      <c r="R22" s="11">
        <f t="shared" ca="1" si="5"/>
        <v>10.261033548955766</v>
      </c>
      <c r="S22" s="11">
        <f t="shared" ca="1" si="6"/>
        <v>0.35240285288457163</v>
      </c>
      <c r="T22" s="11">
        <f t="shared" ca="1" si="7"/>
        <v>2.1063108039162866</v>
      </c>
      <c r="V22" s="11">
        <f t="shared" ca="1" si="8"/>
        <v>0.35240285288457163</v>
      </c>
      <c r="W22" s="11">
        <f t="shared" ca="1" si="8"/>
        <v>0.80933649373104766</v>
      </c>
      <c r="X22" s="11">
        <f t="shared" ca="1" si="8"/>
        <v>2.1857107834167944E-2</v>
      </c>
    </row>
    <row r="23" spans="2:24" ht="28.05" customHeight="1" x14ac:dyDescent="0.45">
      <c r="B23" s="3" t="s">
        <v>234</v>
      </c>
      <c r="C23" s="3" t="s">
        <v>235</v>
      </c>
      <c r="F23" s="10">
        <f ca="1">IF($C$7=1,MIN(INDEX($M$5:$T$504,0,$C$6))-0.5+0,MIN(INDEX($M$5:$T$504,0,$C$6))+0*IF($C$7=1,1,(MAX(INDEX($M$5:$T$504,0,$C$6))-MIN(INDEX($M$5:$T$504,0,$C$6)))/20))</f>
        <v>2.0038913966067165E-3</v>
      </c>
      <c r="G23" s="10">
        <f t="shared" ref="G23:G41" ca="1" si="9">F23+IF($C$7=1,1,(MAX(INDEX($M$5:$T$504,0,$C$6))-MIN(INDEX($M$5:$T$504,0,$C$6)))/20)</f>
        <v>0.9776439998122104</v>
      </c>
      <c r="H23" s="9">
        <f t="shared" ref="H23:H42" ca="1" si="10">COUNTIFS(INDEX($M$5:$T$504,0,$C$6),"&gt;="&amp;F23,INDEX($M$5:$T$504,0,$C$6),"&lt;"&amp;G23)</f>
        <v>105</v>
      </c>
      <c r="I23" s="19">
        <f t="shared" ref="I23:I42" ca="1" si="11">COUNT(INDEX($M$5:$T$504,0,$C$6))*(J23-J23+CHOOSE($C$6,1-EXP(-MAX(0,G23)/$C$10),IF(G23&lt;=0,0,1-EXP(-(G23/$C$12)^$C$11)),IF(CEILING(G23,1)-1&lt;1,0,1-(1-$C$13)^(CEILING(G23,1)-1)),IF(CEILING(G23,1)-1&lt;0,0,_xlfn.POISSON.DIST(CEILING(G23,1)-1,$C$14,TRUE)),IF(G23&lt;=0,0,_xlfn.GAMMA.DIST(G23,$C$15,$C$16/$C$15,TRUE)),_xlfn.NORM.DIST(G23,$C$17,$C$18,TRUE),IF(G23&lt;=0,0,IF(G23&gt;=1,1,3*G23^2-2*G23^3)),IF(G23&lt;=0,0,1-$C$19*EXP(-G23/$C$20)-(1-$C$19)*EXP(-G23/$C$21)))-CHOOSE($C$6,1-EXP(-MAX(0,F23)/$C$10),IF(F23&lt;=0,0,1-EXP(-(F23/$C$12)^$C$11)),IF(CEILING(F23,1)-1&lt;1,0,1-(1-$C$13)^(CEILING(F23,1)-1)),IF(CEILING(F23,1)-1&lt;0,0,_xlfn.POISSON.DIST(CEILING(F23,1)-1,$C$14,TRUE)),IF(F23&lt;=0,0,_xlfn.GAMMA.DIST(F23,$C$15,$C$16/$C$15,TRUE)),_xlfn.NORM.DIST(F23,$C$17,$C$18,TRUE),IF(F23&lt;=0,0,IF(F23&gt;=1,1,3*F23^2-2*F23^3)),IF(F23&lt;=0,0,1-$C$19*EXP(-F23/$C$20)-(1-$C$19)*EXP(-F23/$C$21))))</f>
        <v>108.16673278507649</v>
      </c>
      <c r="J23" s="24">
        <f>0</f>
        <v>0</v>
      </c>
      <c r="L23" s="9">
        <v>19</v>
      </c>
      <c r="M23" s="11">
        <f t="shared" ca="1" si="0"/>
        <v>3.9407957323461322</v>
      </c>
      <c r="N23" s="19">
        <f t="shared" ca="1" si="1"/>
        <v>833.73725397953422</v>
      </c>
      <c r="O23" s="9">
        <f t="shared" ca="1" si="2"/>
        <v>1</v>
      </c>
      <c r="P23" s="9">
        <f t="shared" ca="1" si="3"/>
        <v>1</v>
      </c>
      <c r="Q23" s="11">
        <f t="shared" ca="1" si="4"/>
        <v>6.0101505920285749</v>
      </c>
      <c r="R23" s="11">
        <f t="shared" ca="1" si="5"/>
        <v>8.908837913272933</v>
      </c>
      <c r="S23" s="11">
        <f t="shared" ca="1" si="6"/>
        <v>0.45068129592772788</v>
      </c>
      <c r="T23" s="11">
        <f t="shared" ca="1" si="7"/>
        <v>6.2137686100551992</v>
      </c>
      <c r="V23" s="11">
        <f t="shared" ca="1" si="8"/>
        <v>0.45068129592772788</v>
      </c>
      <c r="W23" s="11">
        <f t="shared" ca="1" si="8"/>
        <v>0.3045718656694606</v>
      </c>
      <c r="X23" s="11">
        <f t="shared" ca="1" si="8"/>
        <v>0.60745971181206881</v>
      </c>
    </row>
    <row r="24" spans="2:24" ht="15" customHeight="1" x14ac:dyDescent="0.45">
      <c r="B24" s="9">
        <v>0</v>
      </c>
      <c r="C24" s="12">
        <f>0</f>
        <v>0</v>
      </c>
      <c r="F24" s="10">
        <f t="shared" ref="F24:F42" ca="1" si="12">G23</f>
        <v>0.9776439998122104</v>
      </c>
      <c r="G24" s="10">
        <f t="shared" ca="1" si="9"/>
        <v>1.9532841082278141</v>
      </c>
      <c r="H24" s="9">
        <f t="shared" ca="1" si="10"/>
        <v>93</v>
      </c>
      <c r="I24" s="19">
        <f t="shared" ca="1" si="11"/>
        <v>84.754922878552406</v>
      </c>
      <c r="J24" s="24">
        <f>0</f>
        <v>0</v>
      </c>
      <c r="L24" s="9">
        <v>20</v>
      </c>
      <c r="M24" s="11">
        <f t="shared" ca="1" si="0"/>
        <v>1.1520186798765599</v>
      </c>
      <c r="N24" s="19">
        <f t="shared" ca="1" si="1"/>
        <v>186.63800417174147</v>
      </c>
      <c r="O24" s="9">
        <f t="shared" ca="1" si="2"/>
        <v>2</v>
      </c>
      <c r="P24" s="9">
        <f t="shared" ca="1" si="3"/>
        <v>4</v>
      </c>
      <c r="Q24" s="11">
        <f t="shared" ca="1" si="4"/>
        <v>5.8493327770188426</v>
      </c>
      <c r="R24" s="11">
        <f t="shared" ca="1" si="5"/>
        <v>10.073848349050536</v>
      </c>
      <c r="S24" s="11" t="str">
        <f t="shared" ca="1" si="6"/>
        <v/>
      </c>
      <c r="T24" s="11">
        <f t="shared" ca="1" si="7"/>
        <v>1.4701254288523675</v>
      </c>
      <c r="V24" s="11">
        <f t="shared" ca="1" si="8"/>
        <v>0.72868214056476077</v>
      </c>
      <c r="W24" s="11">
        <f t="shared" ca="1" si="8"/>
        <v>0.80697737271923986</v>
      </c>
      <c r="X24" s="11">
        <f t="shared" ca="1" si="8"/>
        <v>0.58935978478504447</v>
      </c>
    </row>
    <row r="25" spans="2:24" ht="15" customHeight="1" x14ac:dyDescent="0.45">
      <c r="B25" s="9">
        <v>1</v>
      </c>
      <c r="C25" s="12">
        <f t="shared" ref="C25:C44" si="13">_xlfn.POISSON.DIST(B25-1,$C$14,TRUE)</f>
        <v>4.9787068367863944E-2</v>
      </c>
      <c r="F25" s="10">
        <f t="shared" ca="1" si="12"/>
        <v>1.9532841082278141</v>
      </c>
      <c r="G25" s="10">
        <f t="shared" ca="1" si="9"/>
        <v>2.9289242166434177</v>
      </c>
      <c r="H25" s="9">
        <f t="shared" ca="1" si="10"/>
        <v>52</v>
      </c>
      <c r="I25" s="19">
        <f t="shared" ca="1" si="11"/>
        <v>66.410408886274865</v>
      </c>
      <c r="J25" s="24">
        <f>0</f>
        <v>0</v>
      </c>
      <c r="L25" s="9">
        <v>21</v>
      </c>
      <c r="M25" s="11">
        <f t="shared" ca="1" si="0"/>
        <v>10.494803037618727</v>
      </c>
      <c r="N25" s="19">
        <f t="shared" ca="1" si="1"/>
        <v>861.49401434413846</v>
      </c>
      <c r="O25" s="9">
        <f t="shared" ca="1" si="2"/>
        <v>1</v>
      </c>
      <c r="P25" s="9">
        <f t="shared" ca="1" si="3"/>
        <v>4</v>
      </c>
      <c r="Q25" s="11">
        <f t="shared" ca="1" si="4"/>
        <v>4.8432147353516157</v>
      </c>
      <c r="R25" s="11">
        <f t="shared" ca="1" si="5"/>
        <v>8.9104745534708201</v>
      </c>
      <c r="S25" s="11" t="str">
        <f t="shared" ca="1" si="6"/>
        <v/>
      </c>
      <c r="T25" s="11">
        <f t="shared" ca="1" si="7"/>
        <v>2.2055761206043778</v>
      </c>
      <c r="V25" s="11">
        <f t="shared" ref="V25:X44" ca="1" si="14">RAND()</f>
        <v>0.85891412186155658</v>
      </c>
      <c r="W25" s="11">
        <f t="shared" ca="1" si="14"/>
        <v>0.60972817359024989</v>
      </c>
      <c r="X25" s="11">
        <f t="shared" ca="1" si="14"/>
        <v>0.36096448191943331</v>
      </c>
    </row>
    <row r="26" spans="2:24" ht="15" customHeight="1" x14ac:dyDescent="0.45">
      <c r="B26" s="9">
        <v>2</v>
      </c>
      <c r="C26" s="12">
        <f t="shared" si="13"/>
        <v>0.19914827347145578</v>
      </c>
      <c r="F26" s="10">
        <f t="shared" ca="1" si="12"/>
        <v>2.9289242166434177</v>
      </c>
      <c r="G26" s="10">
        <f t="shared" ca="1" si="9"/>
        <v>3.9045643250590212</v>
      </c>
      <c r="H26" s="9">
        <f t="shared" ca="1" si="10"/>
        <v>55</v>
      </c>
      <c r="I26" s="19">
        <f t="shared" ca="1" si="11"/>
        <v>52.036415805155279</v>
      </c>
      <c r="J26" s="24">
        <f>0</f>
        <v>0</v>
      </c>
      <c r="L26" s="9">
        <v>22</v>
      </c>
      <c r="M26" s="11">
        <f t="shared" ca="1" si="0"/>
        <v>5.3221281288899256</v>
      </c>
      <c r="N26" s="19">
        <f t="shared" ca="1" si="1"/>
        <v>537.57010546604749</v>
      </c>
      <c r="O26" s="9">
        <f t="shared" ca="1" si="2"/>
        <v>1</v>
      </c>
      <c r="P26" s="9">
        <f t="shared" ca="1" si="3"/>
        <v>6</v>
      </c>
      <c r="Q26" s="11">
        <f t="shared" ca="1" si="4"/>
        <v>7.9108549435204907</v>
      </c>
      <c r="R26" s="11">
        <f t="shared" ca="1" si="5"/>
        <v>12.177969094385084</v>
      </c>
      <c r="S26" s="11">
        <f t="shared" ca="1" si="6"/>
        <v>0.33167434738146662</v>
      </c>
      <c r="T26" s="11">
        <f t="shared" ca="1" si="7"/>
        <v>3.3605364847428918</v>
      </c>
      <c r="V26" s="11">
        <f t="shared" ca="1" si="14"/>
        <v>0.33167434738146662</v>
      </c>
      <c r="W26" s="11">
        <f t="shared" ca="1" si="14"/>
        <v>0.25215407619457009</v>
      </c>
      <c r="X26" s="11">
        <f t="shared" ca="1" si="14"/>
        <v>0.39975754828799182</v>
      </c>
    </row>
    <row r="27" spans="2:24" ht="15" customHeight="1" x14ac:dyDescent="0.45">
      <c r="B27" s="9">
        <v>3</v>
      </c>
      <c r="C27" s="12">
        <f t="shared" si="13"/>
        <v>0.42319008112684342</v>
      </c>
      <c r="F27" s="10">
        <f t="shared" ca="1" si="12"/>
        <v>3.9045643250590212</v>
      </c>
      <c r="G27" s="10">
        <f t="shared" ca="1" si="9"/>
        <v>4.8802044334746251</v>
      </c>
      <c r="H27" s="9">
        <f t="shared" ca="1" si="10"/>
        <v>55</v>
      </c>
      <c r="I27" s="19">
        <f t="shared" ca="1" si="11"/>
        <v>40.773556664648602</v>
      </c>
      <c r="J27" s="24">
        <f>0</f>
        <v>0</v>
      </c>
      <c r="L27" s="9">
        <v>23</v>
      </c>
      <c r="M27" s="11">
        <f t="shared" ca="1" si="0"/>
        <v>4.4381173958661702</v>
      </c>
      <c r="N27" s="19">
        <f t="shared" ca="1" si="1"/>
        <v>501.41134576630475</v>
      </c>
      <c r="O27" s="9">
        <f t="shared" ca="1" si="2"/>
        <v>1</v>
      </c>
      <c r="P27" s="9">
        <f t="shared" ca="1" si="3"/>
        <v>5</v>
      </c>
      <c r="Q27" s="11">
        <f t="shared" ca="1" si="4"/>
        <v>6.79983999381471</v>
      </c>
      <c r="R27" s="11">
        <f t="shared" ca="1" si="5"/>
        <v>6.3811528943875917</v>
      </c>
      <c r="S27" s="11" t="str">
        <f t="shared" ca="1" si="6"/>
        <v/>
      </c>
      <c r="T27" s="11">
        <f t="shared" ca="1" si="7"/>
        <v>13.331974545532642</v>
      </c>
      <c r="V27" s="11">
        <f t="shared" ca="1" si="14"/>
        <v>0.96330598940805734</v>
      </c>
      <c r="W27" s="11">
        <f t="shared" ca="1" si="14"/>
        <v>0.715584228587545</v>
      </c>
      <c r="X27" s="11">
        <f t="shared" ca="1" si="14"/>
        <v>0.97948220196444002</v>
      </c>
    </row>
    <row r="28" spans="2:24" ht="15" customHeight="1" x14ac:dyDescent="0.45">
      <c r="B28" s="9">
        <v>4</v>
      </c>
      <c r="C28" s="12">
        <f t="shared" si="13"/>
        <v>0.64723188878223126</v>
      </c>
      <c r="F28" s="10">
        <f t="shared" ca="1" si="12"/>
        <v>4.8802044334746251</v>
      </c>
      <c r="G28" s="10">
        <f t="shared" ca="1" si="9"/>
        <v>5.855844541890229</v>
      </c>
      <c r="H28" s="9">
        <f t="shared" ca="1" si="10"/>
        <v>40</v>
      </c>
      <c r="I28" s="19">
        <f t="shared" ca="1" si="11"/>
        <v>31.948451817094714</v>
      </c>
      <c r="J28" s="24">
        <f>0</f>
        <v>0</v>
      </c>
      <c r="L28" s="9">
        <v>24</v>
      </c>
      <c r="M28" s="11">
        <f t="shared" ca="1" si="0"/>
        <v>3.2577561517043372</v>
      </c>
      <c r="N28" s="19">
        <f t="shared" ca="1" si="1"/>
        <v>1739.7546042590473</v>
      </c>
      <c r="O28" s="9">
        <f t="shared" ca="1" si="2"/>
        <v>1</v>
      </c>
      <c r="P28" s="9">
        <f t="shared" ca="1" si="3"/>
        <v>8</v>
      </c>
      <c r="Q28" s="11">
        <f t="shared" ca="1" si="4"/>
        <v>10.524796485789571</v>
      </c>
      <c r="R28" s="11">
        <f t="shared" ca="1" si="5"/>
        <v>9.9248514905897984</v>
      </c>
      <c r="S28" s="11" t="str">
        <f t="shared" ca="1" si="6"/>
        <v/>
      </c>
      <c r="T28" s="11">
        <f t="shared" ca="1" si="7"/>
        <v>1.1124603673724411</v>
      </c>
      <c r="V28" s="11">
        <f t="shared" ca="1" si="14"/>
        <v>0.98493559057074709</v>
      </c>
      <c r="W28" s="11">
        <f t="shared" ca="1" si="14"/>
        <v>0.86446428144719567</v>
      </c>
      <c r="X28" s="11">
        <f t="shared" ca="1" si="14"/>
        <v>7.8827076301018151E-2</v>
      </c>
    </row>
    <row r="29" spans="2:24" ht="15" customHeight="1" x14ac:dyDescent="0.45">
      <c r="B29" s="9">
        <v>5</v>
      </c>
      <c r="C29" s="12">
        <f t="shared" si="13"/>
        <v>0.81526324452377208</v>
      </c>
      <c r="F29" s="10">
        <f t="shared" ca="1" si="12"/>
        <v>5.855844541890229</v>
      </c>
      <c r="G29" s="10">
        <f t="shared" ca="1" si="9"/>
        <v>6.8314846503058329</v>
      </c>
      <c r="H29" s="9">
        <f t="shared" ca="1" si="10"/>
        <v>23</v>
      </c>
      <c r="I29" s="19">
        <f t="shared" ca="1" si="11"/>
        <v>25.033469164935372</v>
      </c>
      <c r="J29" s="24">
        <f>0</f>
        <v>0</v>
      </c>
      <c r="L29" s="9">
        <v>25</v>
      </c>
      <c r="M29" s="11">
        <f t="shared" ca="1" si="0"/>
        <v>1.595561715293119</v>
      </c>
      <c r="N29" s="19">
        <f t="shared" ca="1" si="1"/>
        <v>602.39767451388673</v>
      </c>
      <c r="O29" s="9">
        <f t="shared" ca="1" si="2"/>
        <v>1</v>
      </c>
      <c r="P29" s="9">
        <f t="shared" ca="1" si="3"/>
        <v>3</v>
      </c>
      <c r="Q29" s="11">
        <f t="shared" ca="1" si="4"/>
        <v>6.872793513678106</v>
      </c>
      <c r="R29" s="11">
        <f t="shared" ca="1" si="5"/>
        <v>9.0904185125536916</v>
      </c>
      <c r="S29" s="11" t="str">
        <f t="shared" ca="1" si="6"/>
        <v/>
      </c>
      <c r="T29" s="11">
        <f t="shared" ca="1" si="7"/>
        <v>2.4094955058269369</v>
      </c>
      <c r="V29" s="11">
        <f t="shared" ca="1" si="14"/>
        <v>0.19912502571877866</v>
      </c>
      <c r="W29" s="11">
        <f t="shared" ca="1" si="14"/>
        <v>0.97292581664562316</v>
      </c>
      <c r="X29" s="11">
        <f t="shared" ca="1" si="14"/>
        <v>0.97819530149470402</v>
      </c>
    </row>
    <row r="30" spans="2:24" ht="15" customHeight="1" x14ac:dyDescent="0.45">
      <c r="B30" s="9">
        <v>6</v>
      </c>
      <c r="C30" s="12">
        <f t="shared" si="13"/>
        <v>0.91608205796869657</v>
      </c>
      <c r="F30" s="10">
        <f t="shared" ca="1" si="12"/>
        <v>6.8314846503058329</v>
      </c>
      <c r="G30" s="10">
        <f t="shared" ca="1" si="9"/>
        <v>7.8071247587214367</v>
      </c>
      <c r="H30" s="9">
        <f t="shared" ca="1" si="10"/>
        <v>23</v>
      </c>
      <c r="I30" s="19">
        <f t="shared" ca="1" si="11"/>
        <v>19.615178288434343</v>
      </c>
      <c r="J30" s="24">
        <f>0</f>
        <v>0</v>
      </c>
      <c r="L30" s="9">
        <v>26</v>
      </c>
      <c r="M30" s="11">
        <f t="shared" ca="1" si="0"/>
        <v>0.1096082722299473</v>
      </c>
      <c r="N30" s="19">
        <f t="shared" ca="1" si="1"/>
        <v>2345.6573909234294</v>
      </c>
      <c r="O30" s="9">
        <f t="shared" ca="1" si="2"/>
        <v>2</v>
      </c>
      <c r="P30" s="9">
        <f t="shared" ca="1" si="3"/>
        <v>6</v>
      </c>
      <c r="Q30" s="11">
        <f t="shared" ca="1" si="4"/>
        <v>9.6815370818392115</v>
      </c>
      <c r="R30" s="11">
        <f t="shared" ca="1" si="5"/>
        <v>8.9483145355496614</v>
      </c>
      <c r="S30" s="11" t="str">
        <f t="shared" ca="1" si="6"/>
        <v/>
      </c>
      <c r="T30" s="11">
        <f t="shared" ca="1" si="7"/>
        <v>3.2670944219940465</v>
      </c>
      <c r="V30" s="11">
        <f t="shared" ca="1" si="14"/>
        <v>0.37094839220509812</v>
      </c>
      <c r="W30" s="11">
        <f t="shared" ca="1" si="14"/>
        <v>0.94058217919204357</v>
      </c>
      <c r="X30" s="11">
        <f t="shared" ca="1" si="14"/>
        <v>0.72235224873694293</v>
      </c>
    </row>
    <row r="31" spans="2:24" ht="15" customHeight="1" x14ac:dyDescent="0.45">
      <c r="B31" s="9">
        <v>7</v>
      </c>
      <c r="C31" s="12">
        <f t="shared" si="13"/>
        <v>0.96649146469115887</v>
      </c>
      <c r="F31" s="10">
        <f t="shared" ca="1" si="12"/>
        <v>7.8071247587214367</v>
      </c>
      <c r="G31" s="10">
        <f t="shared" ca="1" si="9"/>
        <v>8.7827648671370397</v>
      </c>
      <c r="H31" s="9">
        <f t="shared" ca="1" si="10"/>
        <v>8</v>
      </c>
      <c r="I31" s="19">
        <f t="shared" ca="1" si="11"/>
        <v>15.369632420982882</v>
      </c>
      <c r="J31" s="24">
        <f>0</f>
        <v>0</v>
      </c>
      <c r="L31" s="9">
        <v>27</v>
      </c>
      <c r="M31" s="11">
        <f t="shared" ca="1" si="0"/>
        <v>0.38528633203695034</v>
      </c>
      <c r="N31" s="19">
        <f t="shared" ca="1" si="1"/>
        <v>1861.2173764190345</v>
      </c>
      <c r="O31" s="9">
        <f t="shared" ca="1" si="2"/>
        <v>3</v>
      </c>
      <c r="P31" s="9">
        <f t="shared" ca="1" si="3"/>
        <v>6</v>
      </c>
      <c r="Q31" s="11">
        <f t="shared" ca="1" si="4"/>
        <v>5.5970844415961221</v>
      </c>
      <c r="R31" s="11">
        <f t="shared" ca="1" si="5"/>
        <v>8.5588260591588909</v>
      </c>
      <c r="S31" s="11">
        <f t="shared" ca="1" si="6"/>
        <v>0.11348564862033939</v>
      </c>
      <c r="T31" s="11">
        <f t="shared" ca="1" si="7"/>
        <v>0.2382595668165336</v>
      </c>
      <c r="V31" s="11">
        <f t="shared" ca="1" si="14"/>
        <v>0.11348564862033939</v>
      </c>
      <c r="W31" s="11">
        <f t="shared" ca="1" si="14"/>
        <v>9.1895180584387615E-2</v>
      </c>
      <c r="X31" s="11">
        <f t="shared" ca="1" si="14"/>
        <v>0.72075441112982186</v>
      </c>
    </row>
    <row r="32" spans="2:24" ht="15" customHeight="1" x14ac:dyDescent="0.45">
      <c r="B32" s="9">
        <v>8</v>
      </c>
      <c r="C32" s="12">
        <f t="shared" si="13"/>
        <v>0.98809549614364256</v>
      </c>
      <c r="F32" s="10">
        <f t="shared" ca="1" si="12"/>
        <v>8.7827648671370397</v>
      </c>
      <c r="G32" s="10">
        <f t="shared" ca="1" si="9"/>
        <v>9.7584049755526436</v>
      </c>
      <c r="H32" s="9">
        <f t="shared" ca="1" si="10"/>
        <v>10</v>
      </c>
      <c r="I32" s="19">
        <f t="shared" ca="1" si="11"/>
        <v>12.043000439889706</v>
      </c>
      <c r="J32" s="24">
        <f>0</f>
        <v>0</v>
      </c>
      <c r="L32" s="9">
        <v>28</v>
      </c>
      <c r="M32" s="11">
        <f t="shared" ca="1" si="0"/>
        <v>1.9523489190958867</v>
      </c>
      <c r="N32" s="19">
        <f t="shared" ca="1" si="1"/>
        <v>917.01768685614888</v>
      </c>
      <c r="O32" s="9">
        <f t="shared" ca="1" si="2"/>
        <v>1</v>
      </c>
      <c r="P32" s="9">
        <f t="shared" ca="1" si="3"/>
        <v>3</v>
      </c>
      <c r="Q32" s="11">
        <f t="shared" ca="1" si="4"/>
        <v>7.0492656698881708</v>
      </c>
      <c r="R32" s="11">
        <f t="shared" ca="1" si="5"/>
        <v>10.914764874603868</v>
      </c>
      <c r="S32" s="11">
        <f t="shared" ca="1" si="6"/>
        <v>0.64393893569894078</v>
      </c>
      <c r="T32" s="11">
        <f t="shared" ca="1" si="7"/>
        <v>0.55972494417737528</v>
      </c>
      <c r="V32" s="11">
        <f t="shared" ca="1" si="14"/>
        <v>0.64393893569894078</v>
      </c>
      <c r="W32" s="11">
        <f t="shared" ca="1" si="14"/>
        <v>0.40379026706619192</v>
      </c>
      <c r="X32" s="11">
        <f t="shared" ca="1" si="14"/>
        <v>2.0108501800689016E-2</v>
      </c>
    </row>
    <row r="33" spans="2:24" ht="15" customHeight="1" x14ac:dyDescent="0.45">
      <c r="B33" s="9">
        <v>9</v>
      </c>
      <c r="C33" s="12">
        <f t="shared" si="13"/>
        <v>0.996197007938324</v>
      </c>
      <c r="F33" s="10">
        <f t="shared" ca="1" si="12"/>
        <v>9.7584049755526436</v>
      </c>
      <c r="G33" s="10">
        <f t="shared" ca="1" si="9"/>
        <v>10.734045083968248</v>
      </c>
      <c r="H33" s="9">
        <f t="shared" ca="1" si="10"/>
        <v>11</v>
      </c>
      <c r="I33" s="19">
        <f t="shared" ca="1" si="11"/>
        <v>9.4363909053010726</v>
      </c>
      <c r="J33" s="24">
        <f>0</f>
        <v>0</v>
      </c>
      <c r="L33" s="9">
        <v>29</v>
      </c>
      <c r="M33" s="11">
        <f t="shared" ca="1" si="0"/>
        <v>3.9049476713972826</v>
      </c>
      <c r="N33" s="19">
        <f t="shared" ca="1" si="1"/>
        <v>552.11423965388678</v>
      </c>
      <c r="O33" s="9">
        <f t="shared" ca="1" si="2"/>
        <v>7</v>
      </c>
      <c r="P33" s="9">
        <f t="shared" ca="1" si="3"/>
        <v>1</v>
      </c>
      <c r="Q33" s="11">
        <f t="shared" ca="1" si="4"/>
        <v>4.8231018077423977</v>
      </c>
      <c r="R33" s="11">
        <f t="shared" ca="1" si="5"/>
        <v>11.83262986847833</v>
      </c>
      <c r="S33" s="11">
        <f t="shared" ca="1" si="6"/>
        <v>0.61212449560785764</v>
      </c>
      <c r="T33" s="11">
        <f t="shared" ca="1" si="7"/>
        <v>13.66417926514373</v>
      </c>
      <c r="V33" s="11">
        <f t="shared" ca="1" si="14"/>
        <v>0.61212449560785764</v>
      </c>
      <c r="W33" s="11">
        <f t="shared" ca="1" si="14"/>
        <v>0.36588828969447174</v>
      </c>
      <c r="X33" s="11">
        <f t="shared" ca="1" si="14"/>
        <v>0.704473995973255</v>
      </c>
    </row>
    <row r="34" spans="2:24" ht="15" customHeight="1" x14ac:dyDescent="0.45">
      <c r="B34" s="9">
        <v>10</v>
      </c>
      <c r="C34" s="12">
        <f t="shared" si="13"/>
        <v>0.99889751186988451</v>
      </c>
      <c r="F34" s="10">
        <f t="shared" ca="1" si="12"/>
        <v>10.734045083968248</v>
      </c>
      <c r="G34" s="10">
        <f t="shared" ca="1" si="9"/>
        <v>11.709685192383851</v>
      </c>
      <c r="H34" s="9">
        <f t="shared" ca="1" si="10"/>
        <v>5</v>
      </c>
      <c r="I34" s="19">
        <f t="shared" ca="1" si="11"/>
        <v>7.393960812515199</v>
      </c>
      <c r="J34" s="24">
        <f>0</f>
        <v>0</v>
      </c>
      <c r="L34" s="9">
        <v>30</v>
      </c>
      <c r="M34" s="11">
        <f t="shared" ca="1" si="0"/>
        <v>0.27061092776797951</v>
      </c>
      <c r="N34" s="19">
        <f t="shared" ca="1" si="1"/>
        <v>208.00604060293395</v>
      </c>
      <c r="O34" s="9">
        <f t="shared" ca="1" si="2"/>
        <v>1</v>
      </c>
      <c r="P34" s="9">
        <f t="shared" ca="1" si="3"/>
        <v>2</v>
      </c>
      <c r="Q34" s="11">
        <f t="shared" ca="1" si="4"/>
        <v>4.4283751140557586</v>
      </c>
      <c r="R34" s="11">
        <f t="shared" ca="1" si="5"/>
        <v>9.1048167652249035</v>
      </c>
      <c r="S34" s="11">
        <f t="shared" ca="1" si="6"/>
        <v>8.0671685161090467E-2</v>
      </c>
      <c r="T34" s="11">
        <f t="shared" ca="1" si="7"/>
        <v>4.229924606430032</v>
      </c>
      <c r="V34" s="11">
        <f t="shared" ca="1" si="14"/>
        <v>8.0671685161090467E-2</v>
      </c>
      <c r="W34" s="11">
        <f t="shared" ca="1" si="14"/>
        <v>0.20940392726826595</v>
      </c>
      <c r="X34" s="11">
        <f t="shared" ca="1" si="14"/>
        <v>0.76078583521608589</v>
      </c>
    </row>
    <row r="35" spans="2:24" ht="15" customHeight="1" x14ac:dyDescent="0.45">
      <c r="B35" s="9">
        <v>11</v>
      </c>
      <c r="C35" s="12">
        <f t="shared" si="13"/>
        <v>0.99970766304935266</v>
      </c>
      <c r="F35" s="10">
        <f t="shared" ca="1" si="12"/>
        <v>11.709685192383851</v>
      </c>
      <c r="G35" s="10">
        <f t="shared" ca="1" si="9"/>
        <v>12.685325300799455</v>
      </c>
      <c r="H35" s="9">
        <f t="shared" ca="1" si="10"/>
        <v>10</v>
      </c>
      <c r="I35" s="19">
        <f t="shared" ca="1" si="11"/>
        <v>5.7935981081812526</v>
      </c>
      <c r="J35" s="24">
        <f>0</f>
        <v>0</v>
      </c>
      <c r="L35" s="9">
        <v>31</v>
      </c>
      <c r="M35" s="11">
        <f t="shared" ca="1" si="0"/>
        <v>1.1436450270105909</v>
      </c>
      <c r="N35" s="19">
        <f t="shared" ca="1" si="1"/>
        <v>743.97956842380177</v>
      </c>
      <c r="O35" s="9">
        <f t="shared" ca="1" si="2"/>
        <v>1</v>
      </c>
      <c r="P35" s="9">
        <f t="shared" ca="1" si="3"/>
        <v>5</v>
      </c>
      <c r="Q35" s="11">
        <f t="shared" ca="1" si="4"/>
        <v>3.7769857821809136</v>
      </c>
      <c r="R35" s="11">
        <f t="shared" ca="1" si="5"/>
        <v>10.593559397249846</v>
      </c>
      <c r="S35" s="11" t="str">
        <f t="shared" ca="1" si="6"/>
        <v/>
      </c>
      <c r="T35" s="11">
        <f t="shared" ca="1" si="7"/>
        <v>9.2508514229544634</v>
      </c>
      <c r="V35" s="11">
        <f t="shared" ca="1" si="14"/>
        <v>0.90889445195349516</v>
      </c>
      <c r="W35" s="11">
        <f t="shared" ca="1" si="14"/>
        <v>0.58547334385442651</v>
      </c>
      <c r="X35" s="11">
        <f t="shared" ca="1" si="14"/>
        <v>0.96131839942707742</v>
      </c>
    </row>
    <row r="36" spans="2:24" ht="15" customHeight="1" x14ac:dyDescent="0.45">
      <c r="B36" s="9">
        <v>12</v>
      </c>
      <c r="C36" s="12">
        <f t="shared" si="13"/>
        <v>0.99992861337102579</v>
      </c>
      <c r="F36" s="10">
        <f t="shared" ca="1" si="12"/>
        <v>12.685325300799455</v>
      </c>
      <c r="G36" s="10">
        <f t="shared" ca="1" si="9"/>
        <v>13.660965409215059</v>
      </c>
      <c r="H36" s="9">
        <f t="shared" ca="1" si="10"/>
        <v>3</v>
      </c>
      <c r="I36" s="19">
        <f t="shared" ca="1" si="11"/>
        <v>4.5396209001145049</v>
      </c>
      <c r="J36" s="24">
        <f>0</f>
        <v>0</v>
      </c>
      <c r="L36" s="9">
        <v>32</v>
      </c>
      <c r="M36" s="11">
        <f t="shared" ca="1" si="0"/>
        <v>0.14652538893867459</v>
      </c>
      <c r="N36" s="19">
        <f t="shared" ca="1" si="1"/>
        <v>1360.0747438283399</v>
      </c>
      <c r="O36" s="9">
        <f t="shared" ca="1" si="2"/>
        <v>3</v>
      </c>
      <c r="P36" s="9">
        <f t="shared" ca="1" si="3"/>
        <v>5</v>
      </c>
      <c r="Q36" s="11">
        <f t="shared" ca="1" si="4"/>
        <v>5.2796147849235089</v>
      </c>
      <c r="R36" s="11">
        <f t="shared" ca="1" si="5"/>
        <v>8.8655840541653177</v>
      </c>
      <c r="S36" s="11">
        <f t="shared" ca="1" si="6"/>
        <v>0.54851508271332849</v>
      </c>
      <c r="T36" s="11">
        <f t="shared" ca="1" si="7"/>
        <v>10.814766918638327</v>
      </c>
      <c r="V36" s="11">
        <f t="shared" ca="1" si="14"/>
        <v>0.54851508271332849</v>
      </c>
      <c r="W36" s="11">
        <f t="shared" ca="1" si="14"/>
        <v>0.97924336384954425</v>
      </c>
      <c r="X36" s="11">
        <f t="shared" ca="1" si="14"/>
        <v>0.95791041980466296</v>
      </c>
    </row>
    <row r="37" spans="2:24" ht="15" customHeight="1" x14ac:dyDescent="0.45">
      <c r="B37" s="9">
        <v>13</v>
      </c>
      <c r="C37" s="12">
        <f t="shared" si="13"/>
        <v>0.99998385095144404</v>
      </c>
      <c r="F37" s="10">
        <f t="shared" ca="1" si="12"/>
        <v>13.660965409215059</v>
      </c>
      <c r="G37" s="10">
        <f t="shared" ca="1" si="9"/>
        <v>14.636605517630663</v>
      </c>
      <c r="H37" s="9">
        <f t="shared" ca="1" si="10"/>
        <v>2</v>
      </c>
      <c r="I37" s="19">
        <f t="shared" ca="1" si="11"/>
        <v>3.5570568637915967</v>
      </c>
      <c r="J37" s="24">
        <f>0</f>
        <v>0</v>
      </c>
      <c r="L37" s="9">
        <v>33</v>
      </c>
      <c r="M37" s="11">
        <f t="shared" ca="1" si="0"/>
        <v>4.8263899856021615</v>
      </c>
      <c r="N37" s="19">
        <f t="shared" ca="1" si="1"/>
        <v>775.92508872494648</v>
      </c>
      <c r="O37" s="9">
        <f t="shared" ca="1" si="2"/>
        <v>1</v>
      </c>
      <c r="P37" s="9">
        <f t="shared" ca="1" si="3"/>
        <v>6</v>
      </c>
      <c r="Q37" s="11">
        <f t="shared" ca="1" si="4"/>
        <v>7.7605484522529125</v>
      </c>
      <c r="R37" s="11">
        <f t="shared" ca="1" si="5"/>
        <v>11.649210490303547</v>
      </c>
      <c r="S37" s="11" t="str">
        <f t="shared" ca="1" si="6"/>
        <v/>
      </c>
      <c r="T37" s="11">
        <f t="shared" ca="1" si="7"/>
        <v>0.54611381671344816</v>
      </c>
      <c r="V37" s="11">
        <f t="shared" ca="1" si="14"/>
        <v>0.79892481555925154</v>
      </c>
      <c r="W37" s="11">
        <f t="shared" ca="1" si="14"/>
        <v>0.7168270021107106</v>
      </c>
      <c r="X37" s="11">
        <f t="shared" ca="1" si="14"/>
        <v>0.11919090196818294</v>
      </c>
    </row>
    <row r="38" spans="2:24" ht="15" customHeight="1" x14ac:dyDescent="0.45">
      <c r="B38" s="9">
        <v>14</v>
      </c>
      <c r="C38" s="12">
        <f t="shared" si="13"/>
        <v>0.99999659808538677</v>
      </c>
      <c r="F38" s="10">
        <f t="shared" ca="1" si="12"/>
        <v>14.636605517630663</v>
      </c>
      <c r="G38" s="10">
        <f t="shared" ca="1" si="9"/>
        <v>15.612245626046267</v>
      </c>
      <c r="H38" s="9">
        <f t="shared" ca="1" si="10"/>
        <v>0</v>
      </c>
      <c r="I38" s="19">
        <f t="shared" ca="1" si="11"/>
        <v>2.7871608248009605</v>
      </c>
      <c r="J38" s="24">
        <f>0</f>
        <v>0</v>
      </c>
      <c r="L38" s="9">
        <v>34</v>
      </c>
      <c r="M38" s="11">
        <f t="shared" ca="1" si="0"/>
        <v>5.9085493212901792</v>
      </c>
      <c r="N38" s="19">
        <f t="shared" ca="1" si="1"/>
        <v>983.85925786848782</v>
      </c>
      <c r="O38" s="9">
        <f t="shared" ca="1" si="2"/>
        <v>2</v>
      </c>
      <c r="P38" s="9">
        <f t="shared" ca="1" si="3"/>
        <v>2</v>
      </c>
      <c r="Q38" s="11">
        <f t="shared" ca="1" si="4"/>
        <v>11.74978016310838</v>
      </c>
      <c r="R38" s="11">
        <f t="shared" ca="1" si="5"/>
        <v>10.221226515511805</v>
      </c>
      <c r="S38" s="11">
        <f t="shared" ca="1" si="6"/>
        <v>0.6884471442991984</v>
      </c>
      <c r="T38" s="11">
        <f t="shared" ca="1" si="7"/>
        <v>1.1449780003592931</v>
      </c>
      <c r="V38" s="11">
        <f t="shared" ca="1" si="14"/>
        <v>0.6884471442991984</v>
      </c>
      <c r="W38" s="11">
        <f t="shared" ca="1" si="14"/>
        <v>0.84822879080355085</v>
      </c>
      <c r="X38" s="11">
        <f t="shared" ca="1" si="14"/>
        <v>0.54409340715044019</v>
      </c>
    </row>
    <row r="39" spans="2:24" ht="15" customHeight="1" x14ac:dyDescent="0.45">
      <c r="B39" s="9">
        <v>15</v>
      </c>
      <c r="C39" s="12">
        <f t="shared" si="13"/>
        <v>0.99999932961408877</v>
      </c>
      <c r="F39" s="10">
        <f t="shared" ca="1" si="12"/>
        <v>15.612245626046267</v>
      </c>
      <c r="G39" s="10">
        <f t="shared" ca="1" si="9"/>
        <v>16.587885734461871</v>
      </c>
      <c r="H39" s="9">
        <f t="shared" ca="1" si="10"/>
        <v>2</v>
      </c>
      <c r="I39" s="19">
        <f t="shared" ca="1" si="11"/>
        <v>2.1839025241291443</v>
      </c>
      <c r="J39" s="24">
        <f>0</f>
        <v>0</v>
      </c>
      <c r="L39" s="9">
        <v>35</v>
      </c>
      <c r="M39" s="11">
        <f t="shared" ca="1" si="0"/>
        <v>0.22796879462339389</v>
      </c>
      <c r="N39" s="19">
        <f t="shared" ca="1" si="1"/>
        <v>685.27548314819967</v>
      </c>
      <c r="O39" s="9">
        <f t="shared" ca="1" si="2"/>
        <v>1</v>
      </c>
      <c r="P39" s="9">
        <f t="shared" ca="1" si="3"/>
        <v>5</v>
      </c>
      <c r="Q39" s="11">
        <f t="shared" ca="1" si="4"/>
        <v>5.0766860201155293</v>
      </c>
      <c r="R39" s="11">
        <f t="shared" ca="1" si="5"/>
        <v>13.930888947861627</v>
      </c>
      <c r="S39" s="11">
        <f t="shared" ca="1" si="6"/>
        <v>0.13786417677113927</v>
      </c>
      <c r="T39" s="11">
        <f t="shared" ca="1" si="7"/>
        <v>2.0807773355009767</v>
      </c>
      <c r="V39" s="11">
        <f t="shared" ca="1" si="14"/>
        <v>0.13786417677113927</v>
      </c>
      <c r="W39" s="11">
        <f t="shared" ca="1" si="14"/>
        <v>5.5651010540598733E-2</v>
      </c>
      <c r="X39" s="11">
        <f t="shared" ca="1" si="14"/>
        <v>0.93713142084889023</v>
      </c>
    </row>
    <row r="40" spans="2:24" ht="15" customHeight="1" x14ac:dyDescent="0.45">
      <c r="B40" s="9">
        <v>16</v>
      </c>
      <c r="C40" s="12">
        <f t="shared" si="13"/>
        <v>0.9999998759198292</v>
      </c>
      <c r="F40" s="10">
        <f t="shared" ca="1" si="12"/>
        <v>16.587885734461871</v>
      </c>
      <c r="G40" s="10">
        <f t="shared" ca="1" si="9"/>
        <v>17.563525842877475</v>
      </c>
      <c r="H40" s="9">
        <f t="shared" ca="1" si="10"/>
        <v>1</v>
      </c>
      <c r="I40" s="19">
        <f t="shared" ca="1" si="11"/>
        <v>1.7112145780959764</v>
      </c>
      <c r="J40" s="24">
        <f>0</f>
        <v>0</v>
      </c>
      <c r="L40" s="9">
        <v>36</v>
      </c>
      <c r="M40" s="11">
        <f t="shared" ca="1" si="0"/>
        <v>3.6370865982184819</v>
      </c>
      <c r="N40" s="19">
        <f t="shared" ca="1" si="1"/>
        <v>1719.6250649000694</v>
      </c>
      <c r="O40" s="9">
        <f t="shared" ca="1" si="2"/>
        <v>1</v>
      </c>
      <c r="P40" s="9">
        <f t="shared" ca="1" si="3"/>
        <v>2</v>
      </c>
      <c r="Q40" s="11">
        <f t="shared" ca="1" si="4"/>
        <v>8.4633567134341092</v>
      </c>
      <c r="R40" s="11">
        <f t="shared" ca="1" si="5"/>
        <v>8.9199822453699458</v>
      </c>
      <c r="S40" s="11">
        <f t="shared" ca="1" si="6"/>
        <v>0.53625128154350676</v>
      </c>
      <c r="T40" s="11">
        <f t="shared" ca="1" si="7"/>
        <v>0.49401816419642647</v>
      </c>
      <c r="V40" s="11">
        <f t="shared" ca="1" si="14"/>
        <v>0.53625128154350676</v>
      </c>
      <c r="W40" s="11">
        <f t="shared" ca="1" si="14"/>
        <v>8.7992958190597714E-2</v>
      </c>
      <c r="X40" s="11">
        <f t="shared" ca="1" si="14"/>
        <v>3.4621045672265094E-3</v>
      </c>
    </row>
    <row r="41" spans="2:24" ht="15" customHeight="1" x14ac:dyDescent="0.45">
      <c r="B41" s="9">
        <v>17</v>
      </c>
      <c r="C41" s="12">
        <f t="shared" si="13"/>
        <v>0.99999997835215548</v>
      </c>
      <c r="F41" s="10">
        <f t="shared" ca="1" si="12"/>
        <v>17.563525842877475</v>
      </c>
      <c r="G41" s="10">
        <f t="shared" ca="1" si="9"/>
        <v>18.539165951293079</v>
      </c>
      <c r="H41" s="9">
        <f t="shared" ca="1" si="10"/>
        <v>1</v>
      </c>
      <c r="I41" s="19">
        <f t="shared" ca="1" si="11"/>
        <v>1.3408360949883069</v>
      </c>
      <c r="J41" s="24">
        <f>0</f>
        <v>0</v>
      </c>
      <c r="L41" s="9">
        <v>37</v>
      </c>
      <c r="M41" s="11">
        <f t="shared" ca="1" si="0"/>
        <v>2.2694103069326912E-2</v>
      </c>
      <c r="N41" s="19">
        <f t="shared" ca="1" si="1"/>
        <v>549.55387620415434</v>
      </c>
      <c r="O41" s="9">
        <f t="shared" ca="1" si="2"/>
        <v>2</v>
      </c>
      <c r="P41" s="9">
        <f t="shared" ca="1" si="3"/>
        <v>4</v>
      </c>
      <c r="Q41" s="11">
        <f t="shared" ca="1" si="4"/>
        <v>5.5909474687942406</v>
      </c>
      <c r="R41" s="11">
        <f t="shared" ca="1" si="5"/>
        <v>7.7252333782660063</v>
      </c>
      <c r="S41" s="11">
        <f t="shared" ca="1" si="6"/>
        <v>0.37463639403786497</v>
      </c>
      <c r="T41" s="11">
        <f t="shared" ca="1" si="7"/>
        <v>4.4457959566146181</v>
      </c>
      <c r="V41" s="11">
        <f t="shared" ca="1" si="14"/>
        <v>0.37463639403786497</v>
      </c>
      <c r="W41" s="11">
        <f t="shared" ca="1" si="14"/>
        <v>0.25505344627158755</v>
      </c>
      <c r="X41" s="11">
        <f t="shared" ca="1" si="14"/>
        <v>0.81300201484192303</v>
      </c>
    </row>
    <row r="42" spans="2:24" ht="15" customHeight="1" x14ac:dyDescent="0.45">
      <c r="B42" s="9">
        <v>18</v>
      </c>
      <c r="C42" s="12">
        <f t="shared" si="13"/>
        <v>0.99999999642844839</v>
      </c>
      <c r="F42" s="10">
        <f t="shared" ca="1" si="12"/>
        <v>18.539165951293079</v>
      </c>
      <c r="G42" s="10">
        <f ca="1">F42+IF($C$7=1,1,(MAX(INDEX($M$5:$T$504,0,$C$6))-MIN(INDEX($M$5:$T$504,0,$C$6)))/20)+0.000000001</f>
        <v>19.514806060708683</v>
      </c>
      <c r="H42" s="9">
        <f t="shared" ca="1" si="10"/>
        <v>1</v>
      </c>
      <c r="I42" s="19">
        <f t="shared" ca="1" si="11"/>
        <v>1.050623024291264</v>
      </c>
      <c r="J42" s="24">
        <f>0</f>
        <v>0</v>
      </c>
      <c r="L42" s="9">
        <v>38</v>
      </c>
      <c r="M42" s="11">
        <f t="shared" ca="1" si="0"/>
        <v>3.0980756478828506</v>
      </c>
      <c r="N42" s="19">
        <f t="shared" ca="1" si="1"/>
        <v>2054.9294648123464</v>
      </c>
      <c r="O42" s="9">
        <f t="shared" ca="1" si="2"/>
        <v>2</v>
      </c>
      <c r="P42" s="9">
        <f t="shared" ca="1" si="3"/>
        <v>1</v>
      </c>
      <c r="Q42" s="11">
        <f t="shared" ca="1" si="4"/>
        <v>4.392170236993886</v>
      </c>
      <c r="R42" s="11">
        <f t="shared" ca="1" si="5"/>
        <v>6.5633028775885993</v>
      </c>
      <c r="S42" s="11">
        <f t="shared" ca="1" si="6"/>
        <v>0.32029104446672618</v>
      </c>
      <c r="T42" s="11">
        <f t="shared" ca="1" si="7"/>
        <v>1.0388866065758608</v>
      </c>
      <c r="V42" s="11">
        <f t="shared" ca="1" si="14"/>
        <v>0.32029104446672618</v>
      </c>
      <c r="W42" s="11">
        <f t="shared" ca="1" si="14"/>
        <v>0.57065429034124204</v>
      </c>
      <c r="X42" s="11">
        <f t="shared" ca="1" si="14"/>
        <v>0.65926139598214761</v>
      </c>
    </row>
    <row r="43" spans="2:24" ht="15" customHeight="1" x14ac:dyDescent="0.45">
      <c r="B43" s="9">
        <v>19</v>
      </c>
      <c r="C43" s="12">
        <f t="shared" si="13"/>
        <v>0.99999999944116391</v>
      </c>
      <c r="L43" s="9">
        <v>39</v>
      </c>
      <c r="M43" s="11">
        <f t="shared" ca="1" si="0"/>
        <v>0.67813439912715245</v>
      </c>
      <c r="N43" s="19">
        <f t="shared" ca="1" si="1"/>
        <v>887.96821302279955</v>
      </c>
      <c r="O43" s="9">
        <f t="shared" ca="1" si="2"/>
        <v>2</v>
      </c>
      <c r="P43" s="9">
        <f t="shared" ca="1" si="3"/>
        <v>1</v>
      </c>
      <c r="Q43" s="11">
        <f t="shared" ca="1" si="4"/>
        <v>14.54487189087275</v>
      </c>
      <c r="R43" s="11">
        <f t="shared" ca="1" si="5"/>
        <v>12.395151721528755</v>
      </c>
      <c r="S43" s="11">
        <f t="shared" ca="1" si="6"/>
        <v>0.31061155775493721</v>
      </c>
      <c r="T43" s="11">
        <f t="shared" ca="1" si="7"/>
        <v>4.94855653891939</v>
      </c>
      <c r="V43" s="11">
        <f t="shared" ca="1" si="14"/>
        <v>0.31061155775493721</v>
      </c>
      <c r="W43" s="11">
        <f t="shared" ca="1" si="14"/>
        <v>7.0949052178261862E-3</v>
      </c>
      <c r="X43" s="11">
        <f t="shared" ca="1" si="14"/>
        <v>0.25296711471507782</v>
      </c>
    </row>
    <row r="44" spans="2:24" ht="15" customHeight="1" x14ac:dyDescent="0.45">
      <c r="B44" s="9">
        <v>20</v>
      </c>
      <c r="C44" s="12">
        <f t="shared" si="13"/>
        <v>0.99999999991685584</v>
      </c>
      <c r="L44" s="9">
        <v>40</v>
      </c>
      <c r="M44" s="11">
        <f t="shared" ca="1" si="0"/>
        <v>4.5055668182751143</v>
      </c>
      <c r="N44" s="19">
        <f t="shared" ca="1" si="1"/>
        <v>496.50182973420362</v>
      </c>
      <c r="O44" s="9">
        <f t="shared" ca="1" si="2"/>
        <v>1</v>
      </c>
      <c r="P44" s="9">
        <f t="shared" ca="1" si="3"/>
        <v>7</v>
      </c>
      <c r="Q44" s="11">
        <f t="shared" ca="1" si="4"/>
        <v>6.0882207885646142</v>
      </c>
      <c r="R44" s="11">
        <f t="shared" ca="1" si="5"/>
        <v>9.0981008135928647</v>
      </c>
      <c r="S44" s="11" t="str">
        <f t="shared" ca="1" si="6"/>
        <v/>
      </c>
      <c r="T44" s="11">
        <f t="shared" ca="1" si="7"/>
        <v>0.52038083578425853</v>
      </c>
      <c r="V44" s="11">
        <f t="shared" ca="1" si="14"/>
        <v>0.93438393360571625</v>
      </c>
      <c r="W44" s="11">
        <f t="shared" ca="1" si="14"/>
        <v>0.77613035787873952</v>
      </c>
      <c r="X44" s="11">
        <f t="shared" ca="1" si="14"/>
        <v>0.68664866636684407</v>
      </c>
    </row>
    <row r="45" spans="2:24" ht="15" customHeight="1" x14ac:dyDescent="0.45">
      <c r="L45" s="9">
        <v>41</v>
      </c>
      <c r="M45" s="11">
        <f t="shared" ca="1" si="0"/>
        <v>6.5966208848321548</v>
      </c>
      <c r="N45" s="19">
        <f t="shared" ca="1" si="1"/>
        <v>1334.1738207690614</v>
      </c>
      <c r="O45" s="9">
        <f t="shared" ca="1" si="2"/>
        <v>2</v>
      </c>
      <c r="P45" s="9">
        <f t="shared" ca="1" si="3"/>
        <v>3</v>
      </c>
      <c r="Q45" s="11">
        <f t="shared" ca="1" si="4"/>
        <v>15.134943503293789</v>
      </c>
      <c r="R45" s="11">
        <f t="shared" ca="1" si="5"/>
        <v>12.703748452399404</v>
      </c>
      <c r="S45" s="11">
        <f t="shared" ca="1" si="6"/>
        <v>0.51131095588135422</v>
      </c>
      <c r="T45" s="11">
        <f t="shared" ca="1" si="7"/>
        <v>1.5066785351801715</v>
      </c>
      <c r="V45" s="11">
        <f t="shared" ref="V45:X64" ca="1" si="15">RAND()</f>
        <v>0.51131095588135422</v>
      </c>
      <c r="W45" s="11">
        <f t="shared" ca="1" si="15"/>
        <v>4.0440863731305843E-4</v>
      </c>
      <c r="X45" s="11">
        <f t="shared" ca="1" si="15"/>
        <v>0.450873047179148</v>
      </c>
    </row>
    <row r="46" spans="2:24" ht="28.05" customHeight="1" x14ac:dyDescent="0.45">
      <c r="B46" s="3" t="s">
        <v>203</v>
      </c>
      <c r="C46" s="3" t="s">
        <v>210</v>
      </c>
      <c r="D46" s="3" t="s">
        <v>219</v>
      </c>
      <c r="L46" s="9">
        <v>42</v>
      </c>
      <c r="M46" s="11">
        <f t="shared" ca="1" si="0"/>
        <v>10.582157802152635</v>
      </c>
      <c r="N46" s="19">
        <f t="shared" ca="1" si="1"/>
        <v>472.84408968761284</v>
      </c>
      <c r="O46" s="9">
        <f t="shared" ca="1" si="2"/>
        <v>3</v>
      </c>
      <c r="P46" s="9">
        <f t="shared" ca="1" si="3"/>
        <v>2</v>
      </c>
      <c r="Q46" s="11">
        <f t="shared" ca="1" si="4"/>
        <v>4.2042728996204097</v>
      </c>
      <c r="R46" s="11">
        <f t="shared" ca="1" si="5"/>
        <v>12.475929658868562</v>
      </c>
      <c r="S46" s="11">
        <f t="shared" ca="1" si="6"/>
        <v>0.32182850854224865</v>
      </c>
      <c r="T46" s="11">
        <f t="shared" ca="1" si="7"/>
        <v>0.6373683139131473</v>
      </c>
      <c r="V46" s="11">
        <f t="shared" ca="1" si="15"/>
        <v>0.32182850854224865</v>
      </c>
      <c r="W46" s="11">
        <f t="shared" ca="1" si="15"/>
        <v>0.55884766024796717</v>
      </c>
      <c r="X46" s="11">
        <f t="shared" ca="1" si="15"/>
        <v>0.40393458244700264</v>
      </c>
    </row>
    <row r="47" spans="2:24" ht="15" customHeight="1" x14ac:dyDescent="0.45">
      <c r="B47" s="7" t="s">
        <v>204</v>
      </c>
      <c r="C47" s="11">
        <f>C10</f>
        <v>4</v>
      </c>
      <c r="D47" s="11">
        <f>C10^2</f>
        <v>16</v>
      </c>
      <c r="L47" s="9">
        <v>43</v>
      </c>
      <c r="M47" s="11">
        <f t="shared" ca="1" si="0"/>
        <v>12.79167349993179</v>
      </c>
      <c r="N47" s="19">
        <f t="shared" ca="1" si="1"/>
        <v>616.48547974739643</v>
      </c>
      <c r="O47" s="9">
        <f t="shared" ca="1" si="2"/>
        <v>1</v>
      </c>
      <c r="P47" s="9">
        <f t="shared" ca="1" si="3"/>
        <v>3</v>
      </c>
      <c r="Q47" s="11">
        <f t="shared" ca="1" si="4"/>
        <v>7.2667819422375715</v>
      </c>
      <c r="R47" s="11">
        <f t="shared" ca="1" si="5"/>
        <v>10.305746565753378</v>
      </c>
      <c r="S47" s="11">
        <f t="shared" ca="1" si="6"/>
        <v>0.24072481469590812</v>
      </c>
      <c r="T47" s="11">
        <f t="shared" ca="1" si="7"/>
        <v>1.9473545185329268</v>
      </c>
      <c r="V47" s="11">
        <f t="shared" ca="1" si="15"/>
        <v>0.24072481469590812</v>
      </c>
      <c r="W47" s="11">
        <f t="shared" ca="1" si="15"/>
        <v>0.2419997611480923</v>
      </c>
      <c r="X47" s="11">
        <f t="shared" ca="1" si="15"/>
        <v>0.12529890564250623</v>
      </c>
    </row>
    <row r="48" spans="2:24" ht="15" customHeight="1" x14ac:dyDescent="0.45">
      <c r="B48" s="7" t="s">
        <v>236</v>
      </c>
      <c r="C48" s="11">
        <f>C12*EXP(GAMMALN(1+1/C11))</f>
        <v>800.3580592069917</v>
      </c>
      <c r="D48" s="11">
        <f>C12^2*(EXP(GAMMALN(1+2/C11))-EXP(GAMMALN(1+1/C11))^2)</f>
        <v>211695.79098436525</v>
      </c>
      <c r="L48" s="9">
        <v>44</v>
      </c>
      <c r="M48" s="11">
        <f t="shared" ca="1" si="0"/>
        <v>1.8758075723202519</v>
      </c>
      <c r="N48" s="19">
        <f t="shared" ca="1" si="1"/>
        <v>1396.7879425639046</v>
      </c>
      <c r="O48" s="9">
        <f t="shared" ca="1" si="2"/>
        <v>1</v>
      </c>
      <c r="P48" s="9">
        <f t="shared" ca="1" si="3"/>
        <v>3</v>
      </c>
      <c r="Q48" s="11">
        <f t="shared" ca="1" si="4"/>
        <v>9.2819017790128999</v>
      </c>
      <c r="R48" s="11">
        <f t="shared" ca="1" si="5"/>
        <v>9.0643783446710859</v>
      </c>
      <c r="S48" s="11" t="str">
        <f t="shared" ca="1" si="6"/>
        <v/>
      </c>
      <c r="T48" s="11">
        <f t="shared" ca="1" si="7"/>
        <v>0.33136403457219371</v>
      </c>
      <c r="V48" s="11">
        <f t="shared" ca="1" si="15"/>
        <v>1.0997235910770509E-2</v>
      </c>
      <c r="W48" s="11">
        <f t="shared" ca="1" si="15"/>
        <v>0.69997237534374601</v>
      </c>
      <c r="X48" s="11">
        <f t="shared" ca="1" si="15"/>
        <v>9.892641467473462E-2</v>
      </c>
    </row>
    <row r="49" spans="2:24" ht="15" customHeight="1" x14ac:dyDescent="0.45">
      <c r="B49" s="7" t="s">
        <v>237</v>
      </c>
      <c r="C49" s="11">
        <f>1/C13</f>
        <v>1.6666666666666667</v>
      </c>
      <c r="D49" s="11">
        <f>(1-C13)/C13^2</f>
        <v>1.1111111111111112</v>
      </c>
      <c r="L49" s="9">
        <v>45</v>
      </c>
      <c r="M49" s="11">
        <f t="shared" ca="1" si="0"/>
        <v>0.19623723973203225</v>
      </c>
      <c r="N49" s="19">
        <f t="shared" ca="1" si="1"/>
        <v>868.91044570335475</v>
      </c>
      <c r="O49" s="9">
        <f t="shared" ca="1" si="2"/>
        <v>1</v>
      </c>
      <c r="P49" s="9">
        <f t="shared" ca="1" si="3"/>
        <v>0</v>
      </c>
      <c r="Q49" s="11">
        <f t="shared" ca="1" si="4"/>
        <v>4.8652913539920126</v>
      </c>
      <c r="R49" s="11">
        <f t="shared" ca="1" si="5"/>
        <v>11.066888899842324</v>
      </c>
      <c r="S49" s="11" t="str">
        <f t="shared" ca="1" si="6"/>
        <v/>
      </c>
      <c r="T49" s="11">
        <f t="shared" ca="1" si="7"/>
        <v>2.8833870845208742</v>
      </c>
      <c r="V49" s="11">
        <f t="shared" ca="1" si="15"/>
        <v>7.5256720777860941E-3</v>
      </c>
      <c r="W49" s="11">
        <f t="shared" ca="1" si="15"/>
        <v>0.67843504559097156</v>
      </c>
      <c r="X49" s="11">
        <f t="shared" ca="1" si="15"/>
        <v>8.4575383362265555E-2</v>
      </c>
    </row>
    <row r="50" spans="2:24" ht="15" customHeight="1" x14ac:dyDescent="0.45">
      <c r="B50" s="7" t="s">
        <v>238</v>
      </c>
      <c r="C50" s="11">
        <f>C14</f>
        <v>3</v>
      </c>
      <c r="D50" s="11">
        <f>C14</f>
        <v>3</v>
      </c>
      <c r="L50" s="9">
        <v>46</v>
      </c>
      <c r="M50" s="11">
        <f t="shared" ca="1" si="0"/>
        <v>4.4888091068686826</v>
      </c>
      <c r="N50" s="19">
        <f t="shared" ca="1" si="1"/>
        <v>1462.5522127838424</v>
      </c>
      <c r="O50" s="9">
        <f t="shared" ca="1" si="2"/>
        <v>1</v>
      </c>
      <c r="P50" s="9">
        <f t="shared" ca="1" si="3"/>
        <v>3</v>
      </c>
      <c r="Q50" s="11">
        <f t="shared" ca="1" si="4"/>
        <v>3.6866964582314781</v>
      </c>
      <c r="R50" s="11">
        <f t="shared" ca="1" si="5"/>
        <v>10.321712148204671</v>
      </c>
      <c r="S50" s="11">
        <f t="shared" ca="1" si="6"/>
        <v>0.80666316371034663</v>
      </c>
      <c r="T50" s="11">
        <f t="shared" ca="1" si="7"/>
        <v>2.2814102458476886</v>
      </c>
      <c r="V50" s="11">
        <f t="shared" ca="1" si="15"/>
        <v>0.80666316371034663</v>
      </c>
      <c r="W50" s="11">
        <f t="shared" ca="1" si="15"/>
        <v>0.56313156761697425</v>
      </c>
      <c r="X50" s="11">
        <f t="shared" ca="1" si="15"/>
        <v>0.21342346143927726</v>
      </c>
    </row>
    <row r="51" spans="2:24" ht="15" customHeight="1" x14ac:dyDescent="0.45">
      <c r="B51" s="7" t="s">
        <v>239</v>
      </c>
      <c r="C51" s="11">
        <f>C16</f>
        <v>6</v>
      </c>
      <c r="D51" s="11">
        <f>C16^2/C15</f>
        <v>12</v>
      </c>
      <c r="L51" s="9">
        <v>47</v>
      </c>
      <c r="M51" s="11">
        <f t="shared" ca="1" si="0"/>
        <v>6.6727711354443935</v>
      </c>
      <c r="N51" s="19">
        <f t="shared" ca="1" si="1"/>
        <v>511.51607685630455</v>
      </c>
      <c r="O51" s="9">
        <f t="shared" ca="1" si="2"/>
        <v>2</v>
      </c>
      <c r="P51" s="9">
        <f t="shared" ca="1" si="3"/>
        <v>8</v>
      </c>
      <c r="Q51" s="11">
        <f t="shared" ca="1" si="4"/>
        <v>8.8731779577331995</v>
      </c>
      <c r="R51" s="11">
        <f t="shared" ca="1" si="5"/>
        <v>11.89352122102223</v>
      </c>
      <c r="S51" s="11">
        <f t="shared" ca="1" si="6"/>
        <v>0.61601193435138968</v>
      </c>
      <c r="T51" s="11">
        <f t="shared" ca="1" si="7"/>
        <v>2.4210642609970322E-2</v>
      </c>
      <c r="V51" s="11">
        <f t="shared" ca="1" si="15"/>
        <v>0.61601193435138968</v>
      </c>
      <c r="W51" s="11">
        <f t="shared" ca="1" si="15"/>
        <v>0.60373249918967975</v>
      </c>
      <c r="X51" s="11">
        <f t="shared" ca="1" si="15"/>
        <v>0.54784777271956731</v>
      </c>
    </row>
    <row r="52" spans="2:24" ht="15" customHeight="1" x14ac:dyDescent="0.45">
      <c r="B52" s="7" t="s">
        <v>240</v>
      </c>
      <c r="C52" s="11">
        <f>C17</f>
        <v>10</v>
      </c>
      <c r="D52" s="11">
        <f>C18^2</f>
        <v>4</v>
      </c>
      <c r="L52" s="9">
        <v>48</v>
      </c>
      <c r="M52" s="11">
        <f t="shared" ca="1" si="0"/>
        <v>6.2381096993164027</v>
      </c>
      <c r="N52" s="19">
        <f t="shared" ca="1" si="1"/>
        <v>1203.1683677124292</v>
      </c>
      <c r="O52" s="9">
        <f t="shared" ca="1" si="2"/>
        <v>1</v>
      </c>
      <c r="P52" s="9">
        <f t="shared" ca="1" si="3"/>
        <v>7</v>
      </c>
      <c r="Q52" s="11">
        <f t="shared" ca="1" si="4"/>
        <v>14.861941780899256</v>
      </c>
      <c r="R52" s="11">
        <f t="shared" ca="1" si="5"/>
        <v>9.8453843027962975</v>
      </c>
      <c r="S52" s="11">
        <f t="shared" ca="1" si="6"/>
        <v>0.72145156270861999</v>
      </c>
      <c r="T52" s="11">
        <f t="shared" ca="1" si="7"/>
        <v>0.57430434487361692</v>
      </c>
      <c r="V52" s="11">
        <f t="shared" ca="1" si="15"/>
        <v>0.72145156270861999</v>
      </c>
      <c r="W52" s="11">
        <f t="shared" ca="1" si="15"/>
        <v>0.51107403615959013</v>
      </c>
      <c r="X52" s="11">
        <f t="shared" ca="1" si="15"/>
        <v>0.51260250542594332</v>
      </c>
    </row>
    <row r="53" spans="2:24" ht="15" customHeight="1" x14ac:dyDescent="0.45">
      <c r="B53" s="7" t="s">
        <v>241</v>
      </c>
      <c r="C53" s="11">
        <f>0.5</f>
        <v>0.5</v>
      </c>
      <c r="D53" s="11">
        <f>0.05</f>
        <v>0.05</v>
      </c>
      <c r="L53" s="9">
        <v>49</v>
      </c>
      <c r="M53" s="11">
        <f t="shared" ca="1" si="0"/>
        <v>0.32273658421695733</v>
      </c>
      <c r="N53" s="19">
        <f t="shared" ca="1" si="1"/>
        <v>619.11296908475174</v>
      </c>
      <c r="O53" s="9">
        <f t="shared" ca="1" si="2"/>
        <v>3</v>
      </c>
      <c r="P53" s="9">
        <f t="shared" ca="1" si="3"/>
        <v>2</v>
      </c>
      <c r="Q53" s="11">
        <f t="shared" ca="1" si="4"/>
        <v>11.264717445833714</v>
      </c>
      <c r="R53" s="11">
        <f t="shared" ca="1" si="5"/>
        <v>11.113785943388603</v>
      </c>
      <c r="S53" s="11">
        <f t="shared" ca="1" si="6"/>
        <v>0.77544557750348331</v>
      </c>
      <c r="T53" s="11">
        <f t="shared" ca="1" si="7"/>
        <v>3.4833324872898044</v>
      </c>
      <c r="V53" s="11">
        <f t="shared" ca="1" si="15"/>
        <v>0.77544557750348331</v>
      </c>
      <c r="W53" s="11">
        <f t="shared" ca="1" si="15"/>
        <v>0.65368592688995453</v>
      </c>
      <c r="X53" s="11">
        <f t="shared" ca="1" si="15"/>
        <v>0.11644888028415334</v>
      </c>
    </row>
    <row r="54" spans="2:24" ht="15" customHeight="1" x14ac:dyDescent="0.45">
      <c r="B54" s="7" t="s">
        <v>242</v>
      </c>
      <c r="C54" s="11">
        <f>C19*C20+(1-C19)*C21</f>
        <v>3.8000000000000003</v>
      </c>
      <c r="D54" s="11">
        <f>2*(C19*C20^2+(1-C19)*C21^2)-(C19*C20+(1-C19)*C21)^2</f>
        <v>29.560000000000006</v>
      </c>
      <c r="L54" s="9">
        <v>50</v>
      </c>
      <c r="M54" s="11">
        <f t="shared" ca="1" si="0"/>
        <v>1.00103777847743</v>
      </c>
      <c r="N54" s="19">
        <f t="shared" ca="1" si="1"/>
        <v>224.8813138946964</v>
      </c>
      <c r="O54" s="9">
        <f t="shared" ca="1" si="2"/>
        <v>3</v>
      </c>
      <c r="P54" s="9">
        <f t="shared" ca="1" si="3"/>
        <v>3</v>
      </c>
      <c r="Q54" s="11">
        <f t="shared" ca="1" si="4"/>
        <v>2.3763091715044475</v>
      </c>
      <c r="R54" s="11">
        <f t="shared" ca="1" si="5"/>
        <v>5.3692922343395777</v>
      </c>
      <c r="S54" s="11">
        <f t="shared" ca="1" si="6"/>
        <v>0.25250137521434024</v>
      </c>
      <c r="T54" s="11">
        <f t="shared" ca="1" si="7"/>
        <v>5.2596242639677104E-2</v>
      </c>
      <c r="V54" s="11">
        <f t="shared" ca="1" si="15"/>
        <v>0.25250137521434024</v>
      </c>
      <c r="W54" s="11">
        <f t="shared" ca="1" si="15"/>
        <v>0.29962368999577726</v>
      </c>
      <c r="X54" s="11">
        <f t="shared" ca="1" si="15"/>
        <v>0.56893450462577899</v>
      </c>
    </row>
    <row r="55" spans="2:24" ht="15" customHeight="1" x14ac:dyDescent="0.45">
      <c r="L55" s="9">
        <v>51</v>
      </c>
      <c r="M55" s="11">
        <f t="shared" ca="1" si="0"/>
        <v>2.9624614997960439</v>
      </c>
      <c r="N55" s="19">
        <f t="shared" ca="1" si="1"/>
        <v>406.6939459821437</v>
      </c>
      <c r="O55" s="9">
        <f t="shared" ca="1" si="2"/>
        <v>1</v>
      </c>
      <c r="P55" s="9">
        <f t="shared" ca="1" si="3"/>
        <v>2</v>
      </c>
      <c r="Q55" s="11">
        <f t="shared" ca="1" si="4"/>
        <v>7.4410641418720793</v>
      </c>
      <c r="R55" s="11">
        <f t="shared" ca="1" si="5"/>
        <v>9.116508003079959</v>
      </c>
      <c r="S55" s="11" t="str">
        <f t="shared" ca="1" si="6"/>
        <v/>
      </c>
      <c r="T55" s="11">
        <f t="shared" ca="1" si="7"/>
        <v>11.300708621959364</v>
      </c>
      <c r="V55" s="11">
        <f t="shared" ca="1" si="15"/>
        <v>0.97576038895802419</v>
      </c>
      <c r="W55" s="11">
        <f t="shared" ca="1" si="15"/>
        <v>0.43478508067804378</v>
      </c>
      <c r="X55" s="11">
        <f t="shared" ca="1" si="15"/>
        <v>0.92652607656396557</v>
      </c>
    </row>
    <row r="56" spans="2:24" ht="15" customHeight="1" x14ac:dyDescent="0.45">
      <c r="L56" s="9">
        <v>52</v>
      </c>
      <c r="M56" s="11">
        <f t="shared" ca="1" si="0"/>
        <v>12.085888717056788</v>
      </c>
      <c r="N56" s="19">
        <f t="shared" ca="1" si="1"/>
        <v>254.34262699527144</v>
      </c>
      <c r="O56" s="9">
        <f t="shared" ca="1" si="2"/>
        <v>1</v>
      </c>
      <c r="P56" s="9">
        <f t="shared" ca="1" si="3"/>
        <v>2</v>
      </c>
      <c r="Q56" s="11">
        <f t="shared" ca="1" si="4"/>
        <v>1.5227942145596951</v>
      </c>
      <c r="R56" s="11">
        <f t="shared" ca="1" si="5"/>
        <v>11.660940552722002</v>
      </c>
      <c r="S56" s="11" t="str">
        <f t="shared" ca="1" si="6"/>
        <v/>
      </c>
      <c r="T56" s="11">
        <f t="shared" ca="1" si="7"/>
        <v>0.2948396946804665</v>
      </c>
      <c r="V56" s="11">
        <f t="shared" ca="1" si="15"/>
        <v>0.92837997845177611</v>
      </c>
      <c r="W56" s="11">
        <f t="shared" ca="1" si="15"/>
        <v>0.95047068323384343</v>
      </c>
      <c r="X56" s="11">
        <f t="shared" ca="1" si="15"/>
        <v>0.45789828156769219</v>
      </c>
    </row>
    <row r="57" spans="2:24" ht="15" customHeight="1" x14ac:dyDescent="0.45">
      <c r="L57" s="9">
        <v>53</v>
      </c>
      <c r="M57" s="11">
        <f t="shared" ca="1" si="0"/>
        <v>1.8187283424124854</v>
      </c>
      <c r="N57" s="19">
        <f t="shared" ca="1" si="1"/>
        <v>292.80040358918546</v>
      </c>
      <c r="O57" s="9">
        <f t="shared" ca="1" si="2"/>
        <v>4</v>
      </c>
      <c r="P57" s="9">
        <f t="shared" ca="1" si="3"/>
        <v>6</v>
      </c>
      <c r="Q57" s="11">
        <f t="shared" ca="1" si="4"/>
        <v>1.9987280858372107</v>
      </c>
      <c r="R57" s="11">
        <f t="shared" ca="1" si="5"/>
        <v>8.9304670249408495</v>
      </c>
      <c r="S57" s="11">
        <f t="shared" ca="1" si="6"/>
        <v>0.39433100211543515</v>
      </c>
      <c r="T57" s="11">
        <f t="shared" ca="1" si="7"/>
        <v>0.90082687185338128</v>
      </c>
      <c r="V57" s="11">
        <f t="shared" ca="1" si="15"/>
        <v>0.39433100211543515</v>
      </c>
      <c r="W57" s="11">
        <f t="shared" ca="1" si="15"/>
        <v>0.75351223099591047</v>
      </c>
      <c r="X57" s="11">
        <f t="shared" ca="1" si="15"/>
        <v>0.66339470514641474</v>
      </c>
    </row>
    <row r="58" spans="2:24" ht="15" customHeight="1" x14ac:dyDescent="0.45">
      <c r="L58" s="9">
        <v>54</v>
      </c>
      <c r="M58" s="11">
        <f t="shared" ca="1" si="0"/>
        <v>5.2327947241417023</v>
      </c>
      <c r="N58" s="19">
        <f t="shared" ca="1" si="1"/>
        <v>767.9191925337368</v>
      </c>
      <c r="O58" s="9">
        <f t="shared" ca="1" si="2"/>
        <v>4</v>
      </c>
      <c r="P58" s="9">
        <f t="shared" ca="1" si="3"/>
        <v>6</v>
      </c>
      <c r="Q58" s="11">
        <f t="shared" ca="1" si="4"/>
        <v>4.9061487757338913</v>
      </c>
      <c r="R58" s="11">
        <f t="shared" ca="1" si="5"/>
        <v>8.0896151830801717</v>
      </c>
      <c r="S58" s="11">
        <f t="shared" ca="1" si="6"/>
        <v>0.5584559237505804</v>
      </c>
      <c r="T58" s="11">
        <f t="shared" ca="1" si="7"/>
        <v>5.1979989021609887</v>
      </c>
      <c r="V58" s="11">
        <f t="shared" ca="1" si="15"/>
        <v>0.5584559237505804</v>
      </c>
      <c r="W58" s="11">
        <f t="shared" ca="1" si="15"/>
        <v>0.75797528785400115</v>
      </c>
      <c r="X58" s="11">
        <f t="shared" ca="1" si="15"/>
        <v>0.85639392821502969</v>
      </c>
    </row>
    <row r="59" spans="2:24" ht="15" customHeight="1" x14ac:dyDescent="0.45">
      <c r="L59" s="9">
        <v>55</v>
      </c>
      <c r="M59" s="11">
        <f t="shared" ca="1" si="0"/>
        <v>3.0089220058885773</v>
      </c>
      <c r="N59" s="19">
        <f t="shared" ca="1" si="1"/>
        <v>837.32566334302783</v>
      </c>
      <c r="O59" s="9">
        <f t="shared" ca="1" si="2"/>
        <v>1</v>
      </c>
      <c r="P59" s="9">
        <f t="shared" ca="1" si="3"/>
        <v>2</v>
      </c>
      <c r="Q59" s="11">
        <f t="shared" ca="1" si="4"/>
        <v>4.0795903608013049</v>
      </c>
      <c r="R59" s="11">
        <f t="shared" ca="1" si="5"/>
        <v>12.208062249520628</v>
      </c>
      <c r="S59" s="11">
        <f t="shared" ca="1" si="6"/>
        <v>0.68525484799737435</v>
      </c>
      <c r="T59" s="11">
        <f t="shared" ca="1" si="7"/>
        <v>1.9443702220201919</v>
      </c>
      <c r="V59" s="11">
        <f t="shared" ca="1" si="15"/>
        <v>0.68525484799737435</v>
      </c>
      <c r="W59" s="11">
        <f t="shared" ca="1" si="15"/>
        <v>0.12999779920005494</v>
      </c>
      <c r="X59" s="11">
        <f t="shared" ca="1" si="15"/>
        <v>0.4238479559478957</v>
      </c>
    </row>
    <row r="60" spans="2:24" ht="15" customHeight="1" x14ac:dyDescent="0.45">
      <c r="L60" s="9">
        <v>56</v>
      </c>
      <c r="M60" s="11">
        <f t="shared" ca="1" si="0"/>
        <v>1.5027941028831078</v>
      </c>
      <c r="N60" s="19">
        <f t="shared" ca="1" si="1"/>
        <v>660.71853313376755</v>
      </c>
      <c r="O60" s="9">
        <f t="shared" ca="1" si="2"/>
        <v>2</v>
      </c>
      <c r="P60" s="9">
        <f t="shared" ca="1" si="3"/>
        <v>2</v>
      </c>
      <c r="Q60" s="11">
        <f t="shared" ca="1" si="4"/>
        <v>9.3192125879689485</v>
      </c>
      <c r="R60" s="11">
        <f t="shared" ca="1" si="5"/>
        <v>10.263774279796301</v>
      </c>
      <c r="S60" s="11">
        <f t="shared" ca="1" si="6"/>
        <v>0.6876509340471294</v>
      </c>
      <c r="T60" s="11">
        <f t="shared" ca="1" si="7"/>
        <v>0.79599832754176225</v>
      </c>
      <c r="V60" s="11">
        <f t="shared" ca="1" si="15"/>
        <v>0.6876509340471294</v>
      </c>
      <c r="W60" s="11">
        <f t="shared" ca="1" si="15"/>
        <v>0.2872341004688409</v>
      </c>
      <c r="X60" s="11">
        <f t="shared" ca="1" si="15"/>
        <v>0.5794988553330509</v>
      </c>
    </row>
    <row r="61" spans="2:24" ht="15" customHeight="1" x14ac:dyDescent="0.45">
      <c r="L61" s="9">
        <v>57</v>
      </c>
      <c r="M61" s="11">
        <f t="shared" ca="1" si="0"/>
        <v>7.3710074956298595</v>
      </c>
      <c r="N61" s="19">
        <f t="shared" ca="1" si="1"/>
        <v>1141.9883352607969</v>
      </c>
      <c r="O61" s="9">
        <f t="shared" ca="1" si="2"/>
        <v>1</v>
      </c>
      <c r="P61" s="9">
        <f t="shared" ca="1" si="3"/>
        <v>3</v>
      </c>
      <c r="Q61" s="11">
        <f t="shared" ca="1" si="4"/>
        <v>9.7649438506301429</v>
      </c>
      <c r="R61" s="11">
        <f t="shared" ca="1" si="5"/>
        <v>12.918819296853398</v>
      </c>
      <c r="S61" s="11" t="str">
        <f t="shared" ca="1" si="6"/>
        <v/>
      </c>
      <c r="T61" s="11">
        <f t="shared" ca="1" si="7"/>
        <v>0.97714650058755104</v>
      </c>
      <c r="V61" s="11">
        <f t="shared" ca="1" si="15"/>
        <v>0.99553710025060071</v>
      </c>
      <c r="W61" s="11">
        <f t="shared" ca="1" si="15"/>
        <v>0.5150378622580728</v>
      </c>
      <c r="X61" s="11">
        <f t="shared" ca="1" si="15"/>
        <v>0.65233028165037965</v>
      </c>
    </row>
    <row r="62" spans="2:24" ht="15" customHeight="1" x14ac:dyDescent="0.45">
      <c r="L62" s="9">
        <v>58</v>
      </c>
      <c r="M62" s="11">
        <f t="shared" ca="1" si="0"/>
        <v>1.831708105182734</v>
      </c>
      <c r="N62" s="19">
        <f t="shared" ca="1" si="1"/>
        <v>905.53018003458544</v>
      </c>
      <c r="O62" s="9">
        <f t="shared" ca="1" si="2"/>
        <v>1</v>
      </c>
      <c r="P62" s="9">
        <f t="shared" ca="1" si="3"/>
        <v>4</v>
      </c>
      <c r="Q62" s="11">
        <f t="shared" ca="1" si="4"/>
        <v>3.4282111707709984</v>
      </c>
      <c r="R62" s="11">
        <f t="shared" ca="1" si="5"/>
        <v>10.057459971123718</v>
      </c>
      <c r="S62" s="11" t="str">
        <f t="shared" ca="1" si="6"/>
        <v/>
      </c>
      <c r="T62" s="11">
        <f t="shared" ca="1" si="7"/>
        <v>1.7750864272475622</v>
      </c>
      <c r="V62" s="11">
        <f t="shared" ca="1" si="15"/>
        <v>8.9519170673094006E-2</v>
      </c>
      <c r="W62" s="11">
        <f t="shared" ca="1" si="15"/>
        <v>0.40948497245171755</v>
      </c>
      <c r="X62" s="11">
        <f t="shared" ca="1" si="15"/>
        <v>0.46935981057335752</v>
      </c>
    </row>
    <row r="63" spans="2:24" ht="15" customHeight="1" x14ac:dyDescent="0.45">
      <c r="L63" s="9">
        <v>59</v>
      </c>
      <c r="M63" s="11">
        <f t="shared" ca="1" si="0"/>
        <v>4.1172120094334161</v>
      </c>
      <c r="N63" s="19">
        <f t="shared" ca="1" si="1"/>
        <v>1228.1159804709173</v>
      </c>
      <c r="O63" s="9">
        <f t="shared" ca="1" si="2"/>
        <v>1</v>
      </c>
      <c r="P63" s="9">
        <f t="shared" ca="1" si="3"/>
        <v>4</v>
      </c>
      <c r="Q63" s="11">
        <f t="shared" ca="1" si="4"/>
        <v>7.0350325305362524</v>
      </c>
      <c r="R63" s="11">
        <f t="shared" ca="1" si="5"/>
        <v>11.463030020358374</v>
      </c>
      <c r="S63" s="11">
        <f t="shared" ca="1" si="6"/>
        <v>0.37688954690435994</v>
      </c>
      <c r="T63" s="11">
        <f t="shared" ca="1" si="7"/>
        <v>2.9355798080037764E-2</v>
      </c>
      <c r="V63" s="11">
        <f t="shared" ca="1" si="15"/>
        <v>0.37688954690435994</v>
      </c>
      <c r="W63" s="11">
        <f t="shared" ca="1" si="15"/>
        <v>0.7169732487949646</v>
      </c>
      <c r="X63" s="11">
        <f t="shared" ca="1" si="15"/>
        <v>0.24286777725895448</v>
      </c>
    </row>
    <row r="64" spans="2:24" ht="15" customHeight="1" x14ac:dyDescent="0.45">
      <c r="L64" s="9">
        <v>60</v>
      </c>
      <c r="M64" s="11">
        <f t="shared" ca="1" si="0"/>
        <v>6.0331639421482022</v>
      </c>
      <c r="N64" s="19">
        <f t="shared" ca="1" si="1"/>
        <v>1452.5102917136317</v>
      </c>
      <c r="O64" s="9">
        <f t="shared" ca="1" si="2"/>
        <v>1</v>
      </c>
      <c r="P64" s="9">
        <f t="shared" ca="1" si="3"/>
        <v>2</v>
      </c>
      <c r="Q64" s="11">
        <f t="shared" ca="1" si="4"/>
        <v>4.7854030937079139</v>
      </c>
      <c r="R64" s="11">
        <f t="shared" ca="1" si="5"/>
        <v>8.0838410624025538</v>
      </c>
      <c r="S64" s="11">
        <f t="shared" ca="1" si="6"/>
        <v>0.39149987750271775</v>
      </c>
      <c r="T64" s="11">
        <f t="shared" ca="1" si="7"/>
        <v>2.9474084956871196</v>
      </c>
      <c r="V64" s="11">
        <f t="shared" ca="1" si="15"/>
        <v>0.39149987750271775</v>
      </c>
      <c r="W64" s="11">
        <f t="shared" ca="1" si="15"/>
        <v>0.74052376329527603</v>
      </c>
      <c r="X64" s="11">
        <f t="shared" ca="1" si="15"/>
        <v>0.68000120667050135</v>
      </c>
    </row>
    <row r="65" spans="12:24" ht="15" customHeight="1" x14ac:dyDescent="0.45">
      <c r="L65" s="9">
        <v>61</v>
      </c>
      <c r="M65" s="11">
        <f t="shared" ca="1" si="0"/>
        <v>3.7553988014699553</v>
      </c>
      <c r="N65" s="19">
        <f t="shared" ca="1" si="1"/>
        <v>542.86922434763471</v>
      </c>
      <c r="O65" s="9">
        <f t="shared" ca="1" si="2"/>
        <v>1</v>
      </c>
      <c r="P65" s="9">
        <f t="shared" ca="1" si="3"/>
        <v>1</v>
      </c>
      <c r="Q65" s="11">
        <f t="shared" ca="1" si="4"/>
        <v>5.3559108661497143</v>
      </c>
      <c r="R65" s="11">
        <f t="shared" ca="1" si="5"/>
        <v>11.105947276518577</v>
      </c>
      <c r="S65" s="11" t="str">
        <f t="shared" ca="1" si="6"/>
        <v/>
      </c>
      <c r="T65" s="11">
        <f t="shared" ca="1" si="7"/>
        <v>1.9692966614110876</v>
      </c>
      <c r="V65" s="11">
        <f t="shared" ref="V65:X84" ca="1" si="16">RAND()</f>
        <v>0.96348241723439099</v>
      </c>
      <c r="W65" s="11">
        <f t="shared" ca="1" si="16"/>
        <v>0.5718801165140398</v>
      </c>
      <c r="X65" s="11">
        <f t="shared" ca="1" si="16"/>
        <v>0.33929303245109932</v>
      </c>
    </row>
    <row r="66" spans="12:24" ht="15" customHeight="1" x14ac:dyDescent="0.45">
      <c r="L66" s="9">
        <v>62</v>
      </c>
      <c r="M66" s="11">
        <f t="shared" ca="1" si="0"/>
        <v>0.31356569681836605</v>
      </c>
      <c r="N66" s="19">
        <f t="shared" ca="1" si="1"/>
        <v>354.75065394356602</v>
      </c>
      <c r="O66" s="9">
        <f t="shared" ca="1" si="2"/>
        <v>1</v>
      </c>
      <c r="P66" s="9">
        <f t="shared" ca="1" si="3"/>
        <v>3</v>
      </c>
      <c r="Q66" s="11">
        <f t="shared" ca="1" si="4"/>
        <v>10.035686381760794</v>
      </c>
      <c r="R66" s="11">
        <f t="shared" ca="1" si="5"/>
        <v>9.2638187930801301</v>
      </c>
      <c r="S66" s="11" t="str">
        <f t="shared" ca="1" si="6"/>
        <v/>
      </c>
      <c r="T66" s="11">
        <f t="shared" ca="1" si="7"/>
        <v>2.4512757796012226</v>
      </c>
      <c r="V66" s="11">
        <f t="shared" ca="1" si="16"/>
        <v>0.90288945279230914</v>
      </c>
      <c r="W66" s="11">
        <f t="shared" ca="1" si="16"/>
        <v>0.82490455111237437</v>
      </c>
      <c r="X66" s="11">
        <f t="shared" ca="1" si="16"/>
        <v>0.17555169378084179</v>
      </c>
    </row>
    <row r="67" spans="12:24" ht="15" customHeight="1" x14ac:dyDescent="0.45">
      <c r="L67" s="9">
        <v>63</v>
      </c>
      <c r="M67" s="11">
        <f t="shared" ca="1" si="0"/>
        <v>5.5109950895219084</v>
      </c>
      <c r="N67" s="19">
        <f t="shared" ca="1" si="1"/>
        <v>767.66001297920741</v>
      </c>
      <c r="O67" s="9">
        <f t="shared" ca="1" si="2"/>
        <v>1</v>
      </c>
      <c r="P67" s="9">
        <f t="shared" ca="1" si="3"/>
        <v>0</v>
      </c>
      <c r="Q67" s="11">
        <f t="shared" ca="1" si="4"/>
        <v>4.8311727605413868</v>
      </c>
      <c r="R67" s="11">
        <f t="shared" ca="1" si="5"/>
        <v>14.317561270320979</v>
      </c>
      <c r="S67" s="11">
        <f t="shared" ca="1" si="6"/>
        <v>0.57486320121012469</v>
      </c>
      <c r="T67" s="11">
        <f t="shared" ca="1" si="7"/>
        <v>2.3579130972171449</v>
      </c>
      <c r="V67" s="11">
        <f t="shared" ca="1" si="16"/>
        <v>0.57486320121012469</v>
      </c>
      <c r="W67" s="11">
        <f t="shared" ca="1" si="16"/>
        <v>0.55413171195590905</v>
      </c>
      <c r="X67" s="11">
        <f t="shared" ca="1" si="16"/>
        <v>0.40745175217892571</v>
      </c>
    </row>
    <row r="68" spans="12:24" ht="15" customHeight="1" x14ac:dyDescent="0.45">
      <c r="L68" s="9">
        <v>64</v>
      </c>
      <c r="M68" s="11">
        <f t="shared" ca="1" si="0"/>
        <v>4.4846723092723968</v>
      </c>
      <c r="N68" s="19">
        <f t="shared" ca="1" si="1"/>
        <v>899.1923973786129</v>
      </c>
      <c r="O68" s="9">
        <f t="shared" ca="1" si="2"/>
        <v>1</v>
      </c>
      <c r="P68" s="9">
        <f t="shared" ca="1" si="3"/>
        <v>4</v>
      </c>
      <c r="Q68" s="11">
        <f t="shared" ca="1" si="4"/>
        <v>3.9960576567550845</v>
      </c>
      <c r="R68" s="11">
        <f t="shared" ca="1" si="5"/>
        <v>6.3350575546869852</v>
      </c>
      <c r="S68" s="11" t="str">
        <f t="shared" ca="1" si="6"/>
        <v/>
      </c>
      <c r="T68" s="11">
        <f t="shared" ca="1" si="7"/>
        <v>2.29485965627822</v>
      </c>
      <c r="V68" s="11">
        <f t="shared" ca="1" si="16"/>
        <v>0.28605145147829503</v>
      </c>
      <c r="W68" s="11">
        <f t="shared" ca="1" si="16"/>
        <v>0.89108736827369261</v>
      </c>
      <c r="X68" s="11">
        <f t="shared" ca="1" si="16"/>
        <v>0.26851219048415764</v>
      </c>
    </row>
    <row r="69" spans="12:24" ht="15" customHeight="1" x14ac:dyDescent="0.45">
      <c r="L69" s="9">
        <v>65</v>
      </c>
      <c r="M69" s="11">
        <f t="shared" ref="M69:M132" ca="1" si="17">-$C$10*LN(1-RAND())</f>
        <v>2.0805841805434433</v>
      </c>
      <c r="N69" s="19">
        <f t="shared" ref="N69:N132" ca="1" si="18">$C$12*(-LN(1-RAND()))^(1/$C$11)</f>
        <v>259.18548609688929</v>
      </c>
      <c r="O69" s="9">
        <f t="shared" ref="O69:O132" ca="1" si="19">MAX(1,ROUNDUP(LN(1-RAND())/LN(1-$C$13),0))</f>
        <v>2</v>
      </c>
      <c r="P69" s="9">
        <f t="shared" ref="P69:P132" ca="1" si="20">INDEX($B$24:$B$44,MATCH(RAND(),$C$24:$C$44,1))</f>
        <v>1</v>
      </c>
      <c r="Q69" s="11">
        <f t="shared" ref="Q69:Q132" ca="1" si="21">-($C$16/$C$15)*LN(RAND()*RAND()*RAND())</f>
        <v>3.0834209828854919</v>
      </c>
      <c r="R69" s="11">
        <f t="shared" ref="R69:R132" ca="1" si="22">$C$17+$C$18*(RAND()+RAND()+RAND()+RAND()+RAND()+RAND()+RAND()+RAND()+RAND()+RAND()+RAND()+RAND()-6)</f>
        <v>10.015251616857739</v>
      </c>
      <c r="S69" s="11">
        <f t="shared" ref="S69:S132" ca="1" si="23">IF(1.5*W69&lt;=6*V69*(1-V69),V69,"")</f>
        <v>0.71199858528913973</v>
      </c>
      <c r="T69" s="11">
        <f t="shared" ref="T69:T132" ca="1" si="24">-IF(X69&lt;$C$19,$C$20,$C$21)*LN(1-RAND())</f>
        <v>3.2055017219245596</v>
      </c>
      <c r="V69" s="11">
        <f t="shared" ca="1" si="16"/>
        <v>0.71199858528913973</v>
      </c>
      <c r="W69" s="11">
        <f t="shared" ca="1" si="16"/>
        <v>9.0710925845492896E-2</v>
      </c>
      <c r="X69" s="11">
        <f t="shared" ca="1" si="16"/>
        <v>8.7362171835796421E-3</v>
      </c>
    </row>
    <row r="70" spans="12:24" ht="15" customHeight="1" x14ac:dyDescent="0.45">
      <c r="L70" s="9">
        <v>66</v>
      </c>
      <c r="M70" s="11">
        <f t="shared" ca="1" si="17"/>
        <v>7.0056085629946203</v>
      </c>
      <c r="N70" s="19">
        <f t="shared" ca="1" si="18"/>
        <v>1004.1815817940434</v>
      </c>
      <c r="O70" s="9">
        <f t="shared" ca="1" si="19"/>
        <v>2</v>
      </c>
      <c r="P70" s="9">
        <f t="shared" ca="1" si="20"/>
        <v>2</v>
      </c>
      <c r="Q70" s="11">
        <f t="shared" ca="1" si="21"/>
        <v>4.8694842753459362</v>
      </c>
      <c r="R70" s="11">
        <f t="shared" ca="1" si="22"/>
        <v>8.5031125041047027</v>
      </c>
      <c r="S70" s="11">
        <f t="shared" ca="1" si="23"/>
        <v>7.9893646718022016E-2</v>
      </c>
      <c r="T70" s="11">
        <f t="shared" ca="1" si="24"/>
        <v>0.91888792721950041</v>
      </c>
      <c r="V70" s="11">
        <f t="shared" ca="1" si="16"/>
        <v>7.9893646718022016E-2</v>
      </c>
      <c r="W70" s="11">
        <f t="shared" ca="1" si="16"/>
        <v>0.16289332890848018</v>
      </c>
      <c r="X70" s="11">
        <f t="shared" ca="1" si="16"/>
        <v>0.13789555184134417</v>
      </c>
    </row>
    <row r="71" spans="12:24" ht="15" customHeight="1" x14ac:dyDescent="0.45">
      <c r="L71" s="9">
        <v>67</v>
      </c>
      <c r="M71" s="11">
        <f t="shared" ca="1" si="17"/>
        <v>6.3008083522956273</v>
      </c>
      <c r="N71" s="19">
        <f t="shared" ca="1" si="18"/>
        <v>327.95034767668915</v>
      </c>
      <c r="O71" s="9">
        <f t="shared" ca="1" si="19"/>
        <v>3</v>
      </c>
      <c r="P71" s="9">
        <f t="shared" ca="1" si="20"/>
        <v>3</v>
      </c>
      <c r="Q71" s="11">
        <f t="shared" ca="1" si="21"/>
        <v>5.8335332480844357</v>
      </c>
      <c r="R71" s="11">
        <f t="shared" ca="1" si="22"/>
        <v>8.5203407375891871</v>
      </c>
      <c r="S71" s="11" t="str">
        <f t="shared" ca="1" si="23"/>
        <v/>
      </c>
      <c r="T71" s="11">
        <f t="shared" ca="1" si="24"/>
        <v>1.0714079161891736</v>
      </c>
      <c r="V71" s="11">
        <f t="shared" ca="1" si="16"/>
        <v>0.98390731509315499</v>
      </c>
      <c r="W71" s="11">
        <f t="shared" ca="1" si="16"/>
        <v>0.31604010179973796</v>
      </c>
      <c r="X71" s="11">
        <f t="shared" ca="1" si="16"/>
        <v>0.59843920543256113</v>
      </c>
    </row>
    <row r="72" spans="12:24" ht="15" customHeight="1" x14ac:dyDescent="0.45">
      <c r="L72" s="9">
        <v>68</v>
      </c>
      <c r="M72" s="11">
        <f t="shared" ca="1" si="17"/>
        <v>10.776774626079096</v>
      </c>
      <c r="N72" s="19">
        <f t="shared" ca="1" si="18"/>
        <v>482.25759884381375</v>
      </c>
      <c r="O72" s="9">
        <f t="shared" ca="1" si="19"/>
        <v>1</v>
      </c>
      <c r="P72" s="9">
        <f t="shared" ca="1" si="20"/>
        <v>4</v>
      </c>
      <c r="Q72" s="11">
        <f t="shared" ca="1" si="21"/>
        <v>7.9345429994403869</v>
      </c>
      <c r="R72" s="11">
        <f t="shared" ca="1" si="22"/>
        <v>8.9484414253477187</v>
      </c>
      <c r="S72" s="11">
        <f t="shared" ca="1" si="23"/>
        <v>0.43001551967706109</v>
      </c>
      <c r="T72" s="11">
        <f t="shared" ca="1" si="24"/>
        <v>1.3371986503914943</v>
      </c>
      <c r="V72" s="11">
        <f t="shared" ca="1" si="16"/>
        <v>0.43001551967706109</v>
      </c>
      <c r="W72" s="11">
        <f t="shared" ca="1" si="16"/>
        <v>0.85186101968309746</v>
      </c>
      <c r="X72" s="11">
        <f t="shared" ca="1" si="16"/>
        <v>0.97867709762277288</v>
      </c>
    </row>
    <row r="73" spans="12:24" ht="15" customHeight="1" x14ac:dyDescent="0.45">
      <c r="L73" s="9">
        <v>69</v>
      </c>
      <c r="M73" s="11">
        <f t="shared" ca="1" si="17"/>
        <v>8.0415536749802552</v>
      </c>
      <c r="N73" s="19">
        <f t="shared" ca="1" si="18"/>
        <v>1407.0201887897604</v>
      </c>
      <c r="O73" s="9">
        <f t="shared" ca="1" si="19"/>
        <v>4</v>
      </c>
      <c r="P73" s="9">
        <f t="shared" ca="1" si="20"/>
        <v>2</v>
      </c>
      <c r="Q73" s="11">
        <f t="shared" ca="1" si="21"/>
        <v>5.6099281768251172</v>
      </c>
      <c r="R73" s="11">
        <f t="shared" ca="1" si="22"/>
        <v>13.219545404732049</v>
      </c>
      <c r="S73" s="11" t="str">
        <f t="shared" ca="1" si="23"/>
        <v/>
      </c>
      <c r="T73" s="11">
        <f t="shared" ca="1" si="24"/>
        <v>1.239521842057175</v>
      </c>
      <c r="V73" s="11">
        <f t="shared" ca="1" si="16"/>
        <v>0.89007485113584583</v>
      </c>
      <c r="W73" s="11">
        <f t="shared" ca="1" si="16"/>
        <v>0.65959008367404648</v>
      </c>
      <c r="X73" s="11">
        <f t="shared" ca="1" si="16"/>
        <v>0.90151687344465803</v>
      </c>
    </row>
    <row r="74" spans="12:24" ht="15" customHeight="1" x14ac:dyDescent="0.45">
      <c r="L74" s="9">
        <v>70</v>
      </c>
      <c r="M74" s="11">
        <f t="shared" ca="1" si="17"/>
        <v>12.268866206815817</v>
      </c>
      <c r="N74" s="19">
        <f t="shared" ca="1" si="18"/>
        <v>512.35228084120706</v>
      </c>
      <c r="O74" s="9">
        <f t="shared" ca="1" si="19"/>
        <v>2</v>
      </c>
      <c r="P74" s="9">
        <f t="shared" ca="1" si="20"/>
        <v>2</v>
      </c>
      <c r="Q74" s="11">
        <f t="shared" ca="1" si="21"/>
        <v>2.3071801764754007</v>
      </c>
      <c r="R74" s="11">
        <f t="shared" ca="1" si="22"/>
        <v>8.4821225669075417</v>
      </c>
      <c r="S74" s="11">
        <f t="shared" ca="1" si="23"/>
        <v>0.93128711262058317</v>
      </c>
      <c r="T74" s="11">
        <f t="shared" ca="1" si="24"/>
        <v>0.94362943011886335</v>
      </c>
      <c r="V74" s="11">
        <f t="shared" ca="1" si="16"/>
        <v>0.93128711262058317</v>
      </c>
      <c r="W74" s="11">
        <f t="shared" ca="1" si="16"/>
        <v>0.1375588043095417</v>
      </c>
      <c r="X74" s="11">
        <f t="shared" ca="1" si="16"/>
        <v>0.12212747510505229</v>
      </c>
    </row>
    <row r="75" spans="12:24" ht="15" customHeight="1" x14ac:dyDescent="0.45">
      <c r="L75" s="9">
        <v>71</v>
      </c>
      <c r="M75" s="11">
        <f t="shared" ca="1" si="17"/>
        <v>3.7586707473182646</v>
      </c>
      <c r="N75" s="19">
        <f t="shared" ca="1" si="18"/>
        <v>324.09588583929838</v>
      </c>
      <c r="O75" s="9">
        <f t="shared" ca="1" si="19"/>
        <v>1</v>
      </c>
      <c r="P75" s="9">
        <f t="shared" ca="1" si="20"/>
        <v>3</v>
      </c>
      <c r="Q75" s="11">
        <f t="shared" ca="1" si="21"/>
        <v>6.693305383953029</v>
      </c>
      <c r="R75" s="11">
        <f t="shared" ca="1" si="22"/>
        <v>12.893049413280762</v>
      </c>
      <c r="S75" s="11" t="str">
        <f t="shared" ca="1" si="23"/>
        <v/>
      </c>
      <c r="T75" s="11">
        <f t="shared" ca="1" si="24"/>
        <v>2.7329828461625154</v>
      </c>
      <c r="V75" s="11">
        <f t="shared" ca="1" si="16"/>
        <v>0.24653278525492661</v>
      </c>
      <c r="W75" s="11">
        <f t="shared" ca="1" si="16"/>
        <v>0.96865508861491789</v>
      </c>
      <c r="X75" s="11">
        <f t="shared" ca="1" si="16"/>
        <v>0.87769755538290184</v>
      </c>
    </row>
    <row r="76" spans="12:24" ht="15" customHeight="1" x14ac:dyDescent="0.45">
      <c r="L76" s="9">
        <v>72</v>
      </c>
      <c r="M76" s="11">
        <f t="shared" ca="1" si="17"/>
        <v>5.0348201516541886</v>
      </c>
      <c r="N76" s="19">
        <f t="shared" ca="1" si="18"/>
        <v>422.90989037515141</v>
      </c>
      <c r="O76" s="9">
        <f t="shared" ca="1" si="19"/>
        <v>3</v>
      </c>
      <c r="P76" s="9">
        <f t="shared" ca="1" si="20"/>
        <v>2</v>
      </c>
      <c r="Q76" s="11">
        <f t="shared" ca="1" si="21"/>
        <v>6.6077295452637914</v>
      </c>
      <c r="R76" s="11">
        <f t="shared" ca="1" si="22"/>
        <v>8.7245109917407397</v>
      </c>
      <c r="S76" s="11">
        <f t="shared" ca="1" si="23"/>
        <v>0.9482248491116545</v>
      </c>
      <c r="T76" s="11">
        <f t="shared" ca="1" si="24"/>
        <v>0.44489296224165997</v>
      </c>
      <c r="V76" s="11">
        <f t="shared" ca="1" si="16"/>
        <v>0.9482248491116545</v>
      </c>
      <c r="W76" s="11">
        <f t="shared" ca="1" si="16"/>
        <v>9.4721689048365865E-2</v>
      </c>
      <c r="X76" s="11">
        <f t="shared" ca="1" si="16"/>
        <v>0.25000412201072364</v>
      </c>
    </row>
    <row r="77" spans="12:24" ht="15" customHeight="1" x14ac:dyDescent="0.45">
      <c r="L77" s="9">
        <v>73</v>
      </c>
      <c r="M77" s="11">
        <f t="shared" ca="1" si="17"/>
        <v>1.3267982674068777</v>
      </c>
      <c r="N77" s="19">
        <f t="shared" ca="1" si="18"/>
        <v>561.46930393116838</v>
      </c>
      <c r="O77" s="9">
        <f t="shared" ca="1" si="19"/>
        <v>3</v>
      </c>
      <c r="P77" s="9">
        <f t="shared" ca="1" si="20"/>
        <v>3</v>
      </c>
      <c r="Q77" s="11">
        <f t="shared" ca="1" si="21"/>
        <v>5.9317689025180718</v>
      </c>
      <c r="R77" s="11">
        <f t="shared" ca="1" si="22"/>
        <v>10.126188361423349</v>
      </c>
      <c r="S77" s="11">
        <f t="shared" ca="1" si="23"/>
        <v>0.29407389707046871</v>
      </c>
      <c r="T77" s="11">
        <f t="shared" ca="1" si="24"/>
        <v>5.2374293471757625</v>
      </c>
      <c r="V77" s="11">
        <f t="shared" ca="1" si="16"/>
        <v>0.29407389707046871</v>
      </c>
      <c r="W77" s="11">
        <f t="shared" ca="1" si="16"/>
        <v>0.26087629034344373</v>
      </c>
      <c r="X77" s="11">
        <f t="shared" ca="1" si="16"/>
        <v>0.36449487762009003</v>
      </c>
    </row>
    <row r="78" spans="12:24" ht="15" customHeight="1" x14ac:dyDescent="0.45">
      <c r="L78" s="9">
        <v>74</v>
      </c>
      <c r="M78" s="11">
        <f t="shared" ca="1" si="17"/>
        <v>0.9648196293593444</v>
      </c>
      <c r="N78" s="19">
        <f t="shared" ca="1" si="18"/>
        <v>681.25937143433987</v>
      </c>
      <c r="O78" s="9">
        <f t="shared" ca="1" si="19"/>
        <v>3</v>
      </c>
      <c r="P78" s="9">
        <f t="shared" ca="1" si="20"/>
        <v>6</v>
      </c>
      <c r="Q78" s="11">
        <f t="shared" ca="1" si="21"/>
        <v>4.3507389305825299</v>
      </c>
      <c r="R78" s="11">
        <f t="shared" ca="1" si="22"/>
        <v>15.077661724457524</v>
      </c>
      <c r="S78" s="11">
        <f t="shared" ca="1" si="23"/>
        <v>0.83000513862644942</v>
      </c>
      <c r="T78" s="11">
        <f t="shared" ca="1" si="24"/>
        <v>3.3901402747210363</v>
      </c>
      <c r="V78" s="11">
        <f t="shared" ca="1" si="16"/>
        <v>0.83000513862644942</v>
      </c>
      <c r="W78" s="11">
        <f t="shared" ca="1" si="16"/>
        <v>0.14426451869104828</v>
      </c>
      <c r="X78" s="11">
        <f t="shared" ca="1" si="16"/>
        <v>0.16388965507430109</v>
      </c>
    </row>
    <row r="79" spans="12:24" ht="15" customHeight="1" x14ac:dyDescent="0.45">
      <c r="L79" s="9">
        <v>75</v>
      </c>
      <c r="M79" s="11">
        <f t="shared" ca="1" si="17"/>
        <v>0.48231856137506335</v>
      </c>
      <c r="N79" s="19">
        <f t="shared" ca="1" si="18"/>
        <v>1142.2293449284341</v>
      </c>
      <c r="O79" s="9">
        <f t="shared" ca="1" si="19"/>
        <v>2</v>
      </c>
      <c r="P79" s="9">
        <f t="shared" ca="1" si="20"/>
        <v>2</v>
      </c>
      <c r="Q79" s="11">
        <f t="shared" ca="1" si="21"/>
        <v>4.2040197495423719</v>
      </c>
      <c r="R79" s="11">
        <f t="shared" ca="1" si="22"/>
        <v>6.1277184830215301</v>
      </c>
      <c r="S79" s="11">
        <f t="shared" ca="1" si="23"/>
        <v>0.42031749297461241</v>
      </c>
      <c r="T79" s="11">
        <f t="shared" ca="1" si="24"/>
        <v>3.6968581912330061</v>
      </c>
      <c r="V79" s="11">
        <f t="shared" ca="1" si="16"/>
        <v>0.42031749297461241</v>
      </c>
      <c r="W79" s="11">
        <f t="shared" ca="1" si="16"/>
        <v>0.53888432275742226</v>
      </c>
      <c r="X79" s="11">
        <f t="shared" ca="1" si="16"/>
        <v>4.694014208925823E-2</v>
      </c>
    </row>
    <row r="80" spans="12:24" ht="15" customHeight="1" x14ac:dyDescent="0.45">
      <c r="L80" s="9">
        <v>76</v>
      </c>
      <c r="M80" s="11">
        <f t="shared" ca="1" si="17"/>
        <v>0.83044097571809805</v>
      </c>
      <c r="N80" s="19">
        <f t="shared" ca="1" si="18"/>
        <v>1039.2499837475516</v>
      </c>
      <c r="O80" s="9">
        <f t="shared" ca="1" si="19"/>
        <v>1</v>
      </c>
      <c r="P80" s="9">
        <f t="shared" ca="1" si="20"/>
        <v>1</v>
      </c>
      <c r="Q80" s="11">
        <f t="shared" ca="1" si="21"/>
        <v>9.0360820861837361</v>
      </c>
      <c r="R80" s="11">
        <f t="shared" ca="1" si="22"/>
        <v>8.6907969693233813</v>
      </c>
      <c r="S80" s="11">
        <f t="shared" ca="1" si="23"/>
        <v>0.14890281288328622</v>
      </c>
      <c r="T80" s="11">
        <f t="shared" ca="1" si="24"/>
        <v>2.2456321623537301</v>
      </c>
      <c r="V80" s="11">
        <f t="shared" ca="1" si="16"/>
        <v>0.14890281288328622</v>
      </c>
      <c r="W80" s="11">
        <f t="shared" ca="1" si="16"/>
        <v>0.11034144738222651</v>
      </c>
      <c r="X80" s="11">
        <f t="shared" ca="1" si="16"/>
        <v>0.32094956656547624</v>
      </c>
    </row>
    <row r="81" spans="12:24" ht="15" customHeight="1" x14ac:dyDescent="0.45">
      <c r="L81" s="9">
        <v>77</v>
      </c>
      <c r="M81" s="11">
        <f t="shared" ca="1" si="17"/>
        <v>1.0901935145923802</v>
      </c>
      <c r="N81" s="19">
        <f t="shared" ca="1" si="18"/>
        <v>175.92585298564299</v>
      </c>
      <c r="O81" s="9">
        <f t="shared" ca="1" si="19"/>
        <v>1</v>
      </c>
      <c r="P81" s="9">
        <f t="shared" ca="1" si="20"/>
        <v>2</v>
      </c>
      <c r="Q81" s="11">
        <f t="shared" ca="1" si="21"/>
        <v>3.3090532587532815</v>
      </c>
      <c r="R81" s="11">
        <f t="shared" ca="1" si="22"/>
        <v>12.19853645293421</v>
      </c>
      <c r="S81" s="11" t="str">
        <f t="shared" ca="1" si="23"/>
        <v/>
      </c>
      <c r="T81" s="11">
        <f t="shared" ca="1" si="24"/>
        <v>10.02832146153761</v>
      </c>
      <c r="V81" s="11">
        <f t="shared" ca="1" si="16"/>
        <v>0.98988918676777238</v>
      </c>
      <c r="W81" s="11">
        <f t="shared" ca="1" si="16"/>
        <v>0.24808303920134456</v>
      </c>
      <c r="X81" s="11">
        <f t="shared" ca="1" si="16"/>
        <v>0.72149575783969999</v>
      </c>
    </row>
    <row r="82" spans="12:24" ht="15" customHeight="1" x14ac:dyDescent="0.45">
      <c r="L82" s="9">
        <v>78</v>
      </c>
      <c r="M82" s="11">
        <f t="shared" ca="1" si="17"/>
        <v>7.5421666741094135</v>
      </c>
      <c r="N82" s="19">
        <f t="shared" ca="1" si="18"/>
        <v>600.49150662728312</v>
      </c>
      <c r="O82" s="9">
        <f t="shared" ca="1" si="19"/>
        <v>3</v>
      </c>
      <c r="P82" s="9">
        <f t="shared" ca="1" si="20"/>
        <v>3</v>
      </c>
      <c r="Q82" s="11">
        <f t="shared" ca="1" si="21"/>
        <v>8.6493530133901206</v>
      </c>
      <c r="R82" s="11">
        <f t="shared" ca="1" si="22"/>
        <v>8.547291463232801</v>
      </c>
      <c r="S82" s="11">
        <f t="shared" ca="1" si="23"/>
        <v>0.76872072905407329</v>
      </c>
      <c r="T82" s="11">
        <f t="shared" ca="1" si="24"/>
        <v>7.1787712610237131</v>
      </c>
      <c r="V82" s="11">
        <f t="shared" ca="1" si="16"/>
        <v>0.76872072905407329</v>
      </c>
      <c r="W82" s="11">
        <f t="shared" ca="1" si="16"/>
        <v>0.43936204759894915</v>
      </c>
      <c r="X82" s="11">
        <f t="shared" ca="1" si="16"/>
        <v>0.85298035457453414</v>
      </c>
    </row>
    <row r="83" spans="12:24" ht="15" customHeight="1" x14ac:dyDescent="0.45">
      <c r="L83" s="9">
        <v>79</v>
      </c>
      <c r="M83" s="11">
        <f t="shared" ca="1" si="17"/>
        <v>1.0392074580659487</v>
      </c>
      <c r="N83" s="19">
        <f t="shared" ca="1" si="18"/>
        <v>682.79696552581856</v>
      </c>
      <c r="O83" s="9">
        <f t="shared" ca="1" si="19"/>
        <v>2</v>
      </c>
      <c r="P83" s="9">
        <f t="shared" ca="1" si="20"/>
        <v>0</v>
      </c>
      <c r="Q83" s="11">
        <f t="shared" ca="1" si="21"/>
        <v>4.6391753439587564</v>
      </c>
      <c r="R83" s="11">
        <f t="shared" ca="1" si="22"/>
        <v>10.264534418755142</v>
      </c>
      <c r="S83" s="11" t="str">
        <f t="shared" ca="1" si="23"/>
        <v/>
      </c>
      <c r="T83" s="11">
        <f t="shared" ca="1" si="24"/>
        <v>4.0048853528703816</v>
      </c>
      <c r="V83" s="11">
        <f t="shared" ca="1" si="16"/>
        <v>0.96080420101284358</v>
      </c>
      <c r="W83" s="11">
        <f t="shared" ca="1" si="16"/>
        <v>0.53615807600927046</v>
      </c>
      <c r="X83" s="11">
        <f t="shared" ca="1" si="16"/>
        <v>0.47858380786776877</v>
      </c>
    </row>
    <row r="84" spans="12:24" ht="15" customHeight="1" x14ac:dyDescent="0.45">
      <c r="L84" s="9">
        <v>80</v>
      </c>
      <c r="M84" s="11">
        <f t="shared" ca="1" si="17"/>
        <v>5.8954855550835639</v>
      </c>
      <c r="N84" s="19">
        <f t="shared" ca="1" si="18"/>
        <v>1164.4533524221574</v>
      </c>
      <c r="O84" s="9">
        <f t="shared" ca="1" si="19"/>
        <v>1</v>
      </c>
      <c r="P84" s="9">
        <f t="shared" ca="1" si="20"/>
        <v>1</v>
      </c>
      <c r="Q84" s="11">
        <f t="shared" ca="1" si="21"/>
        <v>5.7823139962379386</v>
      </c>
      <c r="R84" s="11">
        <f t="shared" ca="1" si="22"/>
        <v>8.6650208026828537</v>
      </c>
      <c r="S84" s="11" t="str">
        <f t="shared" ca="1" si="23"/>
        <v/>
      </c>
      <c r="T84" s="11">
        <f t="shared" ca="1" si="24"/>
        <v>1.601282275357842</v>
      </c>
      <c r="V84" s="11">
        <f t="shared" ca="1" si="16"/>
        <v>0.93804321461703688</v>
      </c>
      <c r="W84" s="11">
        <f t="shared" ca="1" si="16"/>
        <v>0.84274709749301779</v>
      </c>
      <c r="X84" s="11">
        <f t="shared" ca="1" si="16"/>
        <v>0.8943719286892553</v>
      </c>
    </row>
    <row r="85" spans="12:24" ht="15" customHeight="1" x14ac:dyDescent="0.45">
      <c r="L85" s="9">
        <v>81</v>
      </c>
      <c r="M85" s="11">
        <f t="shared" ca="1" si="17"/>
        <v>3.5715386587547169</v>
      </c>
      <c r="N85" s="19">
        <f t="shared" ca="1" si="18"/>
        <v>938.68705545559999</v>
      </c>
      <c r="O85" s="9">
        <f t="shared" ca="1" si="19"/>
        <v>1</v>
      </c>
      <c r="P85" s="9">
        <f t="shared" ca="1" si="20"/>
        <v>1</v>
      </c>
      <c r="Q85" s="11">
        <f t="shared" ca="1" si="21"/>
        <v>6.3914546192676207</v>
      </c>
      <c r="R85" s="11">
        <f t="shared" ca="1" si="22"/>
        <v>9.1661386547298918</v>
      </c>
      <c r="S85" s="11" t="str">
        <f t="shared" ca="1" si="23"/>
        <v/>
      </c>
      <c r="T85" s="11">
        <f t="shared" ca="1" si="24"/>
        <v>0.75373825898457347</v>
      </c>
      <c r="V85" s="11">
        <f t="shared" ref="V85:X104" ca="1" si="25">RAND()</f>
        <v>9.3679840583684948E-2</v>
      </c>
      <c r="W85" s="11">
        <f t="shared" ca="1" si="25"/>
        <v>0.68657265095497189</v>
      </c>
      <c r="X85" s="11">
        <f t="shared" ca="1" si="25"/>
        <v>0.65100502136584149</v>
      </c>
    </row>
    <row r="86" spans="12:24" ht="15" customHeight="1" x14ac:dyDescent="0.45">
      <c r="L86" s="9">
        <v>82</v>
      </c>
      <c r="M86" s="11">
        <f t="shared" ca="1" si="17"/>
        <v>7.8884041079303717</v>
      </c>
      <c r="N86" s="19">
        <f t="shared" ca="1" si="18"/>
        <v>750.83099872694493</v>
      </c>
      <c r="O86" s="9">
        <f t="shared" ca="1" si="19"/>
        <v>1</v>
      </c>
      <c r="P86" s="9">
        <f t="shared" ca="1" si="20"/>
        <v>5</v>
      </c>
      <c r="Q86" s="11">
        <f t="shared" ca="1" si="21"/>
        <v>7.0155934218779761</v>
      </c>
      <c r="R86" s="11">
        <f t="shared" ca="1" si="22"/>
        <v>6.99187417362063</v>
      </c>
      <c r="S86" s="11" t="str">
        <f t="shared" ca="1" si="23"/>
        <v/>
      </c>
      <c r="T86" s="11">
        <f t="shared" ca="1" si="24"/>
        <v>0.82507461502792323</v>
      </c>
      <c r="V86" s="11">
        <f t="shared" ca="1" si="25"/>
        <v>0.89139732538237104</v>
      </c>
      <c r="W86" s="11">
        <f t="shared" ca="1" si="25"/>
        <v>0.63920101266981211</v>
      </c>
      <c r="X86" s="11">
        <f t="shared" ca="1" si="25"/>
        <v>3.0655349260630849E-2</v>
      </c>
    </row>
    <row r="87" spans="12:24" ht="15" customHeight="1" x14ac:dyDescent="0.45">
      <c r="L87" s="9">
        <v>83</v>
      </c>
      <c r="M87" s="11">
        <f t="shared" ca="1" si="17"/>
        <v>0.49674160595229733</v>
      </c>
      <c r="N87" s="19">
        <f t="shared" ca="1" si="18"/>
        <v>1556.2510741507335</v>
      </c>
      <c r="O87" s="9">
        <f t="shared" ca="1" si="19"/>
        <v>1</v>
      </c>
      <c r="P87" s="9">
        <f t="shared" ca="1" si="20"/>
        <v>6</v>
      </c>
      <c r="Q87" s="11">
        <f t="shared" ca="1" si="21"/>
        <v>10.485219406261923</v>
      </c>
      <c r="R87" s="11">
        <f t="shared" ca="1" si="22"/>
        <v>11.693288914913737</v>
      </c>
      <c r="S87" s="11">
        <f t="shared" ca="1" si="23"/>
        <v>0.54592079892445466</v>
      </c>
      <c r="T87" s="11">
        <f t="shared" ca="1" si="24"/>
        <v>7.8212416229746973</v>
      </c>
      <c r="V87" s="11">
        <f t="shared" ca="1" si="25"/>
        <v>0.54592079892445466</v>
      </c>
      <c r="W87" s="11">
        <f t="shared" ca="1" si="25"/>
        <v>0.11208627219540013</v>
      </c>
      <c r="X87" s="11">
        <f t="shared" ca="1" si="25"/>
        <v>0.59400408944131666</v>
      </c>
    </row>
    <row r="88" spans="12:24" ht="15" customHeight="1" x14ac:dyDescent="0.45">
      <c r="L88" s="9">
        <v>84</v>
      </c>
      <c r="M88" s="11">
        <f t="shared" ca="1" si="17"/>
        <v>1.730537901855838</v>
      </c>
      <c r="N88" s="19">
        <f t="shared" ca="1" si="18"/>
        <v>761.32523144337767</v>
      </c>
      <c r="O88" s="9">
        <f t="shared" ca="1" si="19"/>
        <v>1</v>
      </c>
      <c r="P88" s="9">
        <f t="shared" ca="1" si="20"/>
        <v>2</v>
      </c>
      <c r="Q88" s="11">
        <f t="shared" ca="1" si="21"/>
        <v>4.9633354294288985</v>
      </c>
      <c r="R88" s="11">
        <f t="shared" ca="1" si="22"/>
        <v>11.994860478352813</v>
      </c>
      <c r="S88" s="11">
        <f t="shared" ca="1" si="23"/>
        <v>0.923931472255487</v>
      </c>
      <c r="T88" s="11">
        <f t="shared" ca="1" si="24"/>
        <v>0.1364760482889491</v>
      </c>
      <c r="V88" s="11">
        <f t="shared" ca="1" si="25"/>
        <v>0.923931472255487</v>
      </c>
      <c r="W88" s="11">
        <f t="shared" ca="1" si="25"/>
        <v>0.24533047254513662</v>
      </c>
      <c r="X88" s="11">
        <f t="shared" ca="1" si="25"/>
        <v>0.61368029197983709</v>
      </c>
    </row>
    <row r="89" spans="12:24" ht="15" customHeight="1" x14ac:dyDescent="0.45">
      <c r="L89" s="9">
        <v>85</v>
      </c>
      <c r="M89" s="11">
        <f t="shared" ca="1" si="17"/>
        <v>3.5362673080026914</v>
      </c>
      <c r="N89" s="19">
        <f t="shared" ca="1" si="18"/>
        <v>504.57599040196766</v>
      </c>
      <c r="O89" s="9">
        <f t="shared" ca="1" si="19"/>
        <v>5</v>
      </c>
      <c r="P89" s="9">
        <f t="shared" ca="1" si="20"/>
        <v>0</v>
      </c>
      <c r="Q89" s="11">
        <f t="shared" ca="1" si="21"/>
        <v>4.7776806954458451</v>
      </c>
      <c r="R89" s="11">
        <f t="shared" ca="1" si="22"/>
        <v>7.5471977151551961</v>
      </c>
      <c r="S89" s="11" t="str">
        <f t="shared" ca="1" si="23"/>
        <v/>
      </c>
      <c r="T89" s="11">
        <f t="shared" ca="1" si="24"/>
        <v>21.574741299081374</v>
      </c>
      <c r="V89" s="11">
        <f t="shared" ca="1" si="25"/>
        <v>0.74354602672836367</v>
      </c>
      <c r="W89" s="11">
        <f t="shared" ca="1" si="25"/>
        <v>0.76602183704061555</v>
      </c>
      <c r="X89" s="11">
        <f t="shared" ca="1" si="25"/>
        <v>0.70001897234427812</v>
      </c>
    </row>
    <row r="90" spans="12:24" ht="15" customHeight="1" x14ac:dyDescent="0.45">
      <c r="L90" s="9">
        <v>86</v>
      </c>
      <c r="M90" s="11">
        <f t="shared" ca="1" si="17"/>
        <v>1.6453543595468993</v>
      </c>
      <c r="N90" s="19">
        <f t="shared" ca="1" si="18"/>
        <v>1586.557124091376</v>
      </c>
      <c r="O90" s="9">
        <f t="shared" ca="1" si="19"/>
        <v>1</v>
      </c>
      <c r="P90" s="9">
        <f t="shared" ca="1" si="20"/>
        <v>0</v>
      </c>
      <c r="Q90" s="11">
        <f t="shared" ca="1" si="21"/>
        <v>5.3319540520802526</v>
      </c>
      <c r="R90" s="11">
        <f t="shared" ca="1" si="22"/>
        <v>13.220279711912637</v>
      </c>
      <c r="S90" s="11">
        <f t="shared" ca="1" si="23"/>
        <v>0.70911446448498217</v>
      </c>
      <c r="T90" s="11">
        <f t="shared" ca="1" si="24"/>
        <v>1.7371019119834246</v>
      </c>
      <c r="V90" s="11">
        <f t="shared" ca="1" si="25"/>
        <v>0.70911446448498217</v>
      </c>
      <c r="W90" s="11">
        <f t="shared" ca="1" si="25"/>
        <v>0.66766597202172517</v>
      </c>
      <c r="X90" s="11">
        <f t="shared" ca="1" si="25"/>
        <v>0.97493056996985727</v>
      </c>
    </row>
    <row r="91" spans="12:24" ht="15" customHeight="1" x14ac:dyDescent="0.45">
      <c r="L91" s="9">
        <v>87</v>
      </c>
      <c r="M91" s="11">
        <f t="shared" ca="1" si="17"/>
        <v>6.5510172811964962</v>
      </c>
      <c r="N91" s="19">
        <f t="shared" ca="1" si="18"/>
        <v>1303.6230219515844</v>
      </c>
      <c r="O91" s="9">
        <f t="shared" ca="1" si="19"/>
        <v>1</v>
      </c>
      <c r="P91" s="9">
        <f t="shared" ca="1" si="20"/>
        <v>1</v>
      </c>
      <c r="Q91" s="11">
        <f t="shared" ca="1" si="21"/>
        <v>6.9939698667667445</v>
      </c>
      <c r="R91" s="11">
        <f t="shared" ca="1" si="22"/>
        <v>9.153549179296439</v>
      </c>
      <c r="S91" s="11">
        <f t="shared" ca="1" si="23"/>
        <v>0.30988349541219429</v>
      </c>
      <c r="T91" s="11">
        <f t="shared" ca="1" si="24"/>
        <v>0.17500540827549788</v>
      </c>
      <c r="V91" s="11">
        <f t="shared" ca="1" si="25"/>
        <v>0.30988349541219429</v>
      </c>
      <c r="W91" s="11">
        <f t="shared" ca="1" si="25"/>
        <v>0.42828236918761364</v>
      </c>
      <c r="X91" s="11">
        <f t="shared" ca="1" si="25"/>
        <v>0.23011345315859733</v>
      </c>
    </row>
    <row r="92" spans="12:24" ht="15" customHeight="1" x14ac:dyDescent="0.45">
      <c r="L92" s="9">
        <v>88</v>
      </c>
      <c r="M92" s="11">
        <f t="shared" ca="1" si="17"/>
        <v>0.93478118257099052</v>
      </c>
      <c r="N92" s="19">
        <f t="shared" ca="1" si="18"/>
        <v>333.50453062506847</v>
      </c>
      <c r="O92" s="9">
        <f t="shared" ca="1" si="19"/>
        <v>3</v>
      </c>
      <c r="P92" s="9">
        <f t="shared" ca="1" si="20"/>
        <v>2</v>
      </c>
      <c r="Q92" s="11">
        <f t="shared" ca="1" si="21"/>
        <v>4.7292509177430162</v>
      </c>
      <c r="R92" s="11">
        <f t="shared" ca="1" si="22"/>
        <v>12.496639766268338</v>
      </c>
      <c r="S92" s="11">
        <f t="shared" ca="1" si="23"/>
        <v>0.74843385928702444</v>
      </c>
      <c r="T92" s="11">
        <f t="shared" ca="1" si="24"/>
        <v>16.561093707661957</v>
      </c>
      <c r="V92" s="11">
        <f t="shared" ca="1" si="25"/>
        <v>0.74843385928702444</v>
      </c>
      <c r="W92" s="11">
        <f t="shared" ca="1" si="25"/>
        <v>0.19090296768209436</v>
      </c>
      <c r="X92" s="11">
        <f t="shared" ca="1" si="25"/>
        <v>0.9920084222235378</v>
      </c>
    </row>
    <row r="93" spans="12:24" ht="15" customHeight="1" x14ac:dyDescent="0.45">
      <c r="L93" s="9">
        <v>89</v>
      </c>
      <c r="M93" s="11">
        <f t="shared" ca="1" si="17"/>
        <v>2.5925550634102947</v>
      </c>
      <c r="N93" s="19">
        <f t="shared" ca="1" si="18"/>
        <v>1871.7597875645185</v>
      </c>
      <c r="O93" s="9">
        <f t="shared" ca="1" si="19"/>
        <v>1</v>
      </c>
      <c r="P93" s="9">
        <f t="shared" ca="1" si="20"/>
        <v>1</v>
      </c>
      <c r="Q93" s="11">
        <f t="shared" ca="1" si="21"/>
        <v>13.554857082972207</v>
      </c>
      <c r="R93" s="11">
        <f t="shared" ca="1" si="22"/>
        <v>9.2659933640080183</v>
      </c>
      <c r="S93" s="11">
        <f t="shared" ca="1" si="23"/>
        <v>0.45556237232365038</v>
      </c>
      <c r="T93" s="11">
        <f t="shared" ca="1" si="24"/>
        <v>1.597110755875607</v>
      </c>
      <c r="V93" s="11">
        <f t="shared" ca="1" si="25"/>
        <v>0.45556237232365038</v>
      </c>
      <c r="W93" s="11">
        <f t="shared" ca="1" si="25"/>
        <v>0.59524006760501735</v>
      </c>
      <c r="X93" s="11">
        <f t="shared" ca="1" si="25"/>
        <v>0.61240341172397439</v>
      </c>
    </row>
    <row r="94" spans="12:24" ht="15" customHeight="1" x14ac:dyDescent="0.45">
      <c r="L94" s="9">
        <v>90</v>
      </c>
      <c r="M94" s="11">
        <f t="shared" ca="1" si="17"/>
        <v>2.6417277517308917</v>
      </c>
      <c r="N94" s="19">
        <f t="shared" ca="1" si="18"/>
        <v>423.33479470304673</v>
      </c>
      <c r="O94" s="9">
        <f t="shared" ca="1" si="19"/>
        <v>1</v>
      </c>
      <c r="P94" s="9">
        <f t="shared" ca="1" si="20"/>
        <v>2</v>
      </c>
      <c r="Q94" s="11">
        <f t="shared" ca="1" si="21"/>
        <v>12.181006260132099</v>
      </c>
      <c r="R94" s="11">
        <f t="shared" ca="1" si="22"/>
        <v>7.1713547669763358</v>
      </c>
      <c r="S94" s="11">
        <f t="shared" ca="1" si="23"/>
        <v>0.26136708757525828</v>
      </c>
      <c r="T94" s="11">
        <f t="shared" ca="1" si="24"/>
        <v>0.44170330408637137</v>
      </c>
      <c r="V94" s="11">
        <f t="shared" ca="1" si="25"/>
        <v>0.26136708757525828</v>
      </c>
      <c r="W94" s="11">
        <f t="shared" ca="1" si="25"/>
        <v>0.62388476369378454</v>
      </c>
      <c r="X94" s="11">
        <f t="shared" ca="1" si="25"/>
        <v>0.18995204743484118</v>
      </c>
    </row>
    <row r="95" spans="12:24" ht="15" customHeight="1" x14ac:dyDescent="0.45">
      <c r="L95" s="9">
        <v>91</v>
      </c>
      <c r="M95" s="11">
        <f t="shared" ca="1" si="17"/>
        <v>4.5579187764554918</v>
      </c>
      <c r="N95" s="19">
        <f t="shared" ca="1" si="18"/>
        <v>977.00503947783147</v>
      </c>
      <c r="O95" s="9">
        <f t="shared" ca="1" si="19"/>
        <v>2</v>
      </c>
      <c r="P95" s="9">
        <f t="shared" ca="1" si="20"/>
        <v>1</v>
      </c>
      <c r="Q95" s="11">
        <f t="shared" ca="1" si="21"/>
        <v>3.5638346810196055</v>
      </c>
      <c r="R95" s="11">
        <f t="shared" ca="1" si="22"/>
        <v>10.598961900989163</v>
      </c>
      <c r="S95" s="11" t="str">
        <f t="shared" ca="1" si="23"/>
        <v/>
      </c>
      <c r="T95" s="11">
        <f t="shared" ca="1" si="24"/>
        <v>0.30247532337742694</v>
      </c>
      <c r="V95" s="11">
        <f t="shared" ca="1" si="25"/>
        <v>9.1593241365767186E-2</v>
      </c>
      <c r="W95" s="11">
        <f t="shared" ca="1" si="25"/>
        <v>0.90095786484057139</v>
      </c>
      <c r="X95" s="11">
        <f t="shared" ca="1" si="25"/>
        <v>0.55687097941965147</v>
      </c>
    </row>
    <row r="96" spans="12:24" ht="15" customHeight="1" x14ac:dyDescent="0.45">
      <c r="L96" s="9">
        <v>92</v>
      </c>
      <c r="M96" s="11">
        <f t="shared" ca="1" si="17"/>
        <v>4.1642396363192109</v>
      </c>
      <c r="N96" s="19">
        <f t="shared" ca="1" si="18"/>
        <v>1218.6896853544749</v>
      </c>
      <c r="O96" s="9">
        <f t="shared" ca="1" si="19"/>
        <v>3</v>
      </c>
      <c r="P96" s="9">
        <f t="shared" ca="1" si="20"/>
        <v>2</v>
      </c>
      <c r="Q96" s="11">
        <f t="shared" ca="1" si="21"/>
        <v>8.9797535096795027</v>
      </c>
      <c r="R96" s="11">
        <f t="shared" ca="1" si="22"/>
        <v>9.6076863899847442</v>
      </c>
      <c r="S96" s="11" t="str">
        <f t="shared" ca="1" si="23"/>
        <v/>
      </c>
      <c r="T96" s="11">
        <f t="shared" ca="1" si="24"/>
        <v>2.2468884202087245</v>
      </c>
      <c r="V96" s="11">
        <f t="shared" ca="1" si="25"/>
        <v>0.96513561286984062</v>
      </c>
      <c r="W96" s="11">
        <f t="shared" ca="1" si="25"/>
        <v>0.6196782537630533</v>
      </c>
      <c r="X96" s="11">
        <f t="shared" ca="1" si="25"/>
        <v>7.459840055433109E-2</v>
      </c>
    </row>
    <row r="97" spans="12:24" ht="15" customHeight="1" x14ac:dyDescent="0.45">
      <c r="L97" s="9">
        <v>93</v>
      </c>
      <c r="M97" s="11">
        <f t="shared" ca="1" si="17"/>
        <v>0.73053238822006306</v>
      </c>
      <c r="N97" s="19">
        <f t="shared" ca="1" si="18"/>
        <v>1677.978346137983</v>
      </c>
      <c r="O97" s="9">
        <f t="shared" ca="1" si="19"/>
        <v>2</v>
      </c>
      <c r="P97" s="9">
        <f t="shared" ca="1" si="20"/>
        <v>1</v>
      </c>
      <c r="Q97" s="11">
        <f t="shared" ca="1" si="21"/>
        <v>4.9912590789714661</v>
      </c>
      <c r="R97" s="11">
        <f t="shared" ca="1" si="22"/>
        <v>12.955490438322242</v>
      </c>
      <c r="S97" s="11">
        <f t="shared" ca="1" si="23"/>
        <v>0.4210607474853395</v>
      </c>
      <c r="T97" s="11">
        <f t="shared" ca="1" si="24"/>
        <v>0.17911787621037711</v>
      </c>
      <c r="V97" s="11">
        <f t="shared" ca="1" si="25"/>
        <v>0.4210607474853395</v>
      </c>
      <c r="W97" s="11">
        <f t="shared" ca="1" si="25"/>
        <v>0.31569815542771384</v>
      </c>
      <c r="X97" s="11">
        <f t="shared" ca="1" si="25"/>
        <v>0.41297128397135607</v>
      </c>
    </row>
    <row r="98" spans="12:24" ht="15" customHeight="1" x14ac:dyDescent="0.45">
      <c r="L98" s="9">
        <v>94</v>
      </c>
      <c r="M98" s="11">
        <f t="shared" ca="1" si="17"/>
        <v>1.7848616909279165</v>
      </c>
      <c r="N98" s="19">
        <f t="shared" ca="1" si="18"/>
        <v>284.21866953723622</v>
      </c>
      <c r="O98" s="9">
        <f t="shared" ca="1" si="19"/>
        <v>1</v>
      </c>
      <c r="P98" s="9">
        <f t="shared" ca="1" si="20"/>
        <v>6</v>
      </c>
      <c r="Q98" s="11">
        <f t="shared" ca="1" si="21"/>
        <v>6.1542817989979062</v>
      </c>
      <c r="R98" s="11">
        <f t="shared" ca="1" si="22"/>
        <v>11.326782027752827</v>
      </c>
      <c r="S98" s="11" t="str">
        <f t="shared" ca="1" si="23"/>
        <v/>
      </c>
      <c r="T98" s="11">
        <f t="shared" ca="1" si="24"/>
        <v>0.37086685055670821</v>
      </c>
      <c r="V98" s="11">
        <f t="shared" ca="1" si="25"/>
        <v>0.14160245760524803</v>
      </c>
      <c r="W98" s="11">
        <f t="shared" ca="1" si="25"/>
        <v>0.65144611167768895</v>
      </c>
      <c r="X98" s="11">
        <f t="shared" ca="1" si="25"/>
        <v>0.13651168711974415</v>
      </c>
    </row>
    <row r="99" spans="12:24" ht="15" customHeight="1" x14ac:dyDescent="0.45">
      <c r="L99" s="9">
        <v>95</v>
      </c>
      <c r="M99" s="11">
        <f t="shared" ca="1" si="17"/>
        <v>0.14270752113960908</v>
      </c>
      <c r="N99" s="19">
        <f t="shared" ca="1" si="18"/>
        <v>756.82402792614153</v>
      </c>
      <c r="O99" s="9">
        <f t="shared" ca="1" si="19"/>
        <v>1</v>
      </c>
      <c r="P99" s="9">
        <f t="shared" ca="1" si="20"/>
        <v>2</v>
      </c>
      <c r="Q99" s="11">
        <f t="shared" ca="1" si="21"/>
        <v>2.7661108944663924</v>
      </c>
      <c r="R99" s="11">
        <f t="shared" ca="1" si="22"/>
        <v>10.083412259547382</v>
      </c>
      <c r="S99" s="11">
        <f t="shared" ca="1" si="23"/>
        <v>0.41055157961340294</v>
      </c>
      <c r="T99" s="11">
        <f t="shared" ca="1" si="24"/>
        <v>2.9048414167615761</v>
      </c>
      <c r="V99" s="11">
        <f t="shared" ca="1" si="25"/>
        <v>0.41055157961340294</v>
      </c>
      <c r="W99" s="11">
        <f t="shared" ca="1" si="25"/>
        <v>0.43205134711040183</v>
      </c>
      <c r="X99" s="11">
        <f t="shared" ca="1" si="25"/>
        <v>0.83133729867957085</v>
      </c>
    </row>
    <row r="100" spans="12:24" ht="15" customHeight="1" x14ac:dyDescent="0.45">
      <c r="L100" s="9">
        <v>96</v>
      </c>
      <c r="M100" s="11">
        <f t="shared" ca="1" si="17"/>
        <v>4.4867690049520057</v>
      </c>
      <c r="N100" s="19">
        <f t="shared" ca="1" si="18"/>
        <v>272.59025737751074</v>
      </c>
      <c r="O100" s="9">
        <f t="shared" ca="1" si="19"/>
        <v>2</v>
      </c>
      <c r="P100" s="9">
        <f t="shared" ca="1" si="20"/>
        <v>3</v>
      </c>
      <c r="Q100" s="11">
        <f t="shared" ca="1" si="21"/>
        <v>2.1787115696746366</v>
      </c>
      <c r="R100" s="11">
        <f t="shared" ca="1" si="22"/>
        <v>10.050691158850244</v>
      </c>
      <c r="S100" s="11" t="str">
        <f t="shared" ca="1" si="23"/>
        <v/>
      </c>
      <c r="T100" s="11">
        <f t="shared" ca="1" si="24"/>
        <v>0.8873462111442787</v>
      </c>
      <c r="V100" s="11">
        <f t="shared" ca="1" si="25"/>
        <v>0.92749939351638655</v>
      </c>
      <c r="W100" s="11">
        <f t="shared" ca="1" si="25"/>
        <v>0.34874837284086979</v>
      </c>
      <c r="X100" s="11">
        <f t="shared" ca="1" si="25"/>
        <v>0.65548057621881706</v>
      </c>
    </row>
    <row r="101" spans="12:24" ht="15" customHeight="1" x14ac:dyDescent="0.45">
      <c r="L101" s="9">
        <v>97</v>
      </c>
      <c r="M101" s="11">
        <f t="shared" ca="1" si="17"/>
        <v>0.20916501703540433</v>
      </c>
      <c r="N101" s="19">
        <f t="shared" ca="1" si="18"/>
        <v>599.35192475914937</v>
      </c>
      <c r="O101" s="9">
        <f t="shared" ca="1" si="19"/>
        <v>1</v>
      </c>
      <c r="P101" s="9">
        <f t="shared" ca="1" si="20"/>
        <v>3</v>
      </c>
      <c r="Q101" s="11">
        <f t="shared" ca="1" si="21"/>
        <v>8.8844571741422307</v>
      </c>
      <c r="R101" s="11">
        <f t="shared" ca="1" si="22"/>
        <v>10.369192191459556</v>
      </c>
      <c r="S101" s="11">
        <f t="shared" ca="1" si="23"/>
        <v>0.13059948556325451</v>
      </c>
      <c r="T101" s="11">
        <f t="shared" ca="1" si="24"/>
        <v>1.0307960465737314</v>
      </c>
      <c r="V101" s="11">
        <f t="shared" ca="1" si="25"/>
        <v>0.13059948556325451</v>
      </c>
      <c r="W101" s="11">
        <f t="shared" ca="1" si="25"/>
        <v>0.40934735017615742</v>
      </c>
      <c r="X101" s="11">
        <f t="shared" ca="1" si="25"/>
        <v>0.80748053020076238</v>
      </c>
    </row>
    <row r="102" spans="12:24" ht="15" customHeight="1" x14ac:dyDescent="0.45">
      <c r="L102" s="9">
        <v>98</v>
      </c>
      <c r="M102" s="11">
        <f t="shared" ca="1" si="17"/>
        <v>5.2975504949340815</v>
      </c>
      <c r="N102" s="19">
        <f t="shared" ca="1" si="18"/>
        <v>210.07303938530691</v>
      </c>
      <c r="O102" s="9">
        <f t="shared" ca="1" si="19"/>
        <v>1</v>
      </c>
      <c r="P102" s="9">
        <f t="shared" ca="1" si="20"/>
        <v>3</v>
      </c>
      <c r="Q102" s="11">
        <f t="shared" ca="1" si="21"/>
        <v>7.3555421508575183</v>
      </c>
      <c r="R102" s="11">
        <f t="shared" ca="1" si="22"/>
        <v>7.9627628287664276</v>
      </c>
      <c r="S102" s="11">
        <f t="shared" ca="1" si="23"/>
        <v>6.6483412471209591E-2</v>
      </c>
      <c r="T102" s="11">
        <f t="shared" ca="1" si="24"/>
        <v>9.9967054597875429E-2</v>
      </c>
      <c r="V102" s="11">
        <f t="shared" ca="1" si="25"/>
        <v>6.6483412471209591E-2</v>
      </c>
      <c r="W102" s="11">
        <f t="shared" ca="1" si="25"/>
        <v>0.16683515141276972</v>
      </c>
      <c r="X102" s="11">
        <f t="shared" ca="1" si="25"/>
        <v>0.18921224366003053</v>
      </c>
    </row>
    <row r="103" spans="12:24" ht="15" customHeight="1" x14ac:dyDescent="0.45">
      <c r="L103" s="9">
        <v>99</v>
      </c>
      <c r="M103" s="11">
        <f t="shared" ca="1" si="17"/>
        <v>0.91326809864972214</v>
      </c>
      <c r="N103" s="19">
        <f t="shared" ca="1" si="18"/>
        <v>589.55453002216768</v>
      </c>
      <c r="O103" s="9">
        <f t="shared" ca="1" si="19"/>
        <v>1</v>
      </c>
      <c r="P103" s="9">
        <f t="shared" ca="1" si="20"/>
        <v>2</v>
      </c>
      <c r="Q103" s="11">
        <f t="shared" ca="1" si="21"/>
        <v>4.3708851262559465</v>
      </c>
      <c r="R103" s="11">
        <f t="shared" ca="1" si="22"/>
        <v>8.4828622560330693</v>
      </c>
      <c r="S103" s="11" t="str">
        <f t="shared" ca="1" si="23"/>
        <v/>
      </c>
      <c r="T103" s="11">
        <f t="shared" ca="1" si="24"/>
        <v>0.69760537080638796</v>
      </c>
      <c r="V103" s="11">
        <f t="shared" ca="1" si="25"/>
        <v>0.87834625341692596</v>
      </c>
      <c r="W103" s="11">
        <f t="shared" ca="1" si="25"/>
        <v>0.74508345969567535</v>
      </c>
      <c r="X103" s="11">
        <f t="shared" ca="1" si="25"/>
        <v>0.73623497087683043</v>
      </c>
    </row>
    <row r="104" spans="12:24" ht="15" customHeight="1" x14ac:dyDescent="0.45">
      <c r="L104" s="9">
        <v>100</v>
      </c>
      <c r="M104" s="11">
        <f t="shared" ca="1" si="17"/>
        <v>1.7350787216757098</v>
      </c>
      <c r="N104" s="19">
        <f t="shared" ca="1" si="18"/>
        <v>1278.1309076463604</v>
      </c>
      <c r="O104" s="9">
        <f t="shared" ca="1" si="19"/>
        <v>3</v>
      </c>
      <c r="P104" s="9">
        <f t="shared" ca="1" si="20"/>
        <v>7</v>
      </c>
      <c r="Q104" s="11">
        <f t="shared" ca="1" si="21"/>
        <v>1.6284980469030312</v>
      </c>
      <c r="R104" s="11">
        <f t="shared" ca="1" si="22"/>
        <v>9.3195053381073301</v>
      </c>
      <c r="S104" s="11" t="str">
        <f t="shared" ca="1" si="23"/>
        <v/>
      </c>
      <c r="T104" s="11">
        <f t="shared" ca="1" si="24"/>
        <v>1.4161217900577245</v>
      </c>
      <c r="V104" s="11">
        <f t="shared" ca="1" si="25"/>
        <v>0.9857094122107406</v>
      </c>
      <c r="W104" s="11">
        <f t="shared" ca="1" si="25"/>
        <v>0.47162892395151612</v>
      </c>
      <c r="X104" s="11">
        <f t="shared" ca="1" si="25"/>
        <v>0.10845537163232422</v>
      </c>
    </row>
    <row r="105" spans="12:24" ht="15" customHeight="1" x14ac:dyDescent="0.45">
      <c r="L105" s="9">
        <v>101</v>
      </c>
      <c r="M105" s="11">
        <f t="shared" ca="1" si="17"/>
        <v>1.1943706062776138</v>
      </c>
      <c r="N105" s="19">
        <f t="shared" ca="1" si="18"/>
        <v>801.54232779639824</v>
      </c>
      <c r="O105" s="9">
        <f t="shared" ca="1" si="19"/>
        <v>1</v>
      </c>
      <c r="P105" s="9">
        <f t="shared" ca="1" si="20"/>
        <v>4</v>
      </c>
      <c r="Q105" s="11">
        <f t="shared" ca="1" si="21"/>
        <v>13.770231897167383</v>
      </c>
      <c r="R105" s="11">
        <f t="shared" ca="1" si="22"/>
        <v>10.527123595460713</v>
      </c>
      <c r="S105" s="11" t="str">
        <f t="shared" ca="1" si="23"/>
        <v/>
      </c>
      <c r="T105" s="11">
        <f t="shared" ca="1" si="24"/>
        <v>4.5259893268571805</v>
      </c>
      <c r="V105" s="11">
        <f t="shared" ref="V105:X124" ca="1" si="26">RAND()</f>
        <v>0.55608800886427234</v>
      </c>
      <c r="W105" s="11">
        <f t="shared" ca="1" si="26"/>
        <v>0.98953680744715944</v>
      </c>
      <c r="X105" s="11">
        <f t="shared" ca="1" si="26"/>
        <v>0.5152406175805605</v>
      </c>
    </row>
    <row r="106" spans="12:24" ht="15" customHeight="1" x14ac:dyDescent="0.45">
      <c r="L106" s="9">
        <v>102</v>
      </c>
      <c r="M106" s="11">
        <f t="shared" ca="1" si="17"/>
        <v>0.44202195834493568</v>
      </c>
      <c r="N106" s="19">
        <f t="shared" ca="1" si="18"/>
        <v>484.21798616550421</v>
      </c>
      <c r="O106" s="9">
        <f t="shared" ca="1" si="19"/>
        <v>1</v>
      </c>
      <c r="P106" s="9">
        <f t="shared" ca="1" si="20"/>
        <v>2</v>
      </c>
      <c r="Q106" s="11">
        <f t="shared" ca="1" si="21"/>
        <v>5.7174128677542351</v>
      </c>
      <c r="R106" s="11">
        <f t="shared" ca="1" si="22"/>
        <v>13.243831665048214</v>
      </c>
      <c r="S106" s="11">
        <f t="shared" ca="1" si="23"/>
        <v>0.69249343132615504</v>
      </c>
      <c r="T106" s="11">
        <f t="shared" ca="1" si="24"/>
        <v>2.8587004561551606</v>
      </c>
      <c r="V106" s="11">
        <f t="shared" ca="1" si="26"/>
        <v>0.69249343132615504</v>
      </c>
      <c r="W106" s="11">
        <f t="shared" ca="1" si="26"/>
        <v>0.3421811875637859</v>
      </c>
      <c r="X106" s="11">
        <f t="shared" ca="1" si="26"/>
        <v>0.45499455129274269</v>
      </c>
    </row>
    <row r="107" spans="12:24" ht="15" customHeight="1" x14ac:dyDescent="0.45">
      <c r="L107" s="9">
        <v>103</v>
      </c>
      <c r="M107" s="11">
        <f t="shared" ca="1" si="17"/>
        <v>0.27913849728377998</v>
      </c>
      <c r="N107" s="19">
        <f t="shared" ca="1" si="18"/>
        <v>484.8432174222944</v>
      </c>
      <c r="O107" s="9">
        <f t="shared" ca="1" si="19"/>
        <v>1</v>
      </c>
      <c r="P107" s="9">
        <f t="shared" ca="1" si="20"/>
        <v>2</v>
      </c>
      <c r="Q107" s="11">
        <f t="shared" ca="1" si="21"/>
        <v>11.273929663367317</v>
      </c>
      <c r="R107" s="11">
        <f t="shared" ca="1" si="22"/>
        <v>11.6164731852231</v>
      </c>
      <c r="S107" s="11">
        <f t="shared" ca="1" si="23"/>
        <v>0.76181528584341807</v>
      </c>
      <c r="T107" s="11">
        <f t="shared" ca="1" si="24"/>
        <v>6.2660030323711444</v>
      </c>
      <c r="V107" s="11">
        <f t="shared" ca="1" si="26"/>
        <v>0.76181528584341807</v>
      </c>
      <c r="W107" s="11">
        <f t="shared" ca="1" si="26"/>
        <v>0.29802082664818663</v>
      </c>
      <c r="X107" s="11">
        <f t="shared" ca="1" si="26"/>
        <v>0.98002351871578008</v>
      </c>
    </row>
    <row r="108" spans="12:24" ht="15" customHeight="1" x14ac:dyDescent="0.45">
      <c r="L108" s="9">
        <v>104</v>
      </c>
      <c r="M108" s="11">
        <f t="shared" ca="1" si="17"/>
        <v>3.9350870757731298</v>
      </c>
      <c r="N108" s="19">
        <f t="shared" ca="1" si="18"/>
        <v>365.33512656852247</v>
      </c>
      <c r="O108" s="9">
        <f t="shared" ca="1" si="19"/>
        <v>3</v>
      </c>
      <c r="P108" s="9">
        <f t="shared" ca="1" si="20"/>
        <v>4</v>
      </c>
      <c r="Q108" s="11">
        <f t="shared" ca="1" si="21"/>
        <v>6.5184198767804347</v>
      </c>
      <c r="R108" s="11">
        <f t="shared" ca="1" si="22"/>
        <v>9.5082590005662304</v>
      </c>
      <c r="S108" s="11">
        <f t="shared" ca="1" si="23"/>
        <v>0.32891790642783469</v>
      </c>
      <c r="T108" s="11">
        <f t="shared" ca="1" si="24"/>
        <v>11.208177447210058</v>
      </c>
      <c r="V108" s="11">
        <f t="shared" ca="1" si="26"/>
        <v>0.32891790642783469</v>
      </c>
      <c r="W108" s="11">
        <f t="shared" ca="1" si="26"/>
        <v>0.3598362579760862</v>
      </c>
      <c r="X108" s="11">
        <f t="shared" ca="1" si="26"/>
        <v>0.5363733282936346</v>
      </c>
    </row>
    <row r="109" spans="12:24" ht="15" customHeight="1" x14ac:dyDescent="0.45">
      <c r="L109" s="9">
        <v>105</v>
      </c>
      <c r="M109" s="11">
        <f t="shared" ca="1" si="17"/>
        <v>1.7420330038916643</v>
      </c>
      <c r="N109" s="19">
        <f t="shared" ca="1" si="18"/>
        <v>665.29197923968968</v>
      </c>
      <c r="O109" s="9">
        <f t="shared" ca="1" si="19"/>
        <v>1</v>
      </c>
      <c r="P109" s="9">
        <f t="shared" ca="1" si="20"/>
        <v>4</v>
      </c>
      <c r="Q109" s="11">
        <f t="shared" ca="1" si="21"/>
        <v>8.5537466728148779</v>
      </c>
      <c r="R109" s="11">
        <f t="shared" ca="1" si="22"/>
        <v>10.709363193340787</v>
      </c>
      <c r="S109" s="11">
        <f t="shared" ca="1" si="23"/>
        <v>0.53663784547323057</v>
      </c>
      <c r="T109" s="11">
        <f t="shared" ca="1" si="24"/>
        <v>0.33486185544953245</v>
      </c>
      <c r="V109" s="11">
        <f t="shared" ca="1" si="26"/>
        <v>0.53663784547323057</v>
      </c>
      <c r="W109" s="11">
        <f t="shared" ca="1" si="26"/>
        <v>0.37549934215833036</v>
      </c>
      <c r="X109" s="11">
        <f t="shared" ca="1" si="26"/>
        <v>4.8814756288280692E-2</v>
      </c>
    </row>
    <row r="110" spans="12:24" ht="15" customHeight="1" x14ac:dyDescent="0.45">
      <c r="L110" s="9">
        <v>106</v>
      </c>
      <c r="M110" s="11">
        <f t="shared" ca="1" si="17"/>
        <v>11.709355244270768</v>
      </c>
      <c r="N110" s="19">
        <f t="shared" ca="1" si="18"/>
        <v>432.74423185391333</v>
      </c>
      <c r="O110" s="9">
        <f t="shared" ca="1" si="19"/>
        <v>1</v>
      </c>
      <c r="P110" s="9">
        <f t="shared" ca="1" si="20"/>
        <v>2</v>
      </c>
      <c r="Q110" s="11">
        <f t="shared" ca="1" si="21"/>
        <v>5.6311606277731601</v>
      </c>
      <c r="R110" s="11">
        <f t="shared" ca="1" si="22"/>
        <v>11.799383867124671</v>
      </c>
      <c r="S110" s="11">
        <f t="shared" ca="1" si="23"/>
        <v>0.70779631176912294</v>
      </c>
      <c r="T110" s="11">
        <f t="shared" ca="1" si="24"/>
        <v>18.072138764208482</v>
      </c>
      <c r="V110" s="11">
        <f t="shared" ca="1" si="26"/>
        <v>0.70779631176912294</v>
      </c>
      <c r="W110" s="11">
        <f t="shared" ca="1" si="26"/>
        <v>0.81969120049533772</v>
      </c>
      <c r="X110" s="11">
        <f t="shared" ca="1" si="26"/>
        <v>0.70599407931127034</v>
      </c>
    </row>
    <row r="111" spans="12:24" ht="15" customHeight="1" x14ac:dyDescent="0.45">
      <c r="L111" s="9">
        <v>107</v>
      </c>
      <c r="M111" s="11">
        <f t="shared" ca="1" si="17"/>
        <v>0.91225671608588998</v>
      </c>
      <c r="N111" s="19">
        <f t="shared" ca="1" si="18"/>
        <v>1254.7554814531254</v>
      </c>
      <c r="O111" s="9">
        <f t="shared" ca="1" si="19"/>
        <v>1</v>
      </c>
      <c r="P111" s="9">
        <f t="shared" ca="1" si="20"/>
        <v>3</v>
      </c>
      <c r="Q111" s="11">
        <f t="shared" ca="1" si="21"/>
        <v>1.4758861360843047</v>
      </c>
      <c r="R111" s="11">
        <f t="shared" ca="1" si="22"/>
        <v>10.120992280174045</v>
      </c>
      <c r="S111" s="11">
        <f t="shared" ca="1" si="23"/>
        <v>0.10474174247330359</v>
      </c>
      <c r="T111" s="11">
        <f t="shared" ca="1" si="24"/>
        <v>0.4773696959568306</v>
      </c>
      <c r="V111" s="11">
        <f t="shared" ca="1" si="26"/>
        <v>0.10474174247330359</v>
      </c>
      <c r="W111" s="11">
        <f t="shared" ca="1" si="26"/>
        <v>0.30670186514343079</v>
      </c>
      <c r="X111" s="11">
        <f t="shared" ca="1" si="26"/>
        <v>0.49005148733661197</v>
      </c>
    </row>
    <row r="112" spans="12:24" ht="15" customHeight="1" x14ac:dyDescent="0.45">
      <c r="L112" s="9">
        <v>108</v>
      </c>
      <c r="M112" s="11">
        <f t="shared" ca="1" si="17"/>
        <v>5.9970773970537079E-2</v>
      </c>
      <c r="N112" s="19">
        <f t="shared" ca="1" si="18"/>
        <v>647.4905472157435</v>
      </c>
      <c r="O112" s="9">
        <f t="shared" ca="1" si="19"/>
        <v>4</v>
      </c>
      <c r="P112" s="9">
        <f t="shared" ca="1" si="20"/>
        <v>4</v>
      </c>
      <c r="Q112" s="11">
        <f t="shared" ca="1" si="21"/>
        <v>3.5989093333645901</v>
      </c>
      <c r="R112" s="11">
        <f t="shared" ca="1" si="22"/>
        <v>8.0327931321399735</v>
      </c>
      <c r="S112" s="11">
        <f t="shared" ca="1" si="23"/>
        <v>0.87031907896311322</v>
      </c>
      <c r="T112" s="11">
        <f t="shared" ca="1" si="24"/>
        <v>29.112542697349387</v>
      </c>
      <c r="V112" s="11">
        <f t="shared" ca="1" si="26"/>
        <v>0.87031907896311322</v>
      </c>
      <c r="W112" s="11">
        <f t="shared" ca="1" si="26"/>
        <v>0.22783078569582083</v>
      </c>
      <c r="X112" s="11">
        <f t="shared" ca="1" si="26"/>
        <v>0.70065291146675834</v>
      </c>
    </row>
    <row r="113" spans="12:24" ht="15" customHeight="1" x14ac:dyDescent="0.45">
      <c r="L113" s="9">
        <v>109</v>
      </c>
      <c r="M113" s="11">
        <f t="shared" ca="1" si="17"/>
        <v>1.869063584346438</v>
      </c>
      <c r="N113" s="19">
        <f t="shared" ca="1" si="18"/>
        <v>963.49941845419698</v>
      </c>
      <c r="O113" s="9">
        <f t="shared" ca="1" si="19"/>
        <v>2</v>
      </c>
      <c r="P113" s="9">
        <f t="shared" ca="1" si="20"/>
        <v>5</v>
      </c>
      <c r="Q113" s="11">
        <f t="shared" ca="1" si="21"/>
        <v>7.9006833518109065</v>
      </c>
      <c r="R113" s="11">
        <f t="shared" ca="1" si="22"/>
        <v>5.8572218730941437</v>
      </c>
      <c r="S113" s="11" t="str">
        <f t="shared" ca="1" si="23"/>
        <v/>
      </c>
      <c r="T113" s="11">
        <f t="shared" ca="1" si="24"/>
        <v>2.8231995922535282</v>
      </c>
      <c r="V113" s="11">
        <f t="shared" ca="1" si="26"/>
        <v>0.974676050466457</v>
      </c>
      <c r="W113" s="11">
        <f t="shared" ca="1" si="26"/>
        <v>0.15995374766723935</v>
      </c>
      <c r="X113" s="11">
        <f t="shared" ca="1" si="26"/>
        <v>0.3920890439842809</v>
      </c>
    </row>
    <row r="114" spans="12:24" ht="15" customHeight="1" x14ac:dyDescent="0.45">
      <c r="L114" s="9">
        <v>110</v>
      </c>
      <c r="M114" s="11">
        <f t="shared" ca="1" si="17"/>
        <v>1.1796757719791391</v>
      </c>
      <c r="N114" s="19">
        <f t="shared" ca="1" si="18"/>
        <v>739.38242053039562</v>
      </c>
      <c r="O114" s="9">
        <f t="shared" ca="1" si="19"/>
        <v>2</v>
      </c>
      <c r="P114" s="9">
        <f t="shared" ca="1" si="20"/>
        <v>2</v>
      </c>
      <c r="Q114" s="11">
        <f t="shared" ca="1" si="21"/>
        <v>6.060009402441052</v>
      </c>
      <c r="R114" s="11">
        <f t="shared" ca="1" si="22"/>
        <v>9.7055397722351699</v>
      </c>
      <c r="S114" s="11">
        <f t="shared" ca="1" si="23"/>
        <v>0.27986250584812244</v>
      </c>
      <c r="T114" s="11">
        <f t="shared" ca="1" si="24"/>
        <v>0.86459526300932033</v>
      </c>
      <c r="V114" s="11">
        <f t="shared" ca="1" si="26"/>
        <v>0.27986250584812244</v>
      </c>
      <c r="W114" s="11">
        <f t="shared" ca="1" si="26"/>
        <v>0.16950238932374573</v>
      </c>
      <c r="X114" s="11">
        <f t="shared" ca="1" si="26"/>
        <v>0.46100038193706938</v>
      </c>
    </row>
    <row r="115" spans="12:24" ht="15" customHeight="1" x14ac:dyDescent="0.45">
      <c r="L115" s="9">
        <v>111</v>
      </c>
      <c r="M115" s="11">
        <f t="shared" ca="1" si="17"/>
        <v>7.7118613472677433</v>
      </c>
      <c r="N115" s="19">
        <f t="shared" ca="1" si="18"/>
        <v>1571.5668919861041</v>
      </c>
      <c r="O115" s="9">
        <f t="shared" ca="1" si="19"/>
        <v>1</v>
      </c>
      <c r="P115" s="9">
        <f t="shared" ca="1" si="20"/>
        <v>2</v>
      </c>
      <c r="Q115" s="11">
        <f t="shared" ca="1" si="21"/>
        <v>13.678643384630995</v>
      </c>
      <c r="R115" s="11">
        <f t="shared" ca="1" si="22"/>
        <v>9.6385325703178939</v>
      </c>
      <c r="S115" s="11" t="str">
        <f t="shared" ca="1" si="23"/>
        <v/>
      </c>
      <c r="T115" s="11">
        <f t="shared" ca="1" si="24"/>
        <v>2.8376263016036289</v>
      </c>
      <c r="V115" s="11">
        <f t="shared" ca="1" si="26"/>
        <v>6.4302201381483126E-2</v>
      </c>
      <c r="W115" s="11">
        <f t="shared" ca="1" si="26"/>
        <v>0.36540388777059973</v>
      </c>
      <c r="X115" s="11">
        <f t="shared" ca="1" si="26"/>
        <v>0.58117955864473936</v>
      </c>
    </row>
    <row r="116" spans="12:24" ht="15" customHeight="1" x14ac:dyDescent="0.45">
      <c r="L116" s="9">
        <v>112</v>
      </c>
      <c r="M116" s="11">
        <f t="shared" ca="1" si="17"/>
        <v>3.7685481828019229</v>
      </c>
      <c r="N116" s="19">
        <f t="shared" ca="1" si="18"/>
        <v>610.70451786302874</v>
      </c>
      <c r="O116" s="9">
        <f t="shared" ca="1" si="19"/>
        <v>1</v>
      </c>
      <c r="P116" s="9">
        <f t="shared" ca="1" si="20"/>
        <v>3</v>
      </c>
      <c r="Q116" s="11">
        <f t="shared" ca="1" si="21"/>
        <v>4.8165982977423294</v>
      </c>
      <c r="R116" s="11">
        <f t="shared" ca="1" si="22"/>
        <v>11.940481232896877</v>
      </c>
      <c r="S116" s="11">
        <f t="shared" ca="1" si="23"/>
        <v>0.72399248931870097</v>
      </c>
      <c r="T116" s="11">
        <f t="shared" ca="1" si="24"/>
        <v>1.0314972269794505</v>
      </c>
      <c r="V116" s="11">
        <f t="shared" ca="1" si="26"/>
        <v>0.72399248931870097</v>
      </c>
      <c r="W116" s="11">
        <f t="shared" ca="1" si="26"/>
        <v>0.10758680126521891</v>
      </c>
      <c r="X116" s="11">
        <f t="shared" ca="1" si="26"/>
        <v>0.74991042511869066</v>
      </c>
    </row>
    <row r="117" spans="12:24" ht="15" customHeight="1" x14ac:dyDescent="0.45">
      <c r="L117" s="9">
        <v>113</v>
      </c>
      <c r="M117" s="11">
        <f t="shared" ca="1" si="17"/>
        <v>1.1464368926986344</v>
      </c>
      <c r="N117" s="19">
        <f t="shared" ca="1" si="18"/>
        <v>1521.1255625490985</v>
      </c>
      <c r="O117" s="9">
        <f t="shared" ca="1" si="19"/>
        <v>1</v>
      </c>
      <c r="P117" s="9">
        <f t="shared" ca="1" si="20"/>
        <v>1</v>
      </c>
      <c r="Q117" s="11">
        <f t="shared" ca="1" si="21"/>
        <v>6.9442467431703419</v>
      </c>
      <c r="R117" s="11">
        <f t="shared" ca="1" si="22"/>
        <v>13.455244405154305</v>
      </c>
      <c r="S117" s="11">
        <f t="shared" ca="1" si="23"/>
        <v>0.42639329198753806</v>
      </c>
      <c r="T117" s="11">
        <f t="shared" ca="1" si="24"/>
        <v>0.71538121515948172</v>
      </c>
      <c r="V117" s="11">
        <f t="shared" ca="1" si="26"/>
        <v>0.42639329198753806</v>
      </c>
      <c r="W117" s="11">
        <f t="shared" ca="1" si="26"/>
        <v>0.14531432149768264</v>
      </c>
      <c r="X117" s="11">
        <f t="shared" ca="1" si="26"/>
        <v>0.19560550192346382</v>
      </c>
    </row>
    <row r="118" spans="12:24" ht="15" customHeight="1" x14ac:dyDescent="0.45">
      <c r="L118" s="9">
        <v>114</v>
      </c>
      <c r="M118" s="11">
        <f t="shared" ca="1" si="17"/>
        <v>2.3899990553386825</v>
      </c>
      <c r="N118" s="19">
        <f t="shared" ca="1" si="18"/>
        <v>1008.8485738612342</v>
      </c>
      <c r="O118" s="9">
        <f t="shared" ca="1" si="19"/>
        <v>2</v>
      </c>
      <c r="P118" s="9">
        <f t="shared" ca="1" si="20"/>
        <v>1</v>
      </c>
      <c r="Q118" s="11">
        <f t="shared" ca="1" si="21"/>
        <v>3.5520910906005736</v>
      </c>
      <c r="R118" s="11">
        <f t="shared" ca="1" si="22"/>
        <v>13.504256338626789</v>
      </c>
      <c r="S118" s="11">
        <f t="shared" ca="1" si="23"/>
        <v>0.38534777777483931</v>
      </c>
      <c r="T118" s="11">
        <f t="shared" ca="1" si="24"/>
        <v>2.2060740409359347</v>
      </c>
      <c r="V118" s="11">
        <f t="shared" ca="1" si="26"/>
        <v>0.38534777777483931</v>
      </c>
      <c r="W118" s="11">
        <f t="shared" ca="1" si="26"/>
        <v>8.7645951656490251E-2</v>
      </c>
      <c r="X118" s="11">
        <f t="shared" ca="1" si="26"/>
        <v>0.69113977081209288</v>
      </c>
    </row>
    <row r="119" spans="12:24" ht="15" customHeight="1" x14ac:dyDescent="0.45">
      <c r="L119" s="9">
        <v>115</v>
      </c>
      <c r="M119" s="11">
        <f t="shared" ca="1" si="17"/>
        <v>1.1336570904092784</v>
      </c>
      <c r="N119" s="19">
        <f t="shared" ca="1" si="18"/>
        <v>1090.1302634640924</v>
      </c>
      <c r="O119" s="9">
        <f t="shared" ca="1" si="19"/>
        <v>2</v>
      </c>
      <c r="P119" s="9">
        <f t="shared" ca="1" si="20"/>
        <v>2</v>
      </c>
      <c r="Q119" s="11">
        <f t="shared" ca="1" si="21"/>
        <v>1.7822067609548207</v>
      </c>
      <c r="R119" s="11">
        <f t="shared" ca="1" si="22"/>
        <v>11.495285734561122</v>
      </c>
      <c r="S119" s="11">
        <f t="shared" ca="1" si="23"/>
        <v>0.24211871517804306</v>
      </c>
      <c r="T119" s="11">
        <f t="shared" ca="1" si="24"/>
        <v>4.114474491154791</v>
      </c>
      <c r="V119" s="11">
        <f t="shared" ca="1" si="26"/>
        <v>0.24211871517804306</v>
      </c>
      <c r="W119" s="11">
        <f t="shared" ca="1" si="26"/>
        <v>9.6693339983741744E-2</v>
      </c>
      <c r="X119" s="11">
        <f t="shared" ca="1" si="26"/>
        <v>0.7576016114164581</v>
      </c>
    </row>
    <row r="120" spans="12:24" x14ac:dyDescent="0.45">
      <c r="L120" s="9">
        <v>116</v>
      </c>
      <c r="M120" s="11">
        <f t="shared" ca="1" si="17"/>
        <v>1.5751785516842887</v>
      </c>
      <c r="N120" s="19">
        <f t="shared" ca="1" si="18"/>
        <v>1129.7618251235756</v>
      </c>
      <c r="O120" s="9">
        <f t="shared" ca="1" si="19"/>
        <v>1</v>
      </c>
      <c r="P120" s="9">
        <f t="shared" ca="1" si="20"/>
        <v>7</v>
      </c>
      <c r="Q120" s="11">
        <f t="shared" ca="1" si="21"/>
        <v>9.758467985496587</v>
      </c>
      <c r="R120" s="11">
        <f t="shared" ca="1" si="22"/>
        <v>11.167994573537852</v>
      </c>
      <c r="S120" s="11" t="str">
        <f t="shared" ca="1" si="23"/>
        <v/>
      </c>
      <c r="T120" s="11">
        <f t="shared" ca="1" si="24"/>
        <v>0.48549548378235108</v>
      </c>
      <c r="V120" s="11">
        <f t="shared" ca="1" si="26"/>
        <v>0.94967013955477841</v>
      </c>
      <c r="W120" s="11">
        <f t="shared" ca="1" si="26"/>
        <v>0.31548540788372603</v>
      </c>
      <c r="X120" s="11">
        <f t="shared" ca="1" si="26"/>
        <v>2.8292248400184516E-2</v>
      </c>
    </row>
    <row r="121" spans="12:24" x14ac:dyDescent="0.45">
      <c r="L121" s="9">
        <v>117</v>
      </c>
      <c r="M121" s="11">
        <f t="shared" ca="1" si="17"/>
        <v>16.563778744104386</v>
      </c>
      <c r="N121" s="19">
        <f t="shared" ca="1" si="18"/>
        <v>1314.8377863275996</v>
      </c>
      <c r="O121" s="9">
        <f t="shared" ca="1" si="19"/>
        <v>1</v>
      </c>
      <c r="P121" s="9">
        <f t="shared" ca="1" si="20"/>
        <v>1</v>
      </c>
      <c r="Q121" s="11">
        <f t="shared" ca="1" si="21"/>
        <v>2.450233650867792</v>
      </c>
      <c r="R121" s="11">
        <f t="shared" ca="1" si="22"/>
        <v>12.193962386422172</v>
      </c>
      <c r="S121" s="11">
        <f t="shared" ca="1" si="23"/>
        <v>0.72427580878443087</v>
      </c>
      <c r="T121" s="11">
        <f t="shared" ca="1" si="24"/>
        <v>0.13587050133087941</v>
      </c>
      <c r="V121" s="11">
        <f t="shared" ca="1" si="26"/>
        <v>0.72427580878443087</v>
      </c>
      <c r="W121" s="11">
        <f t="shared" ca="1" si="26"/>
        <v>0.16544704839996527</v>
      </c>
      <c r="X121" s="11">
        <f t="shared" ca="1" si="26"/>
        <v>0.45226876112586956</v>
      </c>
    </row>
    <row r="122" spans="12:24" x14ac:dyDescent="0.45">
      <c r="L122" s="9">
        <v>118</v>
      </c>
      <c r="M122" s="11">
        <f t="shared" ca="1" si="17"/>
        <v>1.3309869237965217</v>
      </c>
      <c r="N122" s="19">
        <f t="shared" ca="1" si="18"/>
        <v>477.48777820211046</v>
      </c>
      <c r="O122" s="9">
        <f t="shared" ca="1" si="19"/>
        <v>1</v>
      </c>
      <c r="P122" s="9">
        <f t="shared" ca="1" si="20"/>
        <v>5</v>
      </c>
      <c r="Q122" s="11">
        <f t="shared" ca="1" si="21"/>
        <v>5.0923984458915657</v>
      </c>
      <c r="R122" s="11">
        <f t="shared" ca="1" si="22"/>
        <v>13.042883663417456</v>
      </c>
      <c r="S122" s="11">
        <f t="shared" ca="1" si="23"/>
        <v>0.36363533645813884</v>
      </c>
      <c r="T122" s="11">
        <f t="shared" ca="1" si="24"/>
        <v>5.1018690665486313</v>
      </c>
      <c r="V122" s="11">
        <f t="shared" ca="1" si="26"/>
        <v>0.36363533645813884</v>
      </c>
      <c r="W122" s="11">
        <f t="shared" ca="1" si="26"/>
        <v>0.87510437187634826</v>
      </c>
      <c r="X122" s="11">
        <f t="shared" ca="1" si="26"/>
        <v>0.77516889239640352</v>
      </c>
    </row>
    <row r="123" spans="12:24" x14ac:dyDescent="0.45">
      <c r="L123" s="9">
        <v>119</v>
      </c>
      <c r="M123" s="11">
        <f t="shared" ca="1" si="17"/>
        <v>3.5439811323219081</v>
      </c>
      <c r="N123" s="19">
        <f t="shared" ca="1" si="18"/>
        <v>1355.5357610757364</v>
      </c>
      <c r="O123" s="9">
        <f t="shared" ca="1" si="19"/>
        <v>4</v>
      </c>
      <c r="P123" s="9">
        <f t="shared" ca="1" si="20"/>
        <v>2</v>
      </c>
      <c r="Q123" s="11">
        <f t="shared" ca="1" si="21"/>
        <v>7.8355294809588756</v>
      </c>
      <c r="R123" s="11">
        <f t="shared" ca="1" si="22"/>
        <v>9.758676257094713</v>
      </c>
      <c r="S123" s="11" t="str">
        <f t="shared" ca="1" si="23"/>
        <v/>
      </c>
      <c r="T123" s="11">
        <f t="shared" ca="1" si="24"/>
        <v>1.3123769141261323</v>
      </c>
      <c r="V123" s="11">
        <f t="shared" ca="1" si="26"/>
        <v>1.9142461568328217E-2</v>
      </c>
      <c r="W123" s="11">
        <f t="shared" ca="1" si="26"/>
        <v>0.40183264689459575</v>
      </c>
      <c r="X123" s="11">
        <f t="shared" ca="1" si="26"/>
        <v>0.22208217682896403</v>
      </c>
    </row>
    <row r="124" spans="12:24" x14ac:dyDescent="0.45">
      <c r="L124" s="9">
        <v>120</v>
      </c>
      <c r="M124" s="11">
        <f t="shared" ca="1" si="17"/>
        <v>6.0094757227564655</v>
      </c>
      <c r="N124" s="19">
        <f t="shared" ca="1" si="18"/>
        <v>1388.5068989277074</v>
      </c>
      <c r="O124" s="9">
        <f t="shared" ca="1" si="19"/>
        <v>2</v>
      </c>
      <c r="P124" s="9">
        <f t="shared" ca="1" si="20"/>
        <v>8</v>
      </c>
      <c r="Q124" s="11">
        <f t="shared" ca="1" si="21"/>
        <v>1.7897838341008168</v>
      </c>
      <c r="R124" s="11">
        <f t="shared" ca="1" si="22"/>
        <v>10.333934874661807</v>
      </c>
      <c r="S124" s="11">
        <f t="shared" ca="1" si="23"/>
        <v>0.80395530558759809</v>
      </c>
      <c r="T124" s="11">
        <f t="shared" ca="1" si="24"/>
        <v>0.85487543381677955</v>
      </c>
      <c r="V124" s="11">
        <f t="shared" ca="1" si="26"/>
        <v>0.80395530558759809</v>
      </c>
      <c r="W124" s="11">
        <f t="shared" ca="1" si="26"/>
        <v>0.53694144828681833</v>
      </c>
      <c r="X124" s="11">
        <f t="shared" ca="1" si="26"/>
        <v>0.1301401377017779</v>
      </c>
    </row>
    <row r="125" spans="12:24" x14ac:dyDescent="0.45">
      <c r="L125" s="9">
        <v>121</v>
      </c>
      <c r="M125" s="11">
        <f t="shared" ca="1" si="17"/>
        <v>9.3301642847817519</v>
      </c>
      <c r="N125" s="19">
        <f t="shared" ca="1" si="18"/>
        <v>1041.1363562187964</v>
      </c>
      <c r="O125" s="9">
        <f t="shared" ca="1" si="19"/>
        <v>1</v>
      </c>
      <c r="P125" s="9">
        <f t="shared" ca="1" si="20"/>
        <v>2</v>
      </c>
      <c r="Q125" s="11">
        <f t="shared" ca="1" si="21"/>
        <v>2.2799588809625542</v>
      </c>
      <c r="R125" s="11">
        <f t="shared" ca="1" si="22"/>
        <v>12.187417148557602</v>
      </c>
      <c r="S125" s="11">
        <f t="shared" ca="1" si="23"/>
        <v>0.79286883314578693</v>
      </c>
      <c r="T125" s="11">
        <f t="shared" ca="1" si="24"/>
        <v>6.1394603321935932</v>
      </c>
      <c r="V125" s="11">
        <f t="shared" ref="V125:X144" ca="1" si="27">RAND()</f>
        <v>0.79286883314578693</v>
      </c>
      <c r="W125" s="11">
        <f t="shared" ca="1" si="27"/>
        <v>0.32618960538711717</v>
      </c>
      <c r="X125" s="11">
        <f t="shared" ca="1" si="27"/>
        <v>0.86332004783506699</v>
      </c>
    </row>
    <row r="126" spans="12:24" x14ac:dyDescent="0.45">
      <c r="L126" s="9">
        <v>122</v>
      </c>
      <c r="M126" s="11">
        <f t="shared" ca="1" si="17"/>
        <v>2.1852282787137223</v>
      </c>
      <c r="N126" s="19">
        <f t="shared" ca="1" si="18"/>
        <v>1308.5592912091915</v>
      </c>
      <c r="O126" s="9">
        <f t="shared" ca="1" si="19"/>
        <v>2</v>
      </c>
      <c r="P126" s="9">
        <f t="shared" ca="1" si="20"/>
        <v>2</v>
      </c>
      <c r="Q126" s="11">
        <f t="shared" ca="1" si="21"/>
        <v>6.2222341215189552</v>
      </c>
      <c r="R126" s="11">
        <f t="shared" ca="1" si="22"/>
        <v>13.123371971201403</v>
      </c>
      <c r="S126" s="11" t="str">
        <f t="shared" ca="1" si="23"/>
        <v/>
      </c>
      <c r="T126" s="11">
        <f t="shared" ca="1" si="24"/>
        <v>1.0114747196263172</v>
      </c>
      <c r="V126" s="11">
        <f t="shared" ca="1" si="27"/>
        <v>0.95430958944425126</v>
      </c>
      <c r="W126" s="11">
        <f t="shared" ca="1" si="27"/>
        <v>0.24335407373863138</v>
      </c>
      <c r="X126" s="11">
        <f t="shared" ca="1" si="27"/>
        <v>0.53813117981025482</v>
      </c>
    </row>
    <row r="127" spans="12:24" x14ac:dyDescent="0.45">
      <c r="L127" s="9">
        <v>123</v>
      </c>
      <c r="M127" s="11">
        <f t="shared" ca="1" si="17"/>
        <v>2.9502740607050222</v>
      </c>
      <c r="N127" s="19">
        <f t="shared" ca="1" si="18"/>
        <v>445.20776129403941</v>
      </c>
      <c r="O127" s="9">
        <f t="shared" ca="1" si="19"/>
        <v>2</v>
      </c>
      <c r="P127" s="9">
        <f t="shared" ca="1" si="20"/>
        <v>3</v>
      </c>
      <c r="Q127" s="11">
        <f t="shared" ca="1" si="21"/>
        <v>10.144757510294928</v>
      </c>
      <c r="R127" s="11">
        <f t="shared" ca="1" si="22"/>
        <v>8.5004617577615154</v>
      </c>
      <c r="S127" s="11" t="str">
        <f t="shared" ca="1" si="23"/>
        <v/>
      </c>
      <c r="T127" s="11">
        <f t="shared" ca="1" si="24"/>
        <v>1.1468388100966087</v>
      </c>
      <c r="V127" s="11">
        <f t="shared" ca="1" si="27"/>
        <v>9.2201283247994592E-3</v>
      </c>
      <c r="W127" s="11">
        <f t="shared" ca="1" si="27"/>
        <v>0.68574381180343114</v>
      </c>
      <c r="X127" s="11">
        <f t="shared" ca="1" si="27"/>
        <v>0.79189122575372872</v>
      </c>
    </row>
    <row r="128" spans="12:24" x14ac:dyDescent="0.45">
      <c r="L128" s="9">
        <v>124</v>
      </c>
      <c r="M128" s="11">
        <f t="shared" ca="1" si="17"/>
        <v>1.3018323244329657</v>
      </c>
      <c r="N128" s="19">
        <f t="shared" ca="1" si="18"/>
        <v>1985.2153204878023</v>
      </c>
      <c r="O128" s="9">
        <f t="shared" ca="1" si="19"/>
        <v>1</v>
      </c>
      <c r="P128" s="9">
        <f t="shared" ca="1" si="20"/>
        <v>5</v>
      </c>
      <c r="Q128" s="11">
        <f t="shared" ca="1" si="21"/>
        <v>12.006991031895923</v>
      </c>
      <c r="R128" s="11">
        <f t="shared" ca="1" si="22"/>
        <v>8.2126779587853296</v>
      </c>
      <c r="S128" s="11">
        <f t="shared" ca="1" si="23"/>
        <v>0.43685539818207297</v>
      </c>
      <c r="T128" s="11">
        <f t="shared" ca="1" si="24"/>
        <v>4.9750413083349176</v>
      </c>
      <c r="V128" s="11">
        <f t="shared" ca="1" si="27"/>
        <v>0.43685539818207297</v>
      </c>
      <c r="W128" s="11">
        <f t="shared" ca="1" si="27"/>
        <v>0.72959911097160413</v>
      </c>
      <c r="X128" s="11">
        <f t="shared" ca="1" si="27"/>
        <v>0.36420739914449485</v>
      </c>
    </row>
    <row r="129" spans="12:24" x14ac:dyDescent="0.45">
      <c r="L129" s="9">
        <v>125</v>
      </c>
      <c r="M129" s="11">
        <f t="shared" ca="1" si="17"/>
        <v>0.66670078920148179</v>
      </c>
      <c r="N129" s="19">
        <f t="shared" ca="1" si="18"/>
        <v>888.1312558677497</v>
      </c>
      <c r="O129" s="9">
        <f t="shared" ca="1" si="19"/>
        <v>1</v>
      </c>
      <c r="P129" s="9">
        <f t="shared" ca="1" si="20"/>
        <v>3</v>
      </c>
      <c r="Q129" s="11">
        <f t="shared" ca="1" si="21"/>
        <v>5.3265264515860755</v>
      </c>
      <c r="R129" s="11">
        <f t="shared" ca="1" si="22"/>
        <v>9.1287192390474559</v>
      </c>
      <c r="S129" s="11">
        <f t="shared" ca="1" si="23"/>
        <v>0.45875761051849628</v>
      </c>
      <c r="T129" s="11">
        <f t="shared" ca="1" si="24"/>
        <v>25.183105383349805</v>
      </c>
      <c r="V129" s="11">
        <f t="shared" ca="1" si="27"/>
        <v>0.45875761051849628</v>
      </c>
      <c r="W129" s="11">
        <f t="shared" ca="1" si="27"/>
        <v>0.11252532094965217</v>
      </c>
      <c r="X129" s="11">
        <f t="shared" ca="1" si="27"/>
        <v>0.91561796256335171</v>
      </c>
    </row>
    <row r="130" spans="12:24" x14ac:dyDescent="0.45">
      <c r="L130" s="9">
        <v>126</v>
      </c>
      <c r="M130" s="11">
        <f t="shared" ca="1" si="17"/>
        <v>5.3770024468818356</v>
      </c>
      <c r="N130" s="19">
        <f t="shared" ca="1" si="18"/>
        <v>1065.0979489040826</v>
      </c>
      <c r="O130" s="9">
        <f t="shared" ca="1" si="19"/>
        <v>1</v>
      </c>
      <c r="P130" s="9">
        <f t="shared" ca="1" si="20"/>
        <v>3</v>
      </c>
      <c r="Q130" s="11">
        <f t="shared" ca="1" si="21"/>
        <v>2.908103092869911</v>
      </c>
      <c r="R130" s="11">
        <f t="shared" ca="1" si="22"/>
        <v>8.6445551896823876</v>
      </c>
      <c r="S130" s="11" t="str">
        <f t="shared" ca="1" si="23"/>
        <v/>
      </c>
      <c r="T130" s="11">
        <f t="shared" ca="1" si="24"/>
        <v>4.5043314592139945</v>
      </c>
      <c r="V130" s="11">
        <f t="shared" ca="1" si="27"/>
        <v>0.89703369382567599</v>
      </c>
      <c r="W130" s="11">
        <f t="shared" ca="1" si="27"/>
        <v>0.80647091816489802</v>
      </c>
      <c r="X130" s="11">
        <f t="shared" ca="1" si="27"/>
        <v>0.60405252807137921</v>
      </c>
    </row>
    <row r="131" spans="12:24" x14ac:dyDescent="0.45">
      <c r="L131" s="9">
        <v>127</v>
      </c>
      <c r="M131" s="11">
        <f t="shared" ca="1" si="17"/>
        <v>4.4328484183039425</v>
      </c>
      <c r="N131" s="19">
        <f t="shared" ca="1" si="18"/>
        <v>885.40082997984041</v>
      </c>
      <c r="O131" s="9">
        <f t="shared" ca="1" si="19"/>
        <v>1</v>
      </c>
      <c r="P131" s="9">
        <f t="shared" ca="1" si="20"/>
        <v>2</v>
      </c>
      <c r="Q131" s="11">
        <f t="shared" ca="1" si="21"/>
        <v>9.9728121809680061</v>
      </c>
      <c r="R131" s="11">
        <f t="shared" ca="1" si="22"/>
        <v>11.062318528851232</v>
      </c>
      <c r="S131" s="11">
        <f t="shared" ca="1" si="23"/>
        <v>0.84136805976263029</v>
      </c>
      <c r="T131" s="11">
        <f t="shared" ca="1" si="24"/>
        <v>1.9971320951251144</v>
      </c>
      <c r="V131" s="11">
        <f t="shared" ca="1" si="27"/>
        <v>0.84136805976263029</v>
      </c>
      <c r="W131" s="11">
        <f t="shared" ca="1" si="27"/>
        <v>0.22457896098437635</v>
      </c>
      <c r="X131" s="11">
        <f t="shared" ca="1" si="27"/>
        <v>0.131975892707486</v>
      </c>
    </row>
    <row r="132" spans="12:24" x14ac:dyDescent="0.45">
      <c r="L132" s="9">
        <v>128</v>
      </c>
      <c r="M132" s="11">
        <f t="shared" ca="1" si="17"/>
        <v>1.5428400915303446</v>
      </c>
      <c r="N132" s="19">
        <f t="shared" ca="1" si="18"/>
        <v>49.288410437877658</v>
      </c>
      <c r="O132" s="9">
        <f t="shared" ca="1" si="19"/>
        <v>2</v>
      </c>
      <c r="P132" s="9">
        <f t="shared" ca="1" si="20"/>
        <v>2</v>
      </c>
      <c r="Q132" s="11">
        <f t="shared" ca="1" si="21"/>
        <v>4.0831686929626327</v>
      </c>
      <c r="R132" s="11">
        <f t="shared" ca="1" si="22"/>
        <v>8.1958907531424678</v>
      </c>
      <c r="S132" s="11" t="str">
        <f t="shared" ca="1" si="23"/>
        <v/>
      </c>
      <c r="T132" s="11">
        <f t="shared" ca="1" si="24"/>
        <v>0.98113051334915402</v>
      </c>
      <c r="V132" s="11">
        <f t="shared" ca="1" si="27"/>
        <v>0.19070521515500449</v>
      </c>
      <c r="W132" s="11">
        <f t="shared" ca="1" si="27"/>
        <v>0.70181537770826508</v>
      </c>
      <c r="X132" s="11">
        <f t="shared" ca="1" si="27"/>
        <v>0.46612327958569311</v>
      </c>
    </row>
    <row r="133" spans="12:24" x14ac:dyDescent="0.45">
      <c r="L133" s="9">
        <v>129</v>
      </c>
      <c r="M133" s="11">
        <f t="shared" ref="M133:M196" ca="1" si="28">-$C$10*LN(1-RAND())</f>
        <v>8.3878655350522884</v>
      </c>
      <c r="N133" s="19">
        <f t="shared" ref="N133:N196" ca="1" si="29">$C$12*(-LN(1-RAND()))^(1/$C$11)</f>
        <v>646.59194658967556</v>
      </c>
      <c r="O133" s="9">
        <f t="shared" ref="O133:O196" ca="1" si="30">MAX(1,ROUNDUP(LN(1-RAND())/LN(1-$C$13),0))</f>
        <v>1</v>
      </c>
      <c r="P133" s="9">
        <f t="shared" ref="P133:P196" ca="1" si="31">INDEX($B$24:$B$44,MATCH(RAND(),$C$24:$C$44,1))</f>
        <v>5</v>
      </c>
      <c r="Q133" s="11">
        <f t="shared" ref="Q133:Q196" ca="1" si="32">-($C$16/$C$15)*LN(RAND()*RAND()*RAND())</f>
        <v>2.4351904053272677</v>
      </c>
      <c r="R133" s="11">
        <f t="shared" ref="R133:R196" ca="1" si="33">$C$17+$C$18*(RAND()+RAND()+RAND()+RAND()+RAND()+RAND()+RAND()+RAND()+RAND()+RAND()+RAND()+RAND()-6)</f>
        <v>11.645355805397312</v>
      </c>
      <c r="S133" s="11" t="str">
        <f t="shared" ref="S133:S196" ca="1" si="34">IF(1.5*W133&lt;=6*V133*(1-V133),V133,"")</f>
        <v/>
      </c>
      <c r="T133" s="11">
        <f t="shared" ref="T133:T196" ca="1" si="35">-IF(X133&lt;$C$19,$C$20,$C$21)*LN(1-RAND())</f>
        <v>2.0503306553549181</v>
      </c>
      <c r="V133" s="11">
        <f t="shared" ca="1" si="27"/>
        <v>0.98917127786112613</v>
      </c>
      <c r="W133" s="11">
        <f t="shared" ca="1" si="27"/>
        <v>0.36306453675018591</v>
      </c>
      <c r="X133" s="11">
        <f t="shared" ca="1" si="27"/>
        <v>1.7316193234691801E-2</v>
      </c>
    </row>
    <row r="134" spans="12:24" x14ac:dyDescent="0.45">
      <c r="L134" s="9">
        <v>130</v>
      </c>
      <c r="M134" s="11">
        <f t="shared" ca="1" si="28"/>
        <v>12.279138234685501</v>
      </c>
      <c r="N134" s="19">
        <f t="shared" ca="1" si="29"/>
        <v>618.58349440092229</v>
      </c>
      <c r="O134" s="9">
        <f t="shared" ca="1" si="30"/>
        <v>1</v>
      </c>
      <c r="P134" s="9">
        <f t="shared" ca="1" si="31"/>
        <v>3</v>
      </c>
      <c r="Q134" s="11">
        <f t="shared" ca="1" si="32"/>
        <v>4.8251065842122118</v>
      </c>
      <c r="R134" s="11">
        <f t="shared" ca="1" si="33"/>
        <v>9.225761449992893</v>
      </c>
      <c r="S134" s="11">
        <f t="shared" ca="1" si="34"/>
        <v>0.91812449904602267</v>
      </c>
      <c r="T134" s="11">
        <f t="shared" ca="1" si="35"/>
        <v>2.5747750251944383</v>
      </c>
      <c r="V134" s="11">
        <f t="shared" ca="1" si="27"/>
        <v>0.91812449904602267</v>
      </c>
      <c r="W134" s="11">
        <f t="shared" ca="1" si="27"/>
        <v>0.21613937479965906</v>
      </c>
      <c r="X134" s="11">
        <f t="shared" ca="1" si="27"/>
        <v>0.92976095934369196</v>
      </c>
    </row>
    <row r="135" spans="12:24" x14ac:dyDescent="0.45">
      <c r="L135" s="9">
        <v>131</v>
      </c>
      <c r="M135" s="11">
        <f t="shared" ca="1" si="28"/>
        <v>0.23405329393937027</v>
      </c>
      <c r="N135" s="19">
        <f t="shared" ca="1" si="29"/>
        <v>861.24118118162323</v>
      </c>
      <c r="O135" s="9">
        <f t="shared" ca="1" si="30"/>
        <v>2</v>
      </c>
      <c r="P135" s="9">
        <f t="shared" ca="1" si="31"/>
        <v>2</v>
      </c>
      <c r="Q135" s="11">
        <f t="shared" ca="1" si="32"/>
        <v>7.3289078485552928</v>
      </c>
      <c r="R135" s="11">
        <f t="shared" ca="1" si="33"/>
        <v>8.2358302196396451</v>
      </c>
      <c r="S135" s="11" t="str">
        <f t="shared" ca="1" si="34"/>
        <v/>
      </c>
      <c r="T135" s="11">
        <f t="shared" ca="1" si="35"/>
        <v>4.1166758806363246</v>
      </c>
      <c r="V135" s="11">
        <f t="shared" ca="1" si="27"/>
        <v>0.88098310365681964</v>
      </c>
      <c r="W135" s="11">
        <f t="shared" ca="1" si="27"/>
        <v>0.71304109056023246</v>
      </c>
      <c r="X135" s="11">
        <f t="shared" ca="1" si="27"/>
        <v>0.25106846482659329</v>
      </c>
    </row>
    <row r="136" spans="12:24" x14ac:dyDescent="0.45">
      <c r="L136" s="9">
        <v>132</v>
      </c>
      <c r="M136" s="11">
        <f t="shared" ca="1" si="28"/>
        <v>2.0324711236247825</v>
      </c>
      <c r="N136" s="19">
        <f t="shared" ca="1" si="29"/>
        <v>1520.7709848836264</v>
      </c>
      <c r="O136" s="9">
        <f t="shared" ca="1" si="30"/>
        <v>2</v>
      </c>
      <c r="P136" s="9">
        <f t="shared" ca="1" si="31"/>
        <v>1</v>
      </c>
      <c r="Q136" s="11">
        <f t="shared" ca="1" si="32"/>
        <v>3.2423064032148563</v>
      </c>
      <c r="R136" s="11">
        <f t="shared" ca="1" si="33"/>
        <v>5.3470413098066905</v>
      </c>
      <c r="S136" s="11">
        <f t="shared" ca="1" si="34"/>
        <v>0.77339941530523693</v>
      </c>
      <c r="T136" s="11">
        <f t="shared" ca="1" si="35"/>
        <v>0.58572508647761068</v>
      </c>
      <c r="V136" s="11">
        <f t="shared" ca="1" si="27"/>
        <v>0.77339941530523693</v>
      </c>
      <c r="W136" s="11">
        <f t="shared" ca="1" si="27"/>
        <v>0.27318563743222957</v>
      </c>
      <c r="X136" s="11">
        <f t="shared" ca="1" si="27"/>
        <v>0.5825066016114947</v>
      </c>
    </row>
    <row r="137" spans="12:24" x14ac:dyDescent="0.45">
      <c r="L137" s="9">
        <v>133</v>
      </c>
      <c r="M137" s="11">
        <f t="shared" ca="1" si="28"/>
        <v>0.88674549632593258</v>
      </c>
      <c r="N137" s="19">
        <f t="shared" ca="1" si="29"/>
        <v>989.17804711137785</v>
      </c>
      <c r="O137" s="9">
        <f t="shared" ca="1" si="30"/>
        <v>2</v>
      </c>
      <c r="P137" s="9">
        <f t="shared" ca="1" si="31"/>
        <v>1</v>
      </c>
      <c r="Q137" s="11">
        <f t="shared" ca="1" si="32"/>
        <v>2.3246504224568487</v>
      </c>
      <c r="R137" s="11">
        <f t="shared" ca="1" si="33"/>
        <v>7.9302447526853808</v>
      </c>
      <c r="S137" s="11">
        <f t="shared" ca="1" si="34"/>
        <v>0.5726023559116411</v>
      </c>
      <c r="T137" s="11">
        <f t="shared" ca="1" si="35"/>
        <v>0.22268017406835716</v>
      </c>
      <c r="V137" s="11">
        <f t="shared" ca="1" si="27"/>
        <v>0.5726023559116411</v>
      </c>
      <c r="W137" s="11">
        <f t="shared" ca="1" si="27"/>
        <v>0.84456255336841113</v>
      </c>
      <c r="X137" s="11">
        <f t="shared" ca="1" si="27"/>
        <v>0.55044886363764545</v>
      </c>
    </row>
    <row r="138" spans="12:24" x14ac:dyDescent="0.45">
      <c r="L138" s="9">
        <v>134</v>
      </c>
      <c r="M138" s="11">
        <f t="shared" ca="1" si="28"/>
        <v>3.7608481965878573</v>
      </c>
      <c r="N138" s="19">
        <f t="shared" ca="1" si="29"/>
        <v>311.83028334711616</v>
      </c>
      <c r="O138" s="9">
        <f t="shared" ca="1" si="30"/>
        <v>1</v>
      </c>
      <c r="P138" s="9">
        <f t="shared" ca="1" si="31"/>
        <v>1</v>
      </c>
      <c r="Q138" s="11">
        <f t="shared" ca="1" si="32"/>
        <v>5.4734492314496697</v>
      </c>
      <c r="R138" s="11">
        <f t="shared" ca="1" si="33"/>
        <v>8.6881678831088838</v>
      </c>
      <c r="S138" s="11">
        <f t="shared" ca="1" si="34"/>
        <v>0.12841422012706039</v>
      </c>
      <c r="T138" s="11">
        <f t="shared" ca="1" si="35"/>
        <v>3.5074284776046336</v>
      </c>
      <c r="V138" s="11">
        <f t="shared" ca="1" si="27"/>
        <v>0.12841422012706039</v>
      </c>
      <c r="W138" s="11">
        <f t="shared" ca="1" si="27"/>
        <v>0.37986253591280006</v>
      </c>
      <c r="X138" s="11">
        <f t="shared" ca="1" si="27"/>
        <v>0.50466046674462539</v>
      </c>
    </row>
    <row r="139" spans="12:24" x14ac:dyDescent="0.45">
      <c r="L139" s="9">
        <v>135</v>
      </c>
      <c r="M139" s="11">
        <f t="shared" ca="1" si="28"/>
        <v>18.46406543805038</v>
      </c>
      <c r="N139" s="19">
        <f t="shared" ca="1" si="29"/>
        <v>210.20028488303146</v>
      </c>
      <c r="O139" s="9">
        <f t="shared" ca="1" si="30"/>
        <v>1</v>
      </c>
      <c r="P139" s="9">
        <f t="shared" ca="1" si="31"/>
        <v>5</v>
      </c>
      <c r="Q139" s="11">
        <f t="shared" ca="1" si="32"/>
        <v>3.8445110247143468</v>
      </c>
      <c r="R139" s="11">
        <f t="shared" ca="1" si="33"/>
        <v>9.8823750496503973</v>
      </c>
      <c r="S139" s="11" t="str">
        <f t="shared" ca="1" si="34"/>
        <v/>
      </c>
      <c r="T139" s="11">
        <f t="shared" ca="1" si="35"/>
        <v>1.2269048463459173</v>
      </c>
      <c r="V139" s="11">
        <f t="shared" ca="1" si="27"/>
        <v>0.92503331940646649</v>
      </c>
      <c r="W139" s="11">
        <f t="shared" ca="1" si="27"/>
        <v>0.64600647399047095</v>
      </c>
      <c r="X139" s="11">
        <f t="shared" ca="1" si="27"/>
        <v>0.33472856850698041</v>
      </c>
    </row>
    <row r="140" spans="12:24" x14ac:dyDescent="0.45">
      <c r="L140" s="9">
        <v>136</v>
      </c>
      <c r="M140" s="11">
        <f t="shared" ca="1" si="28"/>
        <v>0.45551968489550226</v>
      </c>
      <c r="N140" s="19">
        <f t="shared" ca="1" si="29"/>
        <v>557.98313289014402</v>
      </c>
      <c r="O140" s="9">
        <f t="shared" ca="1" si="30"/>
        <v>1</v>
      </c>
      <c r="P140" s="9">
        <f t="shared" ca="1" si="31"/>
        <v>4</v>
      </c>
      <c r="Q140" s="11">
        <f t="shared" ca="1" si="32"/>
        <v>5.4605625901775436</v>
      </c>
      <c r="R140" s="11">
        <f t="shared" ca="1" si="33"/>
        <v>9.2327023496298644</v>
      </c>
      <c r="S140" s="11" t="str">
        <f t="shared" ca="1" si="34"/>
        <v/>
      </c>
      <c r="T140" s="11">
        <f t="shared" ca="1" si="35"/>
        <v>1.3436143776988099</v>
      </c>
      <c r="V140" s="11">
        <f t="shared" ca="1" si="27"/>
        <v>4.5068969455308028E-2</v>
      </c>
      <c r="W140" s="11">
        <f t="shared" ca="1" si="27"/>
        <v>0.72646045150174932</v>
      </c>
      <c r="X140" s="11">
        <f t="shared" ca="1" si="27"/>
        <v>0.51787950438476726</v>
      </c>
    </row>
    <row r="141" spans="12:24" x14ac:dyDescent="0.45">
      <c r="L141" s="9">
        <v>137</v>
      </c>
      <c r="M141" s="11">
        <f t="shared" ca="1" si="28"/>
        <v>6.7135428724191684</v>
      </c>
      <c r="N141" s="19">
        <f t="shared" ca="1" si="29"/>
        <v>1311.1512478130355</v>
      </c>
      <c r="O141" s="9">
        <f t="shared" ca="1" si="30"/>
        <v>1</v>
      </c>
      <c r="P141" s="9">
        <f t="shared" ca="1" si="31"/>
        <v>4</v>
      </c>
      <c r="Q141" s="11">
        <f t="shared" ca="1" si="32"/>
        <v>2.7981186384884955</v>
      </c>
      <c r="R141" s="11">
        <f t="shared" ca="1" si="33"/>
        <v>9.6277118068336147</v>
      </c>
      <c r="S141" s="11">
        <f t="shared" ca="1" si="34"/>
        <v>0.62469588599262549</v>
      </c>
      <c r="T141" s="11">
        <f t="shared" ca="1" si="35"/>
        <v>0.73546628475968756</v>
      </c>
      <c r="V141" s="11">
        <f t="shared" ca="1" si="27"/>
        <v>0.62469588599262549</v>
      </c>
      <c r="W141" s="11">
        <f t="shared" ca="1" si="27"/>
        <v>0.18207782785791038</v>
      </c>
      <c r="X141" s="11">
        <f t="shared" ca="1" si="27"/>
        <v>0.25848071476425294</v>
      </c>
    </row>
    <row r="142" spans="12:24" x14ac:dyDescent="0.45">
      <c r="L142" s="9">
        <v>138</v>
      </c>
      <c r="M142" s="11">
        <f t="shared" ca="1" si="28"/>
        <v>0.46914967448244077</v>
      </c>
      <c r="N142" s="19">
        <f t="shared" ca="1" si="29"/>
        <v>362.29970738637894</v>
      </c>
      <c r="O142" s="9">
        <f t="shared" ca="1" si="30"/>
        <v>2</v>
      </c>
      <c r="P142" s="9">
        <f t="shared" ca="1" si="31"/>
        <v>1</v>
      </c>
      <c r="Q142" s="11">
        <f t="shared" ca="1" si="32"/>
        <v>9.0884554332007941</v>
      </c>
      <c r="R142" s="11">
        <f t="shared" ca="1" si="33"/>
        <v>10.141528863663309</v>
      </c>
      <c r="S142" s="11">
        <f t="shared" ca="1" si="34"/>
        <v>0.50403214046222222</v>
      </c>
      <c r="T142" s="11">
        <f t="shared" ca="1" si="35"/>
        <v>3.1198004765996927</v>
      </c>
      <c r="V142" s="11">
        <f t="shared" ca="1" si="27"/>
        <v>0.50403214046222222</v>
      </c>
      <c r="W142" s="11">
        <f t="shared" ca="1" si="27"/>
        <v>0.94258408382403291</v>
      </c>
      <c r="X142" s="11">
        <f t="shared" ca="1" si="27"/>
        <v>0.52926788270798997</v>
      </c>
    </row>
    <row r="143" spans="12:24" x14ac:dyDescent="0.45">
      <c r="L143" s="9">
        <v>139</v>
      </c>
      <c r="M143" s="11">
        <f t="shared" ca="1" si="28"/>
        <v>4.5693650963416488</v>
      </c>
      <c r="N143" s="19">
        <f t="shared" ca="1" si="29"/>
        <v>611.29366416365349</v>
      </c>
      <c r="O143" s="9">
        <f t="shared" ca="1" si="30"/>
        <v>3</v>
      </c>
      <c r="P143" s="9">
        <f t="shared" ca="1" si="31"/>
        <v>2</v>
      </c>
      <c r="Q143" s="11">
        <f t="shared" ca="1" si="32"/>
        <v>5.4155323175104133</v>
      </c>
      <c r="R143" s="11">
        <f t="shared" ca="1" si="33"/>
        <v>9.6872699218150267</v>
      </c>
      <c r="S143" s="11" t="str">
        <f t="shared" ca="1" si="34"/>
        <v/>
      </c>
      <c r="T143" s="11">
        <f t="shared" ca="1" si="35"/>
        <v>0.98248626483422452</v>
      </c>
      <c r="V143" s="11">
        <f t="shared" ca="1" si="27"/>
        <v>0.87945366394285573</v>
      </c>
      <c r="W143" s="11">
        <f t="shared" ca="1" si="27"/>
        <v>0.62682431710714692</v>
      </c>
      <c r="X143" s="11">
        <f t="shared" ca="1" si="27"/>
        <v>0.14723860712852688</v>
      </c>
    </row>
    <row r="144" spans="12:24" x14ac:dyDescent="0.45">
      <c r="L144" s="9">
        <v>140</v>
      </c>
      <c r="M144" s="11">
        <f t="shared" ca="1" si="28"/>
        <v>3.9864898582212125</v>
      </c>
      <c r="N144" s="19">
        <f t="shared" ca="1" si="29"/>
        <v>826.60487059219179</v>
      </c>
      <c r="O144" s="9">
        <f t="shared" ca="1" si="30"/>
        <v>1</v>
      </c>
      <c r="P144" s="9">
        <f t="shared" ca="1" si="31"/>
        <v>3</v>
      </c>
      <c r="Q144" s="11">
        <f t="shared" ca="1" si="32"/>
        <v>3.6166651107774612</v>
      </c>
      <c r="R144" s="11">
        <f t="shared" ca="1" si="33"/>
        <v>8.8463937149388183</v>
      </c>
      <c r="S144" s="11">
        <f t="shared" ca="1" si="34"/>
        <v>0.68261512893896603</v>
      </c>
      <c r="T144" s="11">
        <f t="shared" ca="1" si="35"/>
        <v>2.2723553021634455</v>
      </c>
      <c r="V144" s="11">
        <f t="shared" ca="1" si="27"/>
        <v>0.68261512893896603</v>
      </c>
      <c r="W144" s="11">
        <f t="shared" ca="1" si="27"/>
        <v>0.33143440098233679</v>
      </c>
      <c r="X144" s="11">
        <f t="shared" ca="1" si="27"/>
        <v>3.0507303296742894E-2</v>
      </c>
    </row>
    <row r="145" spans="12:24" x14ac:dyDescent="0.45">
      <c r="L145" s="9">
        <v>141</v>
      </c>
      <c r="M145" s="11">
        <f t="shared" ca="1" si="28"/>
        <v>1.4658880473696665</v>
      </c>
      <c r="N145" s="19">
        <f t="shared" ca="1" si="29"/>
        <v>1303.1238477825741</v>
      </c>
      <c r="O145" s="9">
        <f t="shared" ca="1" si="30"/>
        <v>3</v>
      </c>
      <c r="P145" s="9">
        <f t="shared" ca="1" si="31"/>
        <v>3</v>
      </c>
      <c r="Q145" s="11">
        <f t="shared" ca="1" si="32"/>
        <v>9.8752376043114705</v>
      </c>
      <c r="R145" s="11">
        <f t="shared" ca="1" si="33"/>
        <v>7.8798891418948731</v>
      </c>
      <c r="S145" s="11" t="str">
        <f t="shared" ca="1" si="34"/>
        <v/>
      </c>
      <c r="T145" s="11">
        <f t="shared" ca="1" si="35"/>
        <v>4.7913634691469404</v>
      </c>
      <c r="V145" s="11">
        <f t="shared" ref="V145:X164" ca="1" si="36">RAND()</f>
        <v>0.73594869241636318</v>
      </c>
      <c r="W145" s="11">
        <f t="shared" ca="1" si="36"/>
        <v>0.8807209493691357</v>
      </c>
      <c r="X145" s="11">
        <f t="shared" ca="1" si="36"/>
        <v>0.68135397034841827</v>
      </c>
    </row>
    <row r="146" spans="12:24" x14ac:dyDescent="0.45">
      <c r="L146" s="9">
        <v>142</v>
      </c>
      <c r="M146" s="11">
        <f t="shared" ca="1" si="28"/>
        <v>0.16651838617121717</v>
      </c>
      <c r="N146" s="19">
        <f t="shared" ca="1" si="29"/>
        <v>1652.5748884256839</v>
      </c>
      <c r="O146" s="9">
        <f t="shared" ca="1" si="30"/>
        <v>1</v>
      </c>
      <c r="P146" s="9">
        <f t="shared" ca="1" si="31"/>
        <v>1</v>
      </c>
      <c r="Q146" s="11">
        <f t="shared" ca="1" si="32"/>
        <v>2.2623602330572519</v>
      </c>
      <c r="R146" s="11">
        <f t="shared" ca="1" si="33"/>
        <v>11.37287518292584</v>
      </c>
      <c r="S146" s="11">
        <f t="shared" ca="1" si="34"/>
        <v>0.15540848411114605</v>
      </c>
      <c r="T146" s="11">
        <f t="shared" ca="1" si="35"/>
        <v>0.39406140090898278</v>
      </c>
      <c r="V146" s="11">
        <f t="shared" ca="1" si="36"/>
        <v>0.15540848411114605</v>
      </c>
      <c r="W146" s="11">
        <f t="shared" ca="1" si="36"/>
        <v>5.9704287084765495E-2</v>
      </c>
      <c r="X146" s="11">
        <f t="shared" ca="1" si="36"/>
        <v>0.64254797139745301</v>
      </c>
    </row>
    <row r="147" spans="12:24" x14ac:dyDescent="0.45">
      <c r="L147" s="9">
        <v>143</v>
      </c>
      <c r="M147" s="11">
        <f t="shared" ca="1" si="28"/>
        <v>3.4427878426931806</v>
      </c>
      <c r="N147" s="19">
        <f t="shared" ca="1" si="29"/>
        <v>2117.8740526148595</v>
      </c>
      <c r="O147" s="9">
        <f t="shared" ca="1" si="30"/>
        <v>2</v>
      </c>
      <c r="P147" s="9">
        <f t="shared" ca="1" si="31"/>
        <v>2</v>
      </c>
      <c r="Q147" s="11">
        <f t="shared" ca="1" si="32"/>
        <v>3.6934865017489291</v>
      </c>
      <c r="R147" s="11">
        <f t="shared" ca="1" si="33"/>
        <v>10.310830243821943</v>
      </c>
      <c r="S147" s="11">
        <f t="shared" ca="1" si="34"/>
        <v>0.2065347748401587</v>
      </c>
      <c r="T147" s="11">
        <f t="shared" ca="1" si="35"/>
        <v>11.254095671585748</v>
      </c>
      <c r="V147" s="11">
        <f t="shared" ca="1" si="36"/>
        <v>0.2065347748401587</v>
      </c>
      <c r="W147" s="11">
        <f t="shared" ca="1" si="36"/>
        <v>0.23025458607636307</v>
      </c>
      <c r="X147" s="11">
        <f t="shared" ca="1" si="36"/>
        <v>0.81023740533092126</v>
      </c>
    </row>
    <row r="148" spans="12:24" x14ac:dyDescent="0.45">
      <c r="L148" s="9">
        <v>144</v>
      </c>
      <c r="M148" s="11">
        <f t="shared" ca="1" si="28"/>
        <v>3.2246383267385546</v>
      </c>
      <c r="N148" s="19">
        <f t="shared" ca="1" si="29"/>
        <v>832.57000758849938</v>
      </c>
      <c r="O148" s="9">
        <f t="shared" ca="1" si="30"/>
        <v>2</v>
      </c>
      <c r="P148" s="9">
        <f t="shared" ca="1" si="31"/>
        <v>2</v>
      </c>
      <c r="Q148" s="11">
        <f t="shared" ca="1" si="32"/>
        <v>17.687635208135248</v>
      </c>
      <c r="R148" s="11">
        <f t="shared" ca="1" si="33"/>
        <v>11.748877007033263</v>
      </c>
      <c r="S148" s="11">
        <f t="shared" ca="1" si="34"/>
        <v>0.34623428153993407</v>
      </c>
      <c r="T148" s="11">
        <f t="shared" ca="1" si="35"/>
        <v>0.61616659863195944</v>
      </c>
      <c r="V148" s="11">
        <f t="shared" ca="1" si="36"/>
        <v>0.34623428153993407</v>
      </c>
      <c r="W148" s="11">
        <f t="shared" ca="1" si="36"/>
        <v>0.56252514891008998</v>
      </c>
      <c r="X148" s="11">
        <f t="shared" ca="1" si="36"/>
        <v>0.50938719287724732</v>
      </c>
    </row>
    <row r="149" spans="12:24" x14ac:dyDescent="0.45">
      <c r="L149" s="9">
        <v>145</v>
      </c>
      <c r="M149" s="11">
        <f t="shared" ca="1" si="28"/>
        <v>2.4990631309380071</v>
      </c>
      <c r="N149" s="19">
        <f t="shared" ca="1" si="29"/>
        <v>272.74986514646702</v>
      </c>
      <c r="O149" s="9">
        <f t="shared" ca="1" si="30"/>
        <v>1</v>
      </c>
      <c r="P149" s="9">
        <f t="shared" ca="1" si="31"/>
        <v>4</v>
      </c>
      <c r="Q149" s="11">
        <f t="shared" ca="1" si="32"/>
        <v>8.2386744829931118</v>
      </c>
      <c r="R149" s="11">
        <f t="shared" ca="1" si="33"/>
        <v>8.967360834066513</v>
      </c>
      <c r="S149" s="11" t="str">
        <f t="shared" ca="1" si="34"/>
        <v/>
      </c>
      <c r="T149" s="11">
        <f t="shared" ca="1" si="35"/>
        <v>14.160766616624612</v>
      </c>
      <c r="V149" s="11">
        <f t="shared" ca="1" si="36"/>
        <v>0.74534021415673868</v>
      </c>
      <c r="W149" s="11">
        <f t="shared" ca="1" si="36"/>
        <v>0.96473870161772168</v>
      </c>
      <c r="X149" s="11">
        <f t="shared" ca="1" si="36"/>
        <v>0.86368170635958685</v>
      </c>
    </row>
    <row r="150" spans="12:24" x14ac:dyDescent="0.45">
      <c r="L150" s="9">
        <v>146</v>
      </c>
      <c r="M150" s="11">
        <f t="shared" ca="1" si="28"/>
        <v>4.8789441579395065</v>
      </c>
      <c r="N150" s="19">
        <f t="shared" ca="1" si="29"/>
        <v>1008.5551057719148</v>
      </c>
      <c r="O150" s="9">
        <f t="shared" ca="1" si="30"/>
        <v>2</v>
      </c>
      <c r="P150" s="9">
        <f t="shared" ca="1" si="31"/>
        <v>4</v>
      </c>
      <c r="Q150" s="11">
        <f t="shared" ca="1" si="32"/>
        <v>3.5946770068529053</v>
      </c>
      <c r="R150" s="11">
        <f t="shared" ca="1" si="33"/>
        <v>8.7348527388361958</v>
      </c>
      <c r="S150" s="11">
        <f t="shared" ca="1" si="34"/>
        <v>0.30220952805143841</v>
      </c>
      <c r="T150" s="11">
        <f t="shared" ca="1" si="35"/>
        <v>0.55453040020520905</v>
      </c>
      <c r="V150" s="11">
        <f t="shared" ca="1" si="36"/>
        <v>0.30220952805143841</v>
      </c>
      <c r="W150" s="11">
        <f t="shared" ca="1" si="36"/>
        <v>0.35251435516802354</v>
      </c>
      <c r="X150" s="11">
        <f t="shared" ca="1" si="36"/>
        <v>0.91357317514541936</v>
      </c>
    </row>
    <row r="151" spans="12:24" x14ac:dyDescent="0.45">
      <c r="L151" s="9">
        <v>147</v>
      </c>
      <c r="M151" s="11">
        <f t="shared" ca="1" si="28"/>
        <v>12.088674540167236</v>
      </c>
      <c r="N151" s="19">
        <f t="shared" ca="1" si="29"/>
        <v>1467.3789946359132</v>
      </c>
      <c r="O151" s="9">
        <f t="shared" ca="1" si="30"/>
        <v>3</v>
      </c>
      <c r="P151" s="9">
        <f t="shared" ca="1" si="31"/>
        <v>4</v>
      </c>
      <c r="Q151" s="11">
        <f t="shared" ca="1" si="32"/>
        <v>5.334166463398649</v>
      </c>
      <c r="R151" s="11">
        <f t="shared" ca="1" si="33"/>
        <v>10.776816979691834</v>
      </c>
      <c r="S151" s="11">
        <f t="shared" ca="1" si="34"/>
        <v>0.20481961048734287</v>
      </c>
      <c r="T151" s="11">
        <f t="shared" ca="1" si="35"/>
        <v>1.5521790921689491</v>
      </c>
      <c r="V151" s="11">
        <f t="shared" ca="1" si="36"/>
        <v>0.20481961048734287</v>
      </c>
      <c r="W151" s="11">
        <f t="shared" ca="1" si="36"/>
        <v>5.4518258019133681E-2</v>
      </c>
      <c r="X151" s="11">
        <f t="shared" ca="1" si="36"/>
        <v>0.90465844446458532</v>
      </c>
    </row>
    <row r="152" spans="12:24" x14ac:dyDescent="0.45">
      <c r="L152" s="9">
        <v>148</v>
      </c>
      <c r="M152" s="11">
        <f t="shared" ca="1" si="28"/>
        <v>3.3463198326277075</v>
      </c>
      <c r="N152" s="19">
        <f t="shared" ca="1" si="29"/>
        <v>666.64657697701034</v>
      </c>
      <c r="O152" s="9">
        <f t="shared" ca="1" si="30"/>
        <v>2</v>
      </c>
      <c r="P152" s="9">
        <f t="shared" ca="1" si="31"/>
        <v>6</v>
      </c>
      <c r="Q152" s="11">
        <f t="shared" ca="1" si="32"/>
        <v>5.3276710300113583</v>
      </c>
      <c r="R152" s="11">
        <f t="shared" ca="1" si="33"/>
        <v>10.660858569666852</v>
      </c>
      <c r="S152" s="11">
        <f t="shared" ca="1" si="34"/>
        <v>0.782079708537329</v>
      </c>
      <c r="T152" s="11">
        <f t="shared" ca="1" si="35"/>
        <v>3.9449591724451278</v>
      </c>
      <c r="V152" s="11">
        <f t="shared" ca="1" si="36"/>
        <v>0.782079708537329</v>
      </c>
      <c r="W152" s="11">
        <f t="shared" ca="1" si="36"/>
        <v>0.25510947276346685</v>
      </c>
      <c r="X152" s="11">
        <f t="shared" ca="1" si="36"/>
        <v>0.64156266230354186</v>
      </c>
    </row>
    <row r="153" spans="12:24" x14ac:dyDescent="0.45">
      <c r="L153" s="9">
        <v>149</v>
      </c>
      <c r="M153" s="11">
        <f t="shared" ca="1" si="28"/>
        <v>4.1067785105409094</v>
      </c>
      <c r="N153" s="19">
        <f t="shared" ca="1" si="29"/>
        <v>808.88193540508291</v>
      </c>
      <c r="O153" s="9">
        <f t="shared" ca="1" si="30"/>
        <v>1</v>
      </c>
      <c r="P153" s="9">
        <f t="shared" ca="1" si="31"/>
        <v>2</v>
      </c>
      <c r="Q153" s="11">
        <f t="shared" ca="1" si="32"/>
        <v>10.353963671836327</v>
      </c>
      <c r="R153" s="11">
        <f t="shared" ca="1" si="33"/>
        <v>10.913477996695834</v>
      </c>
      <c r="S153" s="11" t="str">
        <f t="shared" ca="1" si="34"/>
        <v/>
      </c>
      <c r="T153" s="11">
        <f t="shared" ca="1" si="35"/>
        <v>6.9279303637939353</v>
      </c>
      <c r="V153" s="11">
        <f t="shared" ca="1" si="36"/>
        <v>0.82387597506355259</v>
      </c>
      <c r="W153" s="11">
        <f t="shared" ca="1" si="36"/>
        <v>0.71014747787609389</v>
      </c>
      <c r="X153" s="11">
        <f t="shared" ca="1" si="36"/>
        <v>0.48653152726453397</v>
      </c>
    </row>
    <row r="154" spans="12:24" x14ac:dyDescent="0.45">
      <c r="L154" s="9">
        <v>150</v>
      </c>
      <c r="M154" s="11">
        <f t="shared" ca="1" si="28"/>
        <v>1.1805975133724522</v>
      </c>
      <c r="N154" s="19">
        <f t="shared" ca="1" si="29"/>
        <v>425.3795623709658</v>
      </c>
      <c r="O154" s="9">
        <f t="shared" ca="1" si="30"/>
        <v>1</v>
      </c>
      <c r="P154" s="9">
        <f t="shared" ca="1" si="31"/>
        <v>3</v>
      </c>
      <c r="Q154" s="11">
        <f t="shared" ca="1" si="32"/>
        <v>7.7833308745195495</v>
      </c>
      <c r="R154" s="11">
        <f t="shared" ca="1" si="33"/>
        <v>10.003558576585887</v>
      </c>
      <c r="S154" s="11" t="str">
        <f t="shared" ca="1" si="34"/>
        <v/>
      </c>
      <c r="T154" s="11">
        <f t="shared" ca="1" si="35"/>
        <v>3.353414868387139</v>
      </c>
      <c r="V154" s="11">
        <f t="shared" ca="1" si="36"/>
        <v>0.12385730901011283</v>
      </c>
      <c r="W154" s="11">
        <f t="shared" ca="1" si="36"/>
        <v>0.47302497566167656</v>
      </c>
      <c r="X154" s="11">
        <f t="shared" ca="1" si="36"/>
        <v>4.3519832444626094E-2</v>
      </c>
    </row>
    <row r="155" spans="12:24" x14ac:dyDescent="0.45">
      <c r="L155" s="9">
        <v>151</v>
      </c>
      <c r="M155" s="11">
        <f t="shared" ca="1" si="28"/>
        <v>9.337619025971625</v>
      </c>
      <c r="N155" s="19">
        <f t="shared" ca="1" si="29"/>
        <v>557.53165917667968</v>
      </c>
      <c r="O155" s="9">
        <f t="shared" ca="1" si="30"/>
        <v>3</v>
      </c>
      <c r="P155" s="9">
        <f t="shared" ca="1" si="31"/>
        <v>1</v>
      </c>
      <c r="Q155" s="11">
        <f t="shared" ca="1" si="32"/>
        <v>5.1890677982226086</v>
      </c>
      <c r="R155" s="11">
        <f t="shared" ca="1" si="33"/>
        <v>9.1979565480577676</v>
      </c>
      <c r="S155" s="11">
        <f t="shared" ca="1" si="34"/>
        <v>0.83624874218290068</v>
      </c>
      <c r="T155" s="11">
        <f t="shared" ca="1" si="35"/>
        <v>1.2751718273067094</v>
      </c>
      <c r="V155" s="11">
        <f t="shared" ca="1" si="36"/>
        <v>0.83624874218290068</v>
      </c>
      <c r="W155" s="11">
        <f t="shared" ca="1" si="36"/>
        <v>0.22005519746552682</v>
      </c>
      <c r="X155" s="11">
        <f t="shared" ca="1" si="36"/>
        <v>7.1504234894309238E-2</v>
      </c>
    </row>
    <row r="156" spans="12:24" x14ac:dyDescent="0.45">
      <c r="L156" s="9">
        <v>152</v>
      </c>
      <c r="M156" s="11">
        <f t="shared" ca="1" si="28"/>
        <v>1.5753658080706348</v>
      </c>
      <c r="N156" s="19">
        <f t="shared" ca="1" si="29"/>
        <v>375.06167375647414</v>
      </c>
      <c r="O156" s="9">
        <f t="shared" ca="1" si="30"/>
        <v>2</v>
      </c>
      <c r="P156" s="9">
        <f t="shared" ca="1" si="31"/>
        <v>5</v>
      </c>
      <c r="Q156" s="11">
        <f t="shared" ca="1" si="32"/>
        <v>8.1835738710968648</v>
      </c>
      <c r="R156" s="11">
        <f t="shared" ca="1" si="33"/>
        <v>9.2735796514225228</v>
      </c>
      <c r="S156" s="11">
        <f t="shared" ca="1" si="34"/>
        <v>0.40993778656889934</v>
      </c>
      <c r="T156" s="11">
        <f t="shared" ca="1" si="35"/>
        <v>3.1035266008966884</v>
      </c>
      <c r="V156" s="11">
        <f t="shared" ca="1" si="36"/>
        <v>0.40993778656889934</v>
      </c>
      <c r="W156" s="11">
        <f t="shared" ca="1" si="36"/>
        <v>0.11921930298507766</v>
      </c>
      <c r="X156" s="11">
        <f t="shared" ca="1" si="36"/>
        <v>0.64618921025443821</v>
      </c>
    </row>
    <row r="157" spans="12:24" x14ac:dyDescent="0.45">
      <c r="L157" s="9">
        <v>153</v>
      </c>
      <c r="M157" s="11">
        <f t="shared" ca="1" si="28"/>
        <v>9.5640208518081575</v>
      </c>
      <c r="N157" s="19">
        <f t="shared" ca="1" si="29"/>
        <v>579.55593238205472</v>
      </c>
      <c r="O157" s="9">
        <f t="shared" ca="1" si="30"/>
        <v>1</v>
      </c>
      <c r="P157" s="9">
        <f t="shared" ca="1" si="31"/>
        <v>1</v>
      </c>
      <c r="Q157" s="11">
        <f t="shared" ca="1" si="32"/>
        <v>7.2493547542312324</v>
      </c>
      <c r="R157" s="11">
        <f t="shared" ca="1" si="33"/>
        <v>13.709267431554757</v>
      </c>
      <c r="S157" s="11" t="str">
        <f t="shared" ca="1" si="34"/>
        <v/>
      </c>
      <c r="T157" s="11">
        <f t="shared" ca="1" si="35"/>
        <v>5.7615627626033081</v>
      </c>
      <c r="V157" s="11">
        <f t="shared" ca="1" si="36"/>
        <v>0.86789512314423334</v>
      </c>
      <c r="W157" s="11">
        <f t="shared" ca="1" si="36"/>
        <v>0.58391062239728408</v>
      </c>
      <c r="X157" s="11">
        <f t="shared" ca="1" si="36"/>
        <v>0.72332177460397262</v>
      </c>
    </row>
    <row r="158" spans="12:24" x14ac:dyDescent="0.45">
      <c r="L158" s="9">
        <v>154</v>
      </c>
      <c r="M158" s="11">
        <f t="shared" ca="1" si="28"/>
        <v>6.5596098491278019</v>
      </c>
      <c r="N158" s="19">
        <f t="shared" ca="1" si="29"/>
        <v>583.51603705197783</v>
      </c>
      <c r="O158" s="9">
        <f t="shared" ca="1" si="30"/>
        <v>1</v>
      </c>
      <c r="P158" s="9">
        <f t="shared" ca="1" si="31"/>
        <v>1</v>
      </c>
      <c r="Q158" s="11">
        <f t="shared" ca="1" si="32"/>
        <v>2.9158312300399003</v>
      </c>
      <c r="R158" s="11">
        <f t="shared" ca="1" si="33"/>
        <v>10.384216847175249</v>
      </c>
      <c r="S158" s="11">
        <f t="shared" ca="1" si="34"/>
        <v>0.77282059745267173</v>
      </c>
      <c r="T158" s="11">
        <f t="shared" ca="1" si="35"/>
        <v>1.5720736108254192</v>
      </c>
      <c r="V158" s="11">
        <f t="shared" ca="1" si="36"/>
        <v>0.77282059745267173</v>
      </c>
      <c r="W158" s="11">
        <f t="shared" ca="1" si="36"/>
        <v>0.66000680152229729</v>
      </c>
      <c r="X158" s="11">
        <f t="shared" ca="1" si="36"/>
        <v>0.50734894731548341</v>
      </c>
    </row>
    <row r="159" spans="12:24" x14ac:dyDescent="0.45">
      <c r="L159" s="9">
        <v>155</v>
      </c>
      <c r="M159" s="11">
        <f t="shared" ca="1" si="28"/>
        <v>4.6315261787470225</v>
      </c>
      <c r="N159" s="19">
        <f t="shared" ca="1" si="29"/>
        <v>418.61825326378897</v>
      </c>
      <c r="O159" s="9">
        <f t="shared" ca="1" si="30"/>
        <v>1</v>
      </c>
      <c r="P159" s="9">
        <f t="shared" ca="1" si="31"/>
        <v>2</v>
      </c>
      <c r="Q159" s="11">
        <f t="shared" ca="1" si="32"/>
        <v>2.8744140586756877</v>
      </c>
      <c r="R159" s="11">
        <f t="shared" ca="1" si="33"/>
        <v>7.0845421994205644</v>
      </c>
      <c r="S159" s="11" t="str">
        <f t="shared" ca="1" si="34"/>
        <v/>
      </c>
      <c r="T159" s="11">
        <f t="shared" ca="1" si="35"/>
        <v>1.1122578326695498</v>
      </c>
      <c r="V159" s="11">
        <f t="shared" ca="1" si="36"/>
        <v>0.97318900893632598</v>
      </c>
      <c r="W159" s="11">
        <f t="shared" ca="1" si="36"/>
        <v>0.7996818183518728</v>
      </c>
      <c r="X159" s="11">
        <f t="shared" ca="1" si="36"/>
        <v>0.39684757920588842</v>
      </c>
    </row>
    <row r="160" spans="12:24" x14ac:dyDescent="0.45">
      <c r="L160" s="9">
        <v>156</v>
      </c>
      <c r="M160" s="11">
        <f t="shared" ca="1" si="28"/>
        <v>0.35753161263041761</v>
      </c>
      <c r="N160" s="19">
        <f t="shared" ca="1" si="29"/>
        <v>1812.7939223317903</v>
      </c>
      <c r="O160" s="9">
        <f t="shared" ca="1" si="30"/>
        <v>6</v>
      </c>
      <c r="P160" s="9">
        <f t="shared" ca="1" si="31"/>
        <v>4</v>
      </c>
      <c r="Q160" s="11">
        <f t="shared" ca="1" si="32"/>
        <v>8.9286640410800171</v>
      </c>
      <c r="R160" s="11">
        <f t="shared" ca="1" si="33"/>
        <v>9.9735461569858046</v>
      </c>
      <c r="S160" s="11" t="str">
        <f t="shared" ca="1" si="34"/>
        <v/>
      </c>
      <c r="T160" s="11">
        <f t="shared" ca="1" si="35"/>
        <v>1.018362700900771</v>
      </c>
      <c r="V160" s="11">
        <f t="shared" ca="1" si="36"/>
        <v>5.0466794264550696E-2</v>
      </c>
      <c r="W160" s="11">
        <f t="shared" ca="1" si="36"/>
        <v>0.97448413735276596</v>
      </c>
      <c r="X160" s="11">
        <f t="shared" ca="1" si="36"/>
        <v>0.83587837846230051</v>
      </c>
    </row>
    <row r="161" spans="12:24" x14ac:dyDescent="0.45">
      <c r="L161" s="9">
        <v>157</v>
      </c>
      <c r="M161" s="11">
        <f t="shared" ca="1" si="28"/>
        <v>8.1860341828163659</v>
      </c>
      <c r="N161" s="19">
        <f t="shared" ca="1" si="29"/>
        <v>851.36241689812857</v>
      </c>
      <c r="O161" s="9">
        <f t="shared" ca="1" si="30"/>
        <v>1</v>
      </c>
      <c r="P161" s="9">
        <f t="shared" ca="1" si="31"/>
        <v>2</v>
      </c>
      <c r="Q161" s="11">
        <f t="shared" ca="1" si="32"/>
        <v>8.5537978472948168</v>
      </c>
      <c r="R161" s="11">
        <f t="shared" ca="1" si="33"/>
        <v>8.7106148635128093</v>
      </c>
      <c r="S161" s="11">
        <f t="shared" ca="1" si="34"/>
        <v>0.48989265114979053</v>
      </c>
      <c r="T161" s="11">
        <f t="shared" ca="1" si="35"/>
        <v>3.1822156999795324</v>
      </c>
      <c r="V161" s="11">
        <f t="shared" ca="1" si="36"/>
        <v>0.48989265114979053</v>
      </c>
      <c r="W161" s="11">
        <f t="shared" ca="1" si="36"/>
        <v>0.41256244787023488</v>
      </c>
      <c r="X161" s="11">
        <f t="shared" ca="1" si="36"/>
        <v>0.10244104139889043</v>
      </c>
    </row>
    <row r="162" spans="12:24" x14ac:dyDescent="0.45">
      <c r="L162" s="9">
        <v>158</v>
      </c>
      <c r="M162" s="11">
        <f t="shared" ca="1" si="28"/>
        <v>16.199567751796408</v>
      </c>
      <c r="N162" s="19">
        <f t="shared" ca="1" si="29"/>
        <v>307.72648997973562</v>
      </c>
      <c r="O162" s="9">
        <f t="shared" ca="1" si="30"/>
        <v>2</v>
      </c>
      <c r="P162" s="9">
        <f t="shared" ca="1" si="31"/>
        <v>4</v>
      </c>
      <c r="Q162" s="11">
        <f t="shared" ca="1" si="32"/>
        <v>3.9666753421530854</v>
      </c>
      <c r="R162" s="11">
        <f t="shared" ca="1" si="33"/>
        <v>11.341954601733891</v>
      </c>
      <c r="S162" s="11">
        <f t="shared" ca="1" si="34"/>
        <v>0.50449622066774535</v>
      </c>
      <c r="T162" s="11">
        <f t="shared" ca="1" si="35"/>
        <v>2.9743085357393753</v>
      </c>
      <c r="V162" s="11">
        <f t="shared" ca="1" si="36"/>
        <v>0.50449622066774535</v>
      </c>
      <c r="W162" s="11">
        <f t="shared" ca="1" si="36"/>
        <v>0.79988627953370361</v>
      </c>
      <c r="X162" s="11">
        <f t="shared" ca="1" si="36"/>
        <v>0.38692276328572051</v>
      </c>
    </row>
    <row r="163" spans="12:24" x14ac:dyDescent="0.45">
      <c r="L163" s="9">
        <v>159</v>
      </c>
      <c r="M163" s="11">
        <f t="shared" ca="1" si="28"/>
        <v>2.0038913966067165E-3</v>
      </c>
      <c r="N163" s="19">
        <f t="shared" ca="1" si="29"/>
        <v>744.06718804194736</v>
      </c>
      <c r="O163" s="9">
        <f t="shared" ca="1" si="30"/>
        <v>1</v>
      </c>
      <c r="P163" s="9">
        <f t="shared" ca="1" si="31"/>
        <v>5</v>
      </c>
      <c r="Q163" s="11">
        <f t="shared" ca="1" si="32"/>
        <v>3.0452953169346078</v>
      </c>
      <c r="R163" s="11">
        <f t="shared" ca="1" si="33"/>
        <v>11.233625319592273</v>
      </c>
      <c r="S163" s="11">
        <f t="shared" ca="1" si="34"/>
        <v>0.54452643462723815</v>
      </c>
      <c r="T163" s="11">
        <f t="shared" ca="1" si="35"/>
        <v>1.6829101235917601</v>
      </c>
      <c r="V163" s="11">
        <f t="shared" ca="1" si="36"/>
        <v>0.54452643462723815</v>
      </c>
      <c r="W163" s="11">
        <f t="shared" ca="1" si="36"/>
        <v>0.87025572656137606</v>
      </c>
      <c r="X163" s="11">
        <f t="shared" ca="1" si="36"/>
        <v>0.32250237414848049</v>
      </c>
    </row>
    <row r="164" spans="12:24" x14ac:dyDescent="0.45">
      <c r="L164" s="9">
        <v>160</v>
      </c>
      <c r="M164" s="11">
        <f t="shared" ca="1" si="28"/>
        <v>6.8329559957237258</v>
      </c>
      <c r="N164" s="19">
        <f t="shared" ca="1" si="29"/>
        <v>350.02302770792943</v>
      </c>
      <c r="O164" s="9">
        <f t="shared" ca="1" si="30"/>
        <v>1</v>
      </c>
      <c r="P164" s="9">
        <f t="shared" ca="1" si="31"/>
        <v>4</v>
      </c>
      <c r="Q164" s="11">
        <f t="shared" ca="1" si="32"/>
        <v>2.9602524829001124</v>
      </c>
      <c r="R164" s="11">
        <f t="shared" ca="1" si="33"/>
        <v>6.0359097475030197</v>
      </c>
      <c r="S164" s="11">
        <f t="shared" ca="1" si="34"/>
        <v>0.63904097001695925</v>
      </c>
      <c r="T164" s="11">
        <f t="shared" ca="1" si="35"/>
        <v>3.8261221609353107</v>
      </c>
      <c r="V164" s="11">
        <f t="shared" ca="1" si="36"/>
        <v>0.63904097001695925</v>
      </c>
      <c r="W164" s="11">
        <f t="shared" ca="1" si="36"/>
        <v>0.25868579361027044</v>
      </c>
      <c r="X164" s="11">
        <f t="shared" ca="1" si="36"/>
        <v>0.3792474204998284</v>
      </c>
    </row>
    <row r="165" spans="12:24" x14ac:dyDescent="0.45">
      <c r="L165" s="9">
        <v>161</v>
      </c>
      <c r="M165" s="11">
        <f t="shared" ca="1" si="28"/>
        <v>1.1510273639687412</v>
      </c>
      <c r="N165" s="19">
        <f t="shared" ca="1" si="29"/>
        <v>442.16225447200515</v>
      </c>
      <c r="O165" s="9">
        <f t="shared" ca="1" si="30"/>
        <v>1</v>
      </c>
      <c r="P165" s="9">
        <f t="shared" ca="1" si="31"/>
        <v>5</v>
      </c>
      <c r="Q165" s="11">
        <f t="shared" ca="1" si="32"/>
        <v>4.7731700913555448</v>
      </c>
      <c r="R165" s="11">
        <f t="shared" ca="1" si="33"/>
        <v>10.819874251056975</v>
      </c>
      <c r="S165" s="11">
        <f t="shared" ca="1" si="34"/>
        <v>0.79880553656824216</v>
      </c>
      <c r="T165" s="11">
        <f t="shared" ca="1" si="35"/>
        <v>0.12400782153352612</v>
      </c>
      <c r="V165" s="11">
        <f t="shared" ref="V165:X184" ca="1" si="37">RAND()</f>
        <v>0.79880553656824216</v>
      </c>
      <c r="W165" s="11">
        <f t="shared" ca="1" si="37"/>
        <v>0.37471887653907487</v>
      </c>
      <c r="X165" s="11">
        <f t="shared" ca="1" si="37"/>
        <v>0.58277314950656878</v>
      </c>
    </row>
    <row r="166" spans="12:24" x14ac:dyDescent="0.45">
      <c r="L166" s="9">
        <v>162</v>
      </c>
      <c r="M166" s="11">
        <f t="shared" ca="1" si="28"/>
        <v>12.431775238234192</v>
      </c>
      <c r="N166" s="19">
        <f t="shared" ca="1" si="29"/>
        <v>384.08075876014863</v>
      </c>
      <c r="O166" s="9">
        <f t="shared" ca="1" si="30"/>
        <v>1</v>
      </c>
      <c r="P166" s="9">
        <f t="shared" ca="1" si="31"/>
        <v>4</v>
      </c>
      <c r="Q166" s="11">
        <f t="shared" ca="1" si="32"/>
        <v>6.6820385491558723</v>
      </c>
      <c r="R166" s="11">
        <f t="shared" ca="1" si="33"/>
        <v>9.7975661455872789</v>
      </c>
      <c r="S166" s="11">
        <f t="shared" ca="1" si="34"/>
        <v>0.31395758454916811</v>
      </c>
      <c r="T166" s="11">
        <f t="shared" ca="1" si="35"/>
        <v>16.357262131425088</v>
      </c>
      <c r="V166" s="11">
        <f t="shared" ca="1" si="37"/>
        <v>0.31395758454916811</v>
      </c>
      <c r="W166" s="11">
        <f t="shared" ca="1" si="37"/>
        <v>0.1585923758214256</v>
      </c>
      <c r="X166" s="11">
        <f t="shared" ca="1" si="37"/>
        <v>0.96326735981014633</v>
      </c>
    </row>
    <row r="167" spans="12:24" x14ac:dyDescent="0.45">
      <c r="L167" s="9">
        <v>163</v>
      </c>
      <c r="M167" s="11">
        <f t="shared" ca="1" si="28"/>
        <v>0.72850702225951691</v>
      </c>
      <c r="N167" s="19">
        <f t="shared" ca="1" si="29"/>
        <v>1050.2259656958411</v>
      </c>
      <c r="O167" s="9">
        <f t="shared" ca="1" si="30"/>
        <v>1</v>
      </c>
      <c r="P167" s="9">
        <f t="shared" ca="1" si="31"/>
        <v>6</v>
      </c>
      <c r="Q167" s="11">
        <f t="shared" ca="1" si="32"/>
        <v>5.4216960338952696</v>
      </c>
      <c r="R167" s="11">
        <f t="shared" ca="1" si="33"/>
        <v>9.4773589083709791</v>
      </c>
      <c r="S167" s="11">
        <f t="shared" ca="1" si="34"/>
        <v>0.62072586994693879</v>
      </c>
      <c r="T167" s="11">
        <f t="shared" ca="1" si="35"/>
        <v>6.2560472698228011</v>
      </c>
      <c r="V167" s="11">
        <f t="shared" ca="1" si="37"/>
        <v>0.62072586994693879</v>
      </c>
      <c r="W167" s="11">
        <f t="shared" ca="1" si="37"/>
        <v>0.32967561577586024</v>
      </c>
      <c r="X167" s="11">
        <f t="shared" ca="1" si="37"/>
        <v>0.38460974930065295</v>
      </c>
    </row>
    <row r="168" spans="12:24" x14ac:dyDescent="0.45">
      <c r="L168" s="9">
        <v>164</v>
      </c>
      <c r="M168" s="11">
        <f t="shared" ca="1" si="28"/>
        <v>1.3648216000049347</v>
      </c>
      <c r="N168" s="19">
        <f t="shared" ca="1" si="29"/>
        <v>623.81846568338847</v>
      </c>
      <c r="O168" s="9">
        <f t="shared" ca="1" si="30"/>
        <v>2</v>
      </c>
      <c r="P168" s="9">
        <f t="shared" ca="1" si="31"/>
        <v>3</v>
      </c>
      <c r="Q168" s="11">
        <f t="shared" ca="1" si="32"/>
        <v>4.4770999379512171</v>
      </c>
      <c r="R168" s="11">
        <f t="shared" ca="1" si="33"/>
        <v>11.770618146197325</v>
      </c>
      <c r="S168" s="11" t="str">
        <f t="shared" ca="1" si="34"/>
        <v/>
      </c>
      <c r="T168" s="11">
        <f t="shared" ca="1" si="35"/>
        <v>2.3512830095460893</v>
      </c>
      <c r="V168" s="11">
        <f t="shared" ca="1" si="37"/>
        <v>0.25713859293252717</v>
      </c>
      <c r="W168" s="11">
        <f t="shared" ca="1" si="37"/>
        <v>0.95108445859829471</v>
      </c>
      <c r="X168" s="11">
        <f t="shared" ca="1" si="37"/>
        <v>0.51050842087634574</v>
      </c>
    </row>
    <row r="169" spans="12:24" x14ac:dyDescent="0.45">
      <c r="L169" s="9">
        <v>165</v>
      </c>
      <c r="M169" s="11">
        <f t="shared" ca="1" si="28"/>
        <v>4.376975107782064</v>
      </c>
      <c r="N169" s="19">
        <f t="shared" ca="1" si="29"/>
        <v>1283.5268595140262</v>
      </c>
      <c r="O169" s="9">
        <f t="shared" ca="1" si="30"/>
        <v>1</v>
      </c>
      <c r="P169" s="9">
        <f t="shared" ca="1" si="31"/>
        <v>2</v>
      </c>
      <c r="Q169" s="11">
        <f t="shared" ca="1" si="32"/>
        <v>8.1057102628586417</v>
      </c>
      <c r="R169" s="11">
        <f t="shared" ca="1" si="33"/>
        <v>12.509709519543641</v>
      </c>
      <c r="S169" s="11" t="str">
        <f t="shared" ca="1" si="34"/>
        <v/>
      </c>
      <c r="T169" s="11">
        <f t="shared" ca="1" si="35"/>
        <v>0.70780168505914154</v>
      </c>
      <c r="V169" s="11">
        <f t="shared" ca="1" si="37"/>
        <v>0.71236684648862669</v>
      </c>
      <c r="W169" s="11">
        <f t="shared" ca="1" si="37"/>
        <v>0.84784932740300623</v>
      </c>
      <c r="X169" s="11">
        <f t="shared" ca="1" si="37"/>
        <v>0.58081076624348515</v>
      </c>
    </row>
    <row r="170" spans="12:24" x14ac:dyDescent="0.45">
      <c r="L170" s="9">
        <v>166</v>
      </c>
      <c r="M170" s="11">
        <f t="shared" ca="1" si="28"/>
        <v>11.509594259548896</v>
      </c>
      <c r="N170" s="19">
        <f t="shared" ca="1" si="29"/>
        <v>1012.1569493822224</v>
      </c>
      <c r="O170" s="9">
        <f t="shared" ca="1" si="30"/>
        <v>1</v>
      </c>
      <c r="P170" s="9">
        <f t="shared" ca="1" si="31"/>
        <v>4</v>
      </c>
      <c r="Q170" s="11">
        <f t="shared" ca="1" si="32"/>
        <v>7.2865777354947703</v>
      </c>
      <c r="R170" s="11">
        <f t="shared" ca="1" si="33"/>
        <v>9.0586586662636197</v>
      </c>
      <c r="S170" s="11">
        <f t="shared" ca="1" si="34"/>
        <v>0.76587724359748266</v>
      </c>
      <c r="T170" s="11">
        <f t="shared" ca="1" si="35"/>
        <v>8.5566986236250628E-2</v>
      </c>
      <c r="V170" s="11">
        <f t="shared" ca="1" si="37"/>
        <v>0.76587724359748266</v>
      </c>
      <c r="W170" s="11">
        <f t="shared" ca="1" si="37"/>
        <v>3.2984581432360605E-2</v>
      </c>
      <c r="X170" s="11">
        <f t="shared" ca="1" si="37"/>
        <v>0.15749328319646405</v>
      </c>
    </row>
    <row r="171" spans="12:24" x14ac:dyDescent="0.45">
      <c r="L171" s="9">
        <v>167</v>
      </c>
      <c r="M171" s="11">
        <f t="shared" ca="1" si="28"/>
        <v>0.94717662139572489</v>
      </c>
      <c r="N171" s="19">
        <f t="shared" ca="1" si="29"/>
        <v>840.66058850351283</v>
      </c>
      <c r="O171" s="9">
        <f t="shared" ca="1" si="30"/>
        <v>1</v>
      </c>
      <c r="P171" s="9">
        <f t="shared" ca="1" si="31"/>
        <v>5</v>
      </c>
      <c r="Q171" s="11">
        <f t="shared" ca="1" si="32"/>
        <v>5.0021047076829319</v>
      </c>
      <c r="R171" s="11">
        <f t="shared" ca="1" si="33"/>
        <v>8.6766134924928728</v>
      </c>
      <c r="S171" s="11">
        <f t="shared" ca="1" si="34"/>
        <v>0.7249394227148378</v>
      </c>
      <c r="T171" s="11">
        <f t="shared" ca="1" si="35"/>
        <v>0.14029767964779502</v>
      </c>
      <c r="V171" s="11">
        <f t="shared" ca="1" si="37"/>
        <v>0.7249394227148378</v>
      </c>
      <c r="W171" s="11">
        <f t="shared" ca="1" si="37"/>
        <v>0.4906076404127766</v>
      </c>
      <c r="X171" s="11">
        <f t="shared" ca="1" si="37"/>
        <v>0.55956369622853308</v>
      </c>
    </row>
    <row r="172" spans="12:24" x14ac:dyDescent="0.45">
      <c r="L172" s="9">
        <v>168</v>
      </c>
      <c r="M172" s="11">
        <f t="shared" ca="1" si="28"/>
        <v>2.1495594349470863</v>
      </c>
      <c r="N172" s="19">
        <f t="shared" ca="1" si="29"/>
        <v>1419.3125255534758</v>
      </c>
      <c r="O172" s="9">
        <f t="shared" ca="1" si="30"/>
        <v>1</v>
      </c>
      <c r="P172" s="9">
        <f t="shared" ca="1" si="31"/>
        <v>4</v>
      </c>
      <c r="Q172" s="11">
        <f t="shared" ca="1" si="32"/>
        <v>6.1676302784111385</v>
      </c>
      <c r="R172" s="11">
        <f t="shared" ca="1" si="33"/>
        <v>11.011018552962449</v>
      </c>
      <c r="S172" s="11">
        <f t="shared" ca="1" si="34"/>
        <v>7.848697737692667E-2</v>
      </c>
      <c r="T172" s="11">
        <f t="shared" ca="1" si="35"/>
        <v>1.5453827487881378</v>
      </c>
      <c r="V172" s="11">
        <f t="shared" ca="1" si="37"/>
        <v>7.848697737692667E-2</v>
      </c>
      <c r="W172" s="11">
        <f t="shared" ca="1" si="37"/>
        <v>0.10750681696473863</v>
      </c>
      <c r="X172" s="11">
        <f t="shared" ca="1" si="37"/>
        <v>0.69391904904160628</v>
      </c>
    </row>
    <row r="173" spans="12:24" x14ac:dyDescent="0.45">
      <c r="L173" s="9">
        <v>169</v>
      </c>
      <c r="M173" s="11">
        <f t="shared" ca="1" si="28"/>
        <v>0.18499404267688024</v>
      </c>
      <c r="N173" s="19">
        <f t="shared" ca="1" si="29"/>
        <v>1469.8288556716623</v>
      </c>
      <c r="O173" s="9">
        <f t="shared" ca="1" si="30"/>
        <v>1</v>
      </c>
      <c r="P173" s="9">
        <f t="shared" ca="1" si="31"/>
        <v>1</v>
      </c>
      <c r="Q173" s="11">
        <f t="shared" ca="1" si="32"/>
        <v>2.6899401295402598</v>
      </c>
      <c r="R173" s="11">
        <f t="shared" ca="1" si="33"/>
        <v>10.652804181796133</v>
      </c>
      <c r="S173" s="11" t="str">
        <f t="shared" ca="1" si="34"/>
        <v/>
      </c>
      <c r="T173" s="11">
        <f t="shared" ca="1" si="35"/>
        <v>9.8094371339031206</v>
      </c>
      <c r="V173" s="11">
        <f t="shared" ca="1" si="37"/>
        <v>8.9467313551613858E-2</v>
      </c>
      <c r="W173" s="11">
        <f t="shared" ca="1" si="37"/>
        <v>0.63202415538421652</v>
      </c>
      <c r="X173" s="11">
        <f t="shared" ca="1" si="37"/>
        <v>0.1931394768775645</v>
      </c>
    </row>
    <row r="174" spans="12:24" x14ac:dyDescent="0.45">
      <c r="L174" s="9">
        <v>170</v>
      </c>
      <c r="M174" s="11">
        <f t="shared" ca="1" si="28"/>
        <v>0.74328059122986789</v>
      </c>
      <c r="N174" s="19">
        <f t="shared" ca="1" si="29"/>
        <v>542.94414731380664</v>
      </c>
      <c r="O174" s="9">
        <f t="shared" ca="1" si="30"/>
        <v>2</v>
      </c>
      <c r="P174" s="9">
        <f t="shared" ca="1" si="31"/>
        <v>5</v>
      </c>
      <c r="Q174" s="11">
        <f t="shared" ca="1" si="32"/>
        <v>2.8398351559327302</v>
      </c>
      <c r="R174" s="11">
        <f t="shared" ca="1" si="33"/>
        <v>8.8698567709234624</v>
      </c>
      <c r="S174" s="11">
        <f t="shared" ca="1" si="34"/>
        <v>0.58055049350982912</v>
      </c>
      <c r="T174" s="11">
        <f t="shared" ca="1" si="35"/>
        <v>2.0904664434666413</v>
      </c>
      <c r="V174" s="11">
        <f t="shared" ca="1" si="37"/>
        <v>0.58055049350982912</v>
      </c>
      <c r="W174" s="11">
        <f t="shared" ca="1" si="37"/>
        <v>3.7631683599211763E-2</v>
      </c>
      <c r="X174" s="11">
        <f t="shared" ca="1" si="37"/>
        <v>0.23364896360723086</v>
      </c>
    </row>
    <row r="175" spans="12:24" x14ac:dyDescent="0.45">
      <c r="L175" s="9">
        <v>171</v>
      </c>
      <c r="M175" s="11">
        <f t="shared" ca="1" si="28"/>
        <v>4.0239270420834847</v>
      </c>
      <c r="N175" s="19">
        <f t="shared" ca="1" si="29"/>
        <v>179.46792238907216</v>
      </c>
      <c r="O175" s="9">
        <f t="shared" ca="1" si="30"/>
        <v>1</v>
      </c>
      <c r="P175" s="9">
        <f t="shared" ca="1" si="31"/>
        <v>2</v>
      </c>
      <c r="Q175" s="11">
        <f t="shared" ca="1" si="32"/>
        <v>3.4323052218131087</v>
      </c>
      <c r="R175" s="11">
        <f t="shared" ca="1" si="33"/>
        <v>12.022272625700507</v>
      </c>
      <c r="S175" s="11">
        <f t="shared" ca="1" si="34"/>
        <v>0.71412829429056079</v>
      </c>
      <c r="T175" s="11">
        <f t="shared" ca="1" si="35"/>
        <v>2.7296410932497186</v>
      </c>
      <c r="V175" s="11">
        <f t="shared" ca="1" si="37"/>
        <v>0.71412829429056079</v>
      </c>
      <c r="W175" s="11">
        <f t="shared" ca="1" si="37"/>
        <v>4.7656876912192336E-2</v>
      </c>
      <c r="X175" s="11">
        <f t="shared" ca="1" si="37"/>
        <v>0.13406696156763154</v>
      </c>
    </row>
    <row r="176" spans="12:24" x14ac:dyDescent="0.45">
      <c r="L176" s="9">
        <v>172</v>
      </c>
      <c r="M176" s="11">
        <f t="shared" ca="1" si="28"/>
        <v>0.77325791838867197</v>
      </c>
      <c r="N176" s="19">
        <f t="shared" ca="1" si="29"/>
        <v>851.52113706281443</v>
      </c>
      <c r="O176" s="9">
        <f t="shared" ca="1" si="30"/>
        <v>1</v>
      </c>
      <c r="P176" s="9">
        <f t="shared" ca="1" si="31"/>
        <v>4</v>
      </c>
      <c r="Q176" s="11">
        <f t="shared" ca="1" si="32"/>
        <v>6.2513116928681747</v>
      </c>
      <c r="R176" s="11">
        <f t="shared" ca="1" si="33"/>
        <v>8.0271155211673957</v>
      </c>
      <c r="S176" s="11">
        <f t="shared" ca="1" si="34"/>
        <v>0.4718472763547743</v>
      </c>
      <c r="T176" s="11">
        <f t="shared" ca="1" si="35"/>
        <v>0.376653079493323</v>
      </c>
      <c r="V176" s="11">
        <f t="shared" ca="1" si="37"/>
        <v>0.4718472763547743</v>
      </c>
      <c r="W176" s="11">
        <f t="shared" ca="1" si="37"/>
        <v>0.38877892201261754</v>
      </c>
      <c r="X176" s="11">
        <f t="shared" ca="1" si="37"/>
        <v>0.35562879159241867</v>
      </c>
    </row>
    <row r="177" spans="12:24" x14ac:dyDescent="0.45">
      <c r="L177" s="9">
        <v>173</v>
      </c>
      <c r="M177" s="11">
        <f t="shared" ca="1" si="28"/>
        <v>11.752179056984172</v>
      </c>
      <c r="N177" s="19">
        <f t="shared" ca="1" si="29"/>
        <v>338.00366956059059</v>
      </c>
      <c r="O177" s="9">
        <f t="shared" ca="1" si="30"/>
        <v>1</v>
      </c>
      <c r="P177" s="9">
        <f t="shared" ca="1" si="31"/>
        <v>2</v>
      </c>
      <c r="Q177" s="11">
        <f t="shared" ca="1" si="32"/>
        <v>4.1221743912136333</v>
      </c>
      <c r="R177" s="11">
        <f t="shared" ca="1" si="33"/>
        <v>11.676491488676932</v>
      </c>
      <c r="S177" s="11">
        <f t="shared" ca="1" si="34"/>
        <v>0.45363489670872414</v>
      </c>
      <c r="T177" s="11">
        <f t="shared" ca="1" si="35"/>
        <v>0.47952716654509953</v>
      </c>
      <c r="V177" s="11">
        <f t="shared" ca="1" si="37"/>
        <v>0.45363489670872414</v>
      </c>
      <c r="W177" s="11">
        <f t="shared" ca="1" si="37"/>
        <v>0.94871163666563696</v>
      </c>
      <c r="X177" s="11">
        <f t="shared" ca="1" si="37"/>
        <v>7.1696618962003522E-2</v>
      </c>
    </row>
    <row r="178" spans="12:24" x14ac:dyDescent="0.45">
      <c r="L178" s="9">
        <v>174</v>
      </c>
      <c r="M178" s="11">
        <f t="shared" ca="1" si="28"/>
        <v>5.550820724544983</v>
      </c>
      <c r="N178" s="19">
        <f t="shared" ca="1" si="29"/>
        <v>921.6609496454015</v>
      </c>
      <c r="O178" s="9">
        <f t="shared" ca="1" si="30"/>
        <v>2</v>
      </c>
      <c r="P178" s="9">
        <f t="shared" ca="1" si="31"/>
        <v>2</v>
      </c>
      <c r="Q178" s="11">
        <f t="shared" ca="1" si="32"/>
        <v>17.071427286752854</v>
      </c>
      <c r="R178" s="11">
        <f t="shared" ca="1" si="33"/>
        <v>6.6168341405603766</v>
      </c>
      <c r="S178" s="11" t="str">
        <f t="shared" ca="1" si="34"/>
        <v/>
      </c>
      <c r="T178" s="11">
        <f t="shared" ca="1" si="35"/>
        <v>2.9311033578836945</v>
      </c>
      <c r="V178" s="11">
        <f t="shared" ca="1" si="37"/>
        <v>0.1516815099933253</v>
      </c>
      <c r="W178" s="11">
        <f t="shared" ca="1" si="37"/>
        <v>0.6670444240810709</v>
      </c>
      <c r="X178" s="11">
        <f t="shared" ca="1" si="37"/>
        <v>0.9059426142612893</v>
      </c>
    </row>
    <row r="179" spans="12:24" x14ac:dyDescent="0.45">
      <c r="L179" s="9">
        <v>175</v>
      </c>
      <c r="M179" s="11">
        <f t="shared" ca="1" si="28"/>
        <v>1.5853454739058359</v>
      </c>
      <c r="N179" s="19">
        <f t="shared" ca="1" si="29"/>
        <v>540.97938106078402</v>
      </c>
      <c r="O179" s="9">
        <f t="shared" ca="1" si="30"/>
        <v>1</v>
      </c>
      <c r="P179" s="9">
        <f t="shared" ca="1" si="31"/>
        <v>1</v>
      </c>
      <c r="Q179" s="11">
        <f t="shared" ca="1" si="32"/>
        <v>6.5342539326494817</v>
      </c>
      <c r="R179" s="11">
        <f t="shared" ca="1" si="33"/>
        <v>10.981573004830626</v>
      </c>
      <c r="S179" s="11">
        <f t="shared" ca="1" si="34"/>
        <v>0.43212605423095629</v>
      </c>
      <c r="T179" s="11">
        <f t="shared" ca="1" si="35"/>
        <v>14.531760298341124</v>
      </c>
      <c r="V179" s="11">
        <f t="shared" ca="1" si="37"/>
        <v>0.43212605423095629</v>
      </c>
      <c r="W179" s="11">
        <f t="shared" ca="1" si="37"/>
        <v>0.1932112573456195</v>
      </c>
      <c r="X179" s="11">
        <f t="shared" ca="1" si="37"/>
        <v>0.88719019391140952</v>
      </c>
    </row>
    <row r="180" spans="12:24" x14ac:dyDescent="0.45">
      <c r="L180" s="9">
        <v>176</v>
      </c>
      <c r="M180" s="11">
        <f t="shared" ca="1" si="28"/>
        <v>1.1879986547593748</v>
      </c>
      <c r="N180" s="19">
        <f t="shared" ca="1" si="29"/>
        <v>659.01411542574351</v>
      </c>
      <c r="O180" s="9">
        <f t="shared" ca="1" si="30"/>
        <v>1</v>
      </c>
      <c r="P180" s="9">
        <f t="shared" ca="1" si="31"/>
        <v>7</v>
      </c>
      <c r="Q180" s="11">
        <f t="shared" ca="1" si="32"/>
        <v>6.3630747810238013</v>
      </c>
      <c r="R180" s="11">
        <f t="shared" ca="1" si="33"/>
        <v>9.8700122496244571</v>
      </c>
      <c r="S180" s="11" t="str">
        <f t="shared" ca="1" si="34"/>
        <v/>
      </c>
      <c r="T180" s="11">
        <f t="shared" ca="1" si="35"/>
        <v>8.7918117807057463</v>
      </c>
      <c r="V180" s="11">
        <f t="shared" ca="1" si="37"/>
        <v>0.91115831561604799</v>
      </c>
      <c r="W180" s="11">
        <f t="shared" ca="1" si="37"/>
        <v>0.42879299455406883</v>
      </c>
      <c r="X180" s="11">
        <f t="shared" ca="1" si="37"/>
        <v>0.72658277726250931</v>
      </c>
    </row>
    <row r="181" spans="12:24" x14ac:dyDescent="0.45">
      <c r="L181" s="9">
        <v>177</v>
      </c>
      <c r="M181" s="11">
        <f t="shared" ca="1" si="28"/>
        <v>1.1100969711173962</v>
      </c>
      <c r="N181" s="19">
        <f t="shared" ca="1" si="29"/>
        <v>653.73022869876365</v>
      </c>
      <c r="O181" s="9">
        <f t="shared" ca="1" si="30"/>
        <v>2</v>
      </c>
      <c r="P181" s="9">
        <f t="shared" ca="1" si="31"/>
        <v>3</v>
      </c>
      <c r="Q181" s="11">
        <f t="shared" ca="1" si="32"/>
        <v>6.6530973801536275</v>
      </c>
      <c r="R181" s="11">
        <f t="shared" ca="1" si="33"/>
        <v>9.9941881378406716</v>
      </c>
      <c r="S181" s="11">
        <f t="shared" ca="1" si="34"/>
        <v>0.58877888518966992</v>
      </c>
      <c r="T181" s="11">
        <f t="shared" ca="1" si="35"/>
        <v>9.5545073843921688</v>
      </c>
      <c r="V181" s="11">
        <f t="shared" ca="1" si="37"/>
        <v>0.58877888518966992</v>
      </c>
      <c r="W181" s="11">
        <f t="shared" ca="1" si="37"/>
        <v>0.29855335539647232</v>
      </c>
      <c r="X181" s="11">
        <f t="shared" ca="1" si="37"/>
        <v>0.91407737862040939</v>
      </c>
    </row>
    <row r="182" spans="12:24" x14ac:dyDescent="0.45">
      <c r="L182" s="9">
        <v>178</v>
      </c>
      <c r="M182" s="11">
        <f t="shared" ca="1" si="28"/>
        <v>0.93823213911452363</v>
      </c>
      <c r="N182" s="19">
        <f t="shared" ca="1" si="29"/>
        <v>533.40845993925302</v>
      </c>
      <c r="O182" s="9">
        <f t="shared" ca="1" si="30"/>
        <v>2</v>
      </c>
      <c r="P182" s="9">
        <f t="shared" ca="1" si="31"/>
        <v>3</v>
      </c>
      <c r="Q182" s="11">
        <f t="shared" ca="1" si="32"/>
        <v>9.6815142818366642</v>
      </c>
      <c r="R182" s="11">
        <f t="shared" ca="1" si="33"/>
        <v>12.990624710413611</v>
      </c>
      <c r="S182" s="11">
        <f t="shared" ca="1" si="34"/>
        <v>0.22471273756510513</v>
      </c>
      <c r="T182" s="11">
        <f t="shared" ca="1" si="35"/>
        <v>0.53862751259899699</v>
      </c>
      <c r="V182" s="11">
        <f t="shared" ca="1" si="37"/>
        <v>0.22471273756510513</v>
      </c>
      <c r="W182" s="11">
        <f t="shared" ca="1" si="37"/>
        <v>0.24209639200005029</v>
      </c>
      <c r="X182" s="11">
        <f t="shared" ca="1" si="37"/>
        <v>0.64268738261996061</v>
      </c>
    </row>
    <row r="183" spans="12:24" x14ac:dyDescent="0.45">
      <c r="L183" s="9">
        <v>179</v>
      </c>
      <c r="M183" s="11">
        <f t="shared" ca="1" si="28"/>
        <v>4.9934071897903891</v>
      </c>
      <c r="N183" s="19">
        <f t="shared" ca="1" si="29"/>
        <v>596.41551963668769</v>
      </c>
      <c r="O183" s="9">
        <f t="shared" ca="1" si="30"/>
        <v>3</v>
      </c>
      <c r="P183" s="9">
        <f t="shared" ca="1" si="31"/>
        <v>3</v>
      </c>
      <c r="Q183" s="11">
        <f t="shared" ca="1" si="32"/>
        <v>7.5169280567168082</v>
      </c>
      <c r="R183" s="11">
        <f t="shared" ca="1" si="33"/>
        <v>11.674078074146095</v>
      </c>
      <c r="S183" s="11" t="str">
        <f t="shared" ca="1" si="34"/>
        <v/>
      </c>
      <c r="T183" s="11">
        <f t="shared" ca="1" si="35"/>
        <v>5.254062948642968</v>
      </c>
      <c r="V183" s="11">
        <f t="shared" ca="1" si="37"/>
        <v>0.91172043917476142</v>
      </c>
      <c r="W183" s="11">
        <f t="shared" ca="1" si="37"/>
        <v>0.43601766682003595</v>
      </c>
      <c r="X183" s="11">
        <f t="shared" ca="1" si="37"/>
        <v>0.84715270473463655</v>
      </c>
    </row>
    <row r="184" spans="12:24" x14ac:dyDescent="0.45">
      <c r="L184" s="9">
        <v>180</v>
      </c>
      <c r="M184" s="11">
        <f t="shared" ca="1" si="28"/>
        <v>1.7384881694974019</v>
      </c>
      <c r="N184" s="19">
        <f t="shared" ca="1" si="29"/>
        <v>1262.6069810307488</v>
      </c>
      <c r="O184" s="9">
        <f t="shared" ca="1" si="30"/>
        <v>3</v>
      </c>
      <c r="P184" s="9">
        <f t="shared" ca="1" si="31"/>
        <v>2</v>
      </c>
      <c r="Q184" s="11">
        <f t="shared" ca="1" si="32"/>
        <v>7.9977760917938108</v>
      </c>
      <c r="R184" s="11">
        <f t="shared" ca="1" si="33"/>
        <v>6.8128401294673893</v>
      </c>
      <c r="S184" s="11">
        <f t="shared" ca="1" si="34"/>
        <v>0.53746841797448175</v>
      </c>
      <c r="T184" s="11">
        <f t="shared" ca="1" si="35"/>
        <v>0.65801143195297107</v>
      </c>
      <c r="V184" s="11">
        <f t="shared" ca="1" si="37"/>
        <v>0.53746841797448175</v>
      </c>
      <c r="W184" s="11">
        <f t="shared" ca="1" si="37"/>
        <v>0.49819439645461239</v>
      </c>
      <c r="X184" s="11">
        <f t="shared" ca="1" si="37"/>
        <v>0.32219960686852078</v>
      </c>
    </row>
    <row r="185" spans="12:24" x14ac:dyDescent="0.45">
      <c r="L185" s="9">
        <v>181</v>
      </c>
      <c r="M185" s="11">
        <f t="shared" ca="1" si="28"/>
        <v>11.430650505453901</v>
      </c>
      <c r="N185" s="19">
        <f t="shared" ca="1" si="29"/>
        <v>798.81660168695748</v>
      </c>
      <c r="O185" s="9">
        <f t="shared" ca="1" si="30"/>
        <v>1</v>
      </c>
      <c r="P185" s="9">
        <f t="shared" ca="1" si="31"/>
        <v>0</v>
      </c>
      <c r="Q185" s="11">
        <f t="shared" ca="1" si="32"/>
        <v>4.7666973015853333</v>
      </c>
      <c r="R185" s="11">
        <f t="shared" ca="1" si="33"/>
        <v>10.593041470701456</v>
      </c>
      <c r="S185" s="11" t="str">
        <f t="shared" ca="1" si="34"/>
        <v/>
      </c>
      <c r="T185" s="11">
        <f t="shared" ca="1" si="35"/>
        <v>0.64889500983089532</v>
      </c>
      <c r="V185" s="11">
        <f t="shared" ref="V185:X204" ca="1" si="38">RAND()</f>
        <v>0.99205111258621659</v>
      </c>
      <c r="W185" s="11">
        <f t="shared" ca="1" si="38"/>
        <v>0.70352445278424802</v>
      </c>
      <c r="X185" s="11">
        <f t="shared" ca="1" si="38"/>
        <v>0.68266491898880288</v>
      </c>
    </row>
    <row r="186" spans="12:24" x14ac:dyDescent="0.45">
      <c r="L186" s="9">
        <v>182</v>
      </c>
      <c r="M186" s="11">
        <f t="shared" ca="1" si="28"/>
        <v>0.39590318562286841</v>
      </c>
      <c r="N186" s="19">
        <f t="shared" ca="1" si="29"/>
        <v>475.15494030324697</v>
      </c>
      <c r="O186" s="9">
        <f t="shared" ca="1" si="30"/>
        <v>1</v>
      </c>
      <c r="P186" s="9">
        <f t="shared" ca="1" si="31"/>
        <v>2</v>
      </c>
      <c r="Q186" s="11">
        <f t="shared" ca="1" si="32"/>
        <v>5.4566690628703398</v>
      </c>
      <c r="R186" s="11">
        <f t="shared" ca="1" si="33"/>
        <v>9.4461254571778319</v>
      </c>
      <c r="S186" s="11" t="str">
        <f t="shared" ca="1" si="34"/>
        <v/>
      </c>
      <c r="T186" s="11">
        <f t="shared" ca="1" si="35"/>
        <v>1.5159215099239733</v>
      </c>
      <c r="V186" s="11">
        <f t="shared" ca="1" si="38"/>
        <v>0.2267507901101542</v>
      </c>
      <c r="W186" s="11">
        <f t="shared" ca="1" si="38"/>
        <v>0.7790509046852353</v>
      </c>
      <c r="X186" s="11">
        <f t="shared" ca="1" si="38"/>
        <v>0.62698219792431387</v>
      </c>
    </row>
    <row r="187" spans="12:24" x14ac:dyDescent="0.45">
      <c r="L187" s="9">
        <v>183</v>
      </c>
      <c r="M187" s="11">
        <f t="shared" ca="1" si="28"/>
        <v>3.714453584552607</v>
      </c>
      <c r="N187" s="19">
        <f t="shared" ca="1" si="29"/>
        <v>569.77371497472063</v>
      </c>
      <c r="O187" s="9">
        <f t="shared" ca="1" si="30"/>
        <v>1</v>
      </c>
      <c r="P187" s="9">
        <f t="shared" ca="1" si="31"/>
        <v>4</v>
      </c>
      <c r="Q187" s="11">
        <f t="shared" ca="1" si="32"/>
        <v>9.0196308551232729</v>
      </c>
      <c r="R187" s="11">
        <f t="shared" ca="1" si="33"/>
        <v>12.743325815002773</v>
      </c>
      <c r="S187" s="11">
        <f t="shared" ca="1" si="34"/>
        <v>0.69371336954466889</v>
      </c>
      <c r="T187" s="11">
        <f t="shared" ca="1" si="35"/>
        <v>3.59757222173798</v>
      </c>
      <c r="V187" s="11">
        <f t="shared" ca="1" si="38"/>
        <v>0.69371336954466889</v>
      </c>
      <c r="W187" s="11">
        <f t="shared" ca="1" si="38"/>
        <v>0.55885444393294292</v>
      </c>
      <c r="X187" s="11">
        <f t="shared" ca="1" si="38"/>
        <v>5.0163185995539927E-2</v>
      </c>
    </row>
    <row r="188" spans="12:24" x14ac:dyDescent="0.45">
      <c r="L188" s="9">
        <v>184</v>
      </c>
      <c r="M188" s="11">
        <f t="shared" ca="1" si="28"/>
        <v>1.2226450786003089</v>
      </c>
      <c r="N188" s="19">
        <f t="shared" ca="1" si="29"/>
        <v>173.61665950599166</v>
      </c>
      <c r="O188" s="9">
        <f t="shared" ca="1" si="30"/>
        <v>1</v>
      </c>
      <c r="P188" s="9">
        <f t="shared" ca="1" si="31"/>
        <v>6</v>
      </c>
      <c r="Q188" s="11">
        <f t="shared" ca="1" si="32"/>
        <v>11.880388075325897</v>
      </c>
      <c r="R188" s="11">
        <f t="shared" ca="1" si="33"/>
        <v>6.4994266654005006</v>
      </c>
      <c r="S188" s="11" t="str">
        <f t="shared" ca="1" si="34"/>
        <v/>
      </c>
      <c r="T188" s="11">
        <f t="shared" ca="1" si="35"/>
        <v>1.8969114626805956</v>
      </c>
      <c r="V188" s="11">
        <f t="shared" ca="1" si="38"/>
        <v>4.6966690508328357E-2</v>
      </c>
      <c r="W188" s="11">
        <f t="shared" ca="1" si="38"/>
        <v>0.64730716546218703</v>
      </c>
      <c r="X188" s="11">
        <f t="shared" ca="1" si="38"/>
        <v>0.87689716471382462</v>
      </c>
    </row>
    <row r="189" spans="12:24" x14ac:dyDescent="0.45">
      <c r="L189" s="9">
        <v>185</v>
      </c>
      <c r="M189" s="11">
        <f t="shared" ca="1" si="28"/>
        <v>0.75126938698258117</v>
      </c>
      <c r="N189" s="19">
        <f t="shared" ca="1" si="29"/>
        <v>742.96753254312716</v>
      </c>
      <c r="O189" s="9">
        <f t="shared" ca="1" si="30"/>
        <v>1</v>
      </c>
      <c r="P189" s="9">
        <f t="shared" ca="1" si="31"/>
        <v>4</v>
      </c>
      <c r="Q189" s="11">
        <f t="shared" ca="1" si="32"/>
        <v>2.9038456771481349</v>
      </c>
      <c r="R189" s="11">
        <f t="shared" ca="1" si="33"/>
        <v>9.8114647330169529</v>
      </c>
      <c r="S189" s="11">
        <f t="shared" ca="1" si="34"/>
        <v>0.91879307151106138</v>
      </c>
      <c r="T189" s="11">
        <f t="shared" ca="1" si="35"/>
        <v>0.21171293902510188</v>
      </c>
      <c r="V189" s="11">
        <f t="shared" ca="1" si="38"/>
        <v>0.91879307151106138</v>
      </c>
      <c r="W189" s="11">
        <f t="shared" ca="1" si="38"/>
        <v>0.23021432959523203</v>
      </c>
      <c r="X189" s="11">
        <f t="shared" ca="1" si="38"/>
        <v>1.3734104430013661E-2</v>
      </c>
    </row>
    <row r="190" spans="12:24" x14ac:dyDescent="0.45">
      <c r="L190" s="9">
        <v>186</v>
      </c>
      <c r="M190" s="11">
        <f t="shared" ca="1" si="28"/>
        <v>4.8819506029202593</v>
      </c>
      <c r="N190" s="19">
        <f t="shared" ca="1" si="29"/>
        <v>1966.4635011176704</v>
      </c>
      <c r="O190" s="9">
        <f t="shared" ca="1" si="30"/>
        <v>1</v>
      </c>
      <c r="P190" s="9">
        <f t="shared" ca="1" si="31"/>
        <v>3</v>
      </c>
      <c r="Q190" s="11">
        <f t="shared" ca="1" si="32"/>
        <v>8.0154001898860088</v>
      </c>
      <c r="R190" s="11">
        <f t="shared" ca="1" si="33"/>
        <v>7.5022675825744898</v>
      </c>
      <c r="S190" s="11" t="str">
        <f t="shared" ca="1" si="34"/>
        <v/>
      </c>
      <c r="T190" s="11">
        <f t="shared" ca="1" si="35"/>
        <v>0.71707945709028564</v>
      </c>
      <c r="V190" s="11">
        <f t="shared" ca="1" si="38"/>
        <v>0.75212255587580845</v>
      </c>
      <c r="W190" s="11">
        <f t="shared" ca="1" si="38"/>
        <v>0.87604538227402506</v>
      </c>
      <c r="X190" s="11">
        <f t="shared" ca="1" si="38"/>
        <v>0.17681304122437469</v>
      </c>
    </row>
    <row r="191" spans="12:24" x14ac:dyDescent="0.45">
      <c r="L191" s="9">
        <v>187</v>
      </c>
      <c r="M191" s="11">
        <f t="shared" ca="1" si="28"/>
        <v>7.5798874945333177</v>
      </c>
      <c r="N191" s="19">
        <f t="shared" ca="1" si="29"/>
        <v>160.42334048181513</v>
      </c>
      <c r="O191" s="9">
        <f t="shared" ca="1" si="30"/>
        <v>3</v>
      </c>
      <c r="P191" s="9">
        <f t="shared" ca="1" si="31"/>
        <v>3</v>
      </c>
      <c r="Q191" s="11">
        <f t="shared" ca="1" si="32"/>
        <v>1.7197001272536798</v>
      </c>
      <c r="R191" s="11">
        <f t="shared" ca="1" si="33"/>
        <v>13.52628201753426</v>
      </c>
      <c r="S191" s="11">
        <f t="shared" ca="1" si="34"/>
        <v>0.24360423769926676</v>
      </c>
      <c r="T191" s="11">
        <f t="shared" ca="1" si="35"/>
        <v>0.29404256785034455</v>
      </c>
      <c r="V191" s="11">
        <f t="shared" ca="1" si="38"/>
        <v>0.24360423769926676</v>
      </c>
      <c r="W191" s="11">
        <f t="shared" ca="1" si="38"/>
        <v>0.43115079232551679</v>
      </c>
      <c r="X191" s="11">
        <f t="shared" ca="1" si="38"/>
        <v>0.63998105409435257</v>
      </c>
    </row>
    <row r="192" spans="12:24" x14ac:dyDescent="0.45">
      <c r="L192" s="9">
        <v>188</v>
      </c>
      <c r="M192" s="11">
        <f t="shared" ca="1" si="28"/>
        <v>1.7551656468533836</v>
      </c>
      <c r="N192" s="19">
        <f t="shared" ca="1" si="29"/>
        <v>323.92522861664304</v>
      </c>
      <c r="O192" s="9">
        <f t="shared" ca="1" si="30"/>
        <v>1</v>
      </c>
      <c r="P192" s="9">
        <f t="shared" ca="1" si="31"/>
        <v>3</v>
      </c>
      <c r="Q192" s="11">
        <f t="shared" ca="1" si="32"/>
        <v>8.7849063175722133</v>
      </c>
      <c r="R192" s="11">
        <f t="shared" ca="1" si="33"/>
        <v>10.463698900139093</v>
      </c>
      <c r="S192" s="11" t="str">
        <f t="shared" ca="1" si="34"/>
        <v/>
      </c>
      <c r="T192" s="11">
        <f t="shared" ca="1" si="35"/>
        <v>11.770146979944355</v>
      </c>
      <c r="V192" s="11">
        <f t="shared" ca="1" si="38"/>
        <v>0.99752894291620731</v>
      </c>
      <c r="W192" s="11">
        <f t="shared" ca="1" si="38"/>
        <v>0.24254309949144948</v>
      </c>
      <c r="X192" s="11">
        <f t="shared" ca="1" si="38"/>
        <v>0.77160782430615127</v>
      </c>
    </row>
    <row r="193" spans="12:24" x14ac:dyDescent="0.45">
      <c r="L193" s="9">
        <v>189</v>
      </c>
      <c r="M193" s="11">
        <f t="shared" ca="1" si="28"/>
        <v>0.41609880187823028</v>
      </c>
      <c r="N193" s="19">
        <f t="shared" ca="1" si="29"/>
        <v>715.75777194614056</v>
      </c>
      <c r="O193" s="9">
        <f t="shared" ca="1" si="30"/>
        <v>2</v>
      </c>
      <c r="P193" s="9">
        <f t="shared" ca="1" si="31"/>
        <v>3</v>
      </c>
      <c r="Q193" s="11">
        <f t="shared" ca="1" si="32"/>
        <v>3.1878065256181096</v>
      </c>
      <c r="R193" s="11">
        <f t="shared" ca="1" si="33"/>
        <v>11.440802423036601</v>
      </c>
      <c r="S193" s="11" t="str">
        <f t="shared" ca="1" si="34"/>
        <v/>
      </c>
      <c r="T193" s="11">
        <f t="shared" ca="1" si="35"/>
        <v>4.9541731059909937</v>
      </c>
      <c r="V193" s="11">
        <f t="shared" ca="1" si="38"/>
        <v>2.6786365982037763E-2</v>
      </c>
      <c r="W193" s="11">
        <f t="shared" ca="1" si="38"/>
        <v>0.8944558136976134</v>
      </c>
      <c r="X193" s="11">
        <f t="shared" ca="1" si="38"/>
        <v>0.46184890445479332</v>
      </c>
    </row>
    <row r="194" spans="12:24" x14ac:dyDescent="0.45">
      <c r="L194" s="9">
        <v>190</v>
      </c>
      <c r="M194" s="11">
        <f t="shared" ca="1" si="28"/>
        <v>4.4006768003980774</v>
      </c>
      <c r="N194" s="19">
        <f t="shared" ca="1" si="29"/>
        <v>1271.6505807391666</v>
      </c>
      <c r="O194" s="9">
        <f t="shared" ca="1" si="30"/>
        <v>1</v>
      </c>
      <c r="P194" s="9">
        <f t="shared" ca="1" si="31"/>
        <v>4</v>
      </c>
      <c r="Q194" s="11">
        <f t="shared" ca="1" si="32"/>
        <v>12.325397368540425</v>
      </c>
      <c r="R194" s="11">
        <f t="shared" ca="1" si="33"/>
        <v>12.120166652582132</v>
      </c>
      <c r="S194" s="11" t="str">
        <f t="shared" ca="1" si="34"/>
        <v/>
      </c>
      <c r="T194" s="11">
        <f t="shared" ca="1" si="35"/>
        <v>7.6347712955028664</v>
      </c>
      <c r="V194" s="11">
        <f t="shared" ca="1" si="38"/>
        <v>0.12578740172374159</v>
      </c>
      <c r="W194" s="11">
        <f t="shared" ca="1" si="38"/>
        <v>0.72380660517081241</v>
      </c>
      <c r="X194" s="11">
        <f t="shared" ca="1" si="38"/>
        <v>0.77171984059106147</v>
      </c>
    </row>
    <row r="195" spans="12:24" x14ac:dyDescent="0.45">
      <c r="L195" s="9">
        <v>191</v>
      </c>
      <c r="M195" s="11">
        <f t="shared" ca="1" si="28"/>
        <v>1.548045735982666</v>
      </c>
      <c r="N195" s="19">
        <f t="shared" ca="1" si="29"/>
        <v>1055.1572123777216</v>
      </c>
      <c r="O195" s="9">
        <f t="shared" ca="1" si="30"/>
        <v>1</v>
      </c>
      <c r="P195" s="9">
        <f t="shared" ca="1" si="31"/>
        <v>3</v>
      </c>
      <c r="Q195" s="11">
        <f t="shared" ca="1" si="32"/>
        <v>5.7603096280051966</v>
      </c>
      <c r="R195" s="11">
        <f t="shared" ca="1" si="33"/>
        <v>9.8307977325473814</v>
      </c>
      <c r="S195" s="11">
        <f t="shared" ca="1" si="34"/>
        <v>0.21187189927174377</v>
      </c>
      <c r="T195" s="11">
        <f t="shared" ca="1" si="35"/>
        <v>1.9385360301581156</v>
      </c>
      <c r="V195" s="11">
        <f t="shared" ca="1" si="38"/>
        <v>0.21187189927174377</v>
      </c>
      <c r="W195" s="11">
        <f t="shared" ca="1" si="38"/>
        <v>0.45088313952617354</v>
      </c>
      <c r="X195" s="11">
        <f t="shared" ca="1" si="38"/>
        <v>0.55452497630010567</v>
      </c>
    </row>
    <row r="196" spans="12:24" x14ac:dyDescent="0.45">
      <c r="L196" s="9">
        <v>192</v>
      </c>
      <c r="M196" s="11">
        <f t="shared" ca="1" si="28"/>
        <v>1.8629203926936031</v>
      </c>
      <c r="N196" s="19">
        <f t="shared" ca="1" si="29"/>
        <v>658.31480399376619</v>
      </c>
      <c r="O196" s="9">
        <f t="shared" ca="1" si="30"/>
        <v>2</v>
      </c>
      <c r="P196" s="9">
        <f t="shared" ca="1" si="31"/>
        <v>2</v>
      </c>
      <c r="Q196" s="11">
        <f t="shared" ca="1" si="32"/>
        <v>2.5756664451368034</v>
      </c>
      <c r="R196" s="11">
        <f t="shared" ca="1" si="33"/>
        <v>10.832197555238167</v>
      </c>
      <c r="S196" s="11">
        <f t="shared" ca="1" si="34"/>
        <v>0.63416900570013957</v>
      </c>
      <c r="T196" s="11">
        <f t="shared" ca="1" si="35"/>
        <v>1.5845985274522449</v>
      </c>
      <c r="V196" s="11">
        <f t="shared" ca="1" si="38"/>
        <v>0.63416900570013957</v>
      </c>
      <c r="W196" s="11">
        <f t="shared" ca="1" si="38"/>
        <v>6.1094745811034024E-2</v>
      </c>
      <c r="X196" s="11">
        <f t="shared" ca="1" si="38"/>
        <v>0.54452626321648756</v>
      </c>
    </row>
    <row r="197" spans="12:24" x14ac:dyDescent="0.45">
      <c r="L197" s="9">
        <v>193</v>
      </c>
      <c r="M197" s="11">
        <f t="shared" ref="M197:M260" ca="1" si="39">-$C$10*LN(1-RAND())</f>
        <v>2.2195663050438772</v>
      </c>
      <c r="N197" s="19">
        <f t="shared" ref="N197:N260" ca="1" si="40">$C$12*(-LN(1-RAND()))^(1/$C$11)</f>
        <v>769.06748383386685</v>
      </c>
      <c r="O197" s="9">
        <f t="shared" ref="O197:O260" ca="1" si="41">MAX(1,ROUNDUP(LN(1-RAND())/LN(1-$C$13),0))</f>
        <v>1</v>
      </c>
      <c r="P197" s="9">
        <f t="shared" ref="P197:P260" ca="1" si="42">INDEX($B$24:$B$44,MATCH(RAND(),$C$24:$C$44,1))</f>
        <v>3</v>
      </c>
      <c r="Q197" s="11">
        <f t="shared" ref="Q197:Q260" ca="1" si="43">-($C$16/$C$15)*LN(RAND()*RAND()*RAND())</f>
        <v>3.6897350964949238</v>
      </c>
      <c r="R197" s="11">
        <f t="shared" ref="R197:R260" ca="1" si="44">$C$17+$C$18*(RAND()+RAND()+RAND()+RAND()+RAND()+RAND()+RAND()+RAND()+RAND()+RAND()+RAND()+RAND()-6)</f>
        <v>10.214646529870535</v>
      </c>
      <c r="S197" s="11">
        <f t="shared" ref="S197:S260" ca="1" si="45">IF(1.5*W197&lt;=6*V197*(1-V197),V197,"")</f>
        <v>0.70741399904782254</v>
      </c>
      <c r="T197" s="11">
        <f t="shared" ref="T197:T260" ca="1" si="46">-IF(X197&lt;$C$19,$C$20,$C$21)*LN(1-RAND())</f>
        <v>0.74077047095921777</v>
      </c>
      <c r="V197" s="11">
        <f t="shared" ca="1" si="38"/>
        <v>0.70741399904782254</v>
      </c>
      <c r="W197" s="11">
        <f t="shared" ca="1" si="38"/>
        <v>0.33848784854290703</v>
      </c>
      <c r="X197" s="11">
        <f t="shared" ca="1" si="38"/>
        <v>0.17952806303844793</v>
      </c>
    </row>
    <row r="198" spans="12:24" x14ac:dyDescent="0.45">
      <c r="L198" s="9">
        <v>194</v>
      </c>
      <c r="M198" s="11">
        <f t="shared" ca="1" si="39"/>
        <v>14.549737323676192</v>
      </c>
      <c r="N198" s="19">
        <f t="shared" ca="1" si="40"/>
        <v>1335.3944343743931</v>
      </c>
      <c r="O198" s="9">
        <f t="shared" ca="1" si="41"/>
        <v>1</v>
      </c>
      <c r="P198" s="9">
        <f t="shared" ca="1" si="42"/>
        <v>5</v>
      </c>
      <c r="Q198" s="11">
        <f t="shared" ca="1" si="43"/>
        <v>4.5419020537367967</v>
      </c>
      <c r="R198" s="11">
        <f t="shared" ca="1" si="44"/>
        <v>13.355683642813393</v>
      </c>
      <c r="S198" s="11" t="str">
        <f t="shared" ca="1" si="45"/>
        <v/>
      </c>
      <c r="T198" s="11">
        <f t="shared" ca="1" si="46"/>
        <v>8.9468921474271568</v>
      </c>
      <c r="V198" s="11">
        <f t="shared" ca="1" si="38"/>
        <v>0.74673555058549168</v>
      </c>
      <c r="W198" s="11">
        <f t="shared" ca="1" si="38"/>
        <v>0.84287360471939765</v>
      </c>
      <c r="X198" s="11">
        <f t="shared" ca="1" si="38"/>
        <v>0.89627503114147455</v>
      </c>
    </row>
    <row r="199" spans="12:24" x14ac:dyDescent="0.45">
      <c r="L199" s="9">
        <v>195</v>
      </c>
      <c r="M199" s="11">
        <f t="shared" ca="1" si="39"/>
        <v>2.3046792220389816</v>
      </c>
      <c r="N199" s="19">
        <f t="shared" ca="1" si="40"/>
        <v>820.91643306679862</v>
      </c>
      <c r="O199" s="9">
        <f t="shared" ca="1" si="41"/>
        <v>1</v>
      </c>
      <c r="P199" s="9">
        <f t="shared" ca="1" si="42"/>
        <v>3</v>
      </c>
      <c r="Q199" s="11">
        <f t="shared" ca="1" si="43"/>
        <v>5.187863463277214</v>
      </c>
      <c r="R199" s="11">
        <f t="shared" ca="1" si="44"/>
        <v>6.3219510785360242</v>
      </c>
      <c r="S199" s="11">
        <f t="shared" ca="1" si="45"/>
        <v>0.48704547269718512</v>
      </c>
      <c r="T199" s="11">
        <f t="shared" ca="1" si="46"/>
        <v>0.14370581881337274</v>
      </c>
      <c r="V199" s="11">
        <f t="shared" ca="1" si="38"/>
        <v>0.48704547269718512</v>
      </c>
      <c r="W199" s="11">
        <f t="shared" ca="1" si="38"/>
        <v>0.47705597366807129</v>
      </c>
      <c r="X199" s="11">
        <f t="shared" ca="1" si="38"/>
        <v>0.18711802540379929</v>
      </c>
    </row>
    <row r="200" spans="12:24" x14ac:dyDescent="0.45">
      <c r="L200" s="9">
        <v>196</v>
      </c>
      <c r="M200" s="11">
        <f t="shared" ca="1" si="39"/>
        <v>9.1993251316471856</v>
      </c>
      <c r="N200" s="19">
        <f t="shared" ca="1" si="40"/>
        <v>1449.7999018945441</v>
      </c>
      <c r="O200" s="9">
        <f t="shared" ca="1" si="41"/>
        <v>1</v>
      </c>
      <c r="P200" s="9">
        <f t="shared" ca="1" si="42"/>
        <v>3</v>
      </c>
      <c r="Q200" s="11">
        <f t="shared" ca="1" si="43"/>
        <v>6.3521909593188761</v>
      </c>
      <c r="R200" s="11">
        <f t="shared" ca="1" si="44"/>
        <v>10.629461266595722</v>
      </c>
      <c r="S200" s="11">
        <f t="shared" ca="1" si="45"/>
        <v>0.21992950152999202</v>
      </c>
      <c r="T200" s="11">
        <f t="shared" ca="1" si="46"/>
        <v>2.8861642869286444</v>
      </c>
      <c r="V200" s="11">
        <f t="shared" ca="1" si="38"/>
        <v>0.21992950152999202</v>
      </c>
      <c r="W200" s="11">
        <f t="shared" ca="1" si="38"/>
        <v>0.6551529136213623</v>
      </c>
      <c r="X200" s="11">
        <f t="shared" ca="1" si="38"/>
        <v>4.6298403162615909E-2</v>
      </c>
    </row>
    <row r="201" spans="12:24" x14ac:dyDescent="0.45">
      <c r="L201" s="9">
        <v>197</v>
      </c>
      <c r="M201" s="11">
        <f t="shared" ca="1" si="39"/>
        <v>5.2302877956023632</v>
      </c>
      <c r="N201" s="19">
        <f t="shared" ca="1" si="40"/>
        <v>405.22039227103812</v>
      </c>
      <c r="O201" s="9">
        <f t="shared" ca="1" si="41"/>
        <v>1</v>
      </c>
      <c r="P201" s="9">
        <f t="shared" ca="1" si="42"/>
        <v>2</v>
      </c>
      <c r="Q201" s="11">
        <f t="shared" ca="1" si="43"/>
        <v>6.649264173291253</v>
      </c>
      <c r="R201" s="11">
        <f t="shared" ca="1" si="44"/>
        <v>11.98917451611481</v>
      </c>
      <c r="S201" s="11">
        <f t="shared" ca="1" si="45"/>
        <v>0.51326201949873473</v>
      </c>
      <c r="T201" s="11">
        <f t="shared" ca="1" si="46"/>
        <v>8.1192619585637643E-2</v>
      </c>
      <c r="V201" s="11">
        <f t="shared" ca="1" si="38"/>
        <v>0.51326201949873473</v>
      </c>
      <c r="W201" s="11">
        <f t="shared" ca="1" si="38"/>
        <v>0.27927407527040404</v>
      </c>
      <c r="X201" s="11">
        <f t="shared" ca="1" si="38"/>
        <v>0.42656573433302503</v>
      </c>
    </row>
    <row r="202" spans="12:24" x14ac:dyDescent="0.45">
      <c r="L202" s="9">
        <v>198</v>
      </c>
      <c r="M202" s="11">
        <f t="shared" ca="1" si="39"/>
        <v>5.27287361623541</v>
      </c>
      <c r="N202" s="19">
        <f t="shared" ca="1" si="40"/>
        <v>1260.6971558877713</v>
      </c>
      <c r="O202" s="9">
        <f t="shared" ca="1" si="41"/>
        <v>1</v>
      </c>
      <c r="P202" s="9">
        <f t="shared" ca="1" si="42"/>
        <v>2</v>
      </c>
      <c r="Q202" s="11">
        <f t="shared" ca="1" si="43"/>
        <v>5.8649426509924316</v>
      </c>
      <c r="R202" s="11">
        <f t="shared" ca="1" si="44"/>
        <v>6.6309730751407407</v>
      </c>
      <c r="S202" s="11" t="str">
        <f t="shared" ca="1" si="45"/>
        <v/>
      </c>
      <c r="T202" s="11">
        <f t="shared" ca="1" si="46"/>
        <v>5.5493134554499539</v>
      </c>
      <c r="V202" s="11">
        <f t="shared" ca="1" si="38"/>
        <v>0.79458663016938624</v>
      </c>
      <c r="W202" s="11">
        <f t="shared" ca="1" si="38"/>
        <v>0.79028411637001938</v>
      </c>
      <c r="X202" s="11">
        <f t="shared" ca="1" si="38"/>
        <v>0.72487865892048531</v>
      </c>
    </row>
    <row r="203" spans="12:24" x14ac:dyDescent="0.45">
      <c r="L203" s="9">
        <v>199</v>
      </c>
      <c r="M203" s="11">
        <f t="shared" ca="1" si="39"/>
        <v>4.7836036402465769</v>
      </c>
      <c r="N203" s="19">
        <f t="shared" ca="1" si="40"/>
        <v>662.23160094314881</v>
      </c>
      <c r="O203" s="9">
        <f t="shared" ca="1" si="41"/>
        <v>1</v>
      </c>
      <c r="P203" s="9">
        <f t="shared" ca="1" si="42"/>
        <v>5</v>
      </c>
      <c r="Q203" s="11">
        <f t="shared" ca="1" si="43"/>
        <v>1.3439927985682474</v>
      </c>
      <c r="R203" s="11">
        <f t="shared" ca="1" si="44"/>
        <v>10.912056831954668</v>
      </c>
      <c r="S203" s="11">
        <f t="shared" ca="1" si="45"/>
        <v>0.44871528409767636</v>
      </c>
      <c r="T203" s="11">
        <f t="shared" ca="1" si="46"/>
        <v>1.390429775512678</v>
      </c>
      <c r="V203" s="11">
        <f t="shared" ca="1" si="38"/>
        <v>0.44871528409767636</v>
      </c>
      <c r="W203" s="11">
        <f t="shared" ca="1" si="38"/>
        <v>0.38284269076448652</v>
      </c>
      <c r="X203" s="11">
        <f t="shared" ca="1" si="38"/>
        <v>0.50082877167872486</v>
      </c>
    </row>
    <row r="204" spans="12:24" x14ac:dyDescent="0.45">
      <c r="L204" s="9">
        <v>200</v>
      </c>
      <c r="M204" s="11">
        <f t="shared" ca="1" si="39"/>
        <v>3.725879926015891</v>
      </c>
      <c r="N204" s="19">
        <f t="shared" ca="1" si="40"/>
        <v>132.30731900790872</v>
      </c>
      <c r="O204" s="9">
        <f t="shared" ca="1" si="41"/>
        <v>1</v>
      </c>
      <c r="P204" s="9">
        <f t="shared" ca="1" si="42"/>
        <v>4</v>
      </c>
      <c r="Q204" s="11">
        <f t="shared" ca="1" si="43"/>
        <v>0.95150304344529169</v>
      </c>
      <c r="R204" s="11">
        <f t="shared" ca="1" si="44"/>
        <v>9.2653917152596108</v>
      </c>
      <c r="S204" s="11" t="str">
        <f t="shared" ca="1" si="45"/>
        <v/>
      </c>
      <c r="T204" s="11">
        <f t="shared" ca="1" si="46"/>
        <v>0.76094816705723645</v>
      </c>
      <c r="V204" s="11">
        <f t="shared" ca="1" si="38"/>
        <v>0.7098751464151154</v>
      </c>
      <c r="W204" s="11">
        <f t="shared" ca="1" si="38"/>
        <v>0.93672139600758342</v>
      </c>
      <c r="X204" s="11">
        <f t="shared" ca="1" si="38"/>
        <v>0.5878002254884499</v>
      </c>
    </row>
    <row r="205" spans="12:24" x14ac:dyDescent="0.45">
      <c r="L205" s="9">
        <v>201</v>
      </c>
      <c r="M205" s="11">
        <f t="shared" ca="1" si="39"/>
        <v>5.4631456610883751</v>
      </c>
      <c r="N205" s="19">
        <f t="shared" ca="1" si="40"/>
        <v>532.73557164789372</v>
      </c>
      <c r="O205" s="9">
        <f t="shared" ca="1" si="41"/>
        <v>1</v>
      </c>
      <c r="P205" s="9">
        <f t="shared" ca="1" si="42"/>
        <v>3</v>
      </c>
      <c r="Q205" s="11">
        <f t="shared" ca="1" si="43"/>
        <v>4.8986231015661295</v>
      </c>
      <c r="R205" s="11">
        <f t="shared" ca="1" si="44"/>
        <v>10.616747581228744</v>
      </c>
      <c r="S205" s="11" t="str">
        <f t="shared" ca="1" si="45"/>
        <v/>
      </c>
      <c r="T205" s="11">
        <f t="shared" ca="1" si="46"/>
        <v>1.1308907417605802</v>
      </c>
      <c r="V205" s="11">
        <f t="shared" ref="V205:X224" ca="1" si="47">RAND()</f>
        <v>0.24284319875071481</v>
      </c>
      <c r="W205" s="11">
        <f t="shared" ca="1" si="47"/>
        <v>0.85701340976335205</v>
      </c>
      <c r="X205" s="11">
        <f t="shared" ca="1" si="47"/>
        <v>0.35523244957764943</v>
      </c>
    </row>
    <row r="206" spans="12:24" x14ac:dyDescent="0.45">
      <c r="L206" s="9">
        <v>202</v>
      </c>
      <c r="M206" s="11">
        <f t="shared" ca="1" si="39"/>
        <v>0.88421116184733628</v>
      </c>
      <c r="N206" s="19">
        <f t="shared" ca="1" si="40"/>
        <v>374.43343458967854</v>
      </c>
      <c r="O206" s="9">
        <f t="shared" ca="1" si="41"/>
        <v>1</v>
      </c>
      <c r="P206" s="9">
        <f t="shared" ca="1" si="42"/>
        <v>6</v>
      </c>
      <c r="Q206" s="11">
        <f t="shared" ca="1" si="43"/>
        <v>4.9824341170495972</v>
      </c>
      <c r="R206" s="11">
        <f t="shared" ca="1" si="44"/>
        <v>10.908086296720754</v>
      </c>
      <c r="S206" s="11" t="str">
        <f t="shared" ca="1" si="45"/>
        <v/>
      </c>
      <c r="T206" s="11">
        <f t="shared" ca="1" si="46"/>
        <v>0.4595651379285759</v>
      </c>
      <c r="V206" s="11">
        <f t="shared" ca="1" si="47"/>
        <v>3.3990344747103274E-2</v>
      </c>
      <c r="W206" s="11">
        <f t="shared" ca="1" si="47"/>
        <v>0.84562490786155886</v>
      </c>
      <c r="X206" s="11">
        <f t="shared" ca="1" si="47"/>
        <v>0.44864111483020142</v>
      </c>
    </row>
    <row r="207" spans="12:24" x14ac:dyDescent="0.45">
      <c r="L207" s="9">
        <v>203</v>
      </c>
      <c r="M207" s="11">
        <f t="shared" ca="1" si="39"/>
        <v>1.4152098808195197</v>
      </c>
      <c r="N207" s="19">
        <f t="shared" ca="1" si="40"/>
        <v>1004.7391199997085</v>
      </c>
      <c r="O207" s="9">
        <f t="shared" ca="1" si="41"/>
        <v>2</v>
      </c>
      <c r="P207" s="9">
        <f t="shared" ca="1" si="42"/>
        <v>1</v>
      </c>
      <c r="Q207" s="11">
        <f t="shared" ca="1" si="43"/>
        <v>3.4530782654021239</v>
      </c>
      <c r="R207" s="11">
        <f t="shared" ca="1" si="44"/>
        <v>11.812836474538143</v>
      </c>
      <c r="S207" s="11" t="str">
        <f t="shared" ca="1" si="45"/>
        <v/>
      </c>
      <c r="T207" s="11">
        <f t="shared" ca="1" si="46"/>
        <v>1.4841567688391315</v>
      </c>
      <c r="V207" s="11">
        <f t="shared" ca="1" si="47"/>
        <v>0.9763023671826917</v>
      </c>
      <c r="W207" s="11">
        <f t="shared" ca="1" si="47"/>
        <v>0.55615062353367239</v>
      </c>
      <c r="X207" s="11">
        <f t="shared" ca="1" si="47"/>
        <v>0.55687870545628215</v>
      </c>
    </row>
    <row r="208" spans="12:24" x14ac:dyDescent="0.45">
      <c r="L208" s="9">
        <v>204</v>
      </c>
      <c r="M208" s="11">
        <f t="shared" ca="1" si="39"/>
        <v>0.18389579531930322</v>
      </c>
      <c r="N208" s="19">
        <f t="shared" ca="1" si="40"/>
        <v>306.4047306710583</v>
      </c>
      <c r="O208" s="9">
        <f t="shared" ca="1" si="41"/>
        <v>3</v>
      </c>
      <c r="P208" s="9">
        <f t="shared" ca="1" si="42"/>
        <v>5</v>
      </c>
      <c r="Q208" s="11">
        <f t="shared" ca="1" si="43"/>
        <v>11.121666386137374</v>
      </c>
      <c r="R208" s="11">
        <f t="shared" ca="1" si="44"/>
        <v>7.7621222978740256</v>
      </c>
      <c r="S208" s="11">
        <f t="shared" ca="1" si="45"/>
        <v>0.36922340626827477</v>
      </c>
      <c r="T208" s="11">
        <f t="shared" ca="1" si="46"/>
        <v>0.27502101611121049</v>
      </c>
      <c r="V208" s="11">
        <f t="shared" ca="1" si="47"/>
        <v>0.36922340626827477</v>
      </c>
      <c r="W208" s="11">
        <f t="shared" ca="1" si="47"/>
        <v>0.33470759009409079</v>
      </c>
      <c r="X208" s="11">
        <f t="shared" ca="1" si="47"/>
        <v>6.7177710136989144E-2</v>
      </c>
    </row>
    <row r="209" spans="12:24" x14ac:dyDescent="0.45">
      <c r="L209" s="9">
        <v>205</v>
      </c>
      <c r="M209" s="11">
        <f t="shared" ca="1" si="39"/>
        <v>0.42351476885010353</v>
      </c>
      <c r="N209" s="19">
        <f t="shared" ca="1" si="40"/>
        <v>1451.899475301637</v>
      </c>
      <c r="O209" s="9">
        <f t="shared" ca="1" si="41"/>
        <v>1</v>
      </c>
      <c r="P209" s="9">
        <f t="shared" ca="1" si="42"/>
        <v>1</v>
      </c>
      <c r="Q209" s="11">
        <f t="shared" ca="1" si="43"/>
        <v>5.6157781634593773</v>
      </c>
      <c r="R209" s="11">
        <f t="shared" ca="1" si="44"/>
        <v>9.347142080149851</v>
      </c>
      <c r="S209" s="11" t="str">
        <f t="shared" ca="1" si="45"/>
        <v/>
      </c>
      <c r="T209" s="11">
        <f t="shared" ca="1" si="46"/>
        <v>1.8179944066527596</v>
      </c>
      <c r="V209" s="11">
        <f t="shared" ca="1" si="47"/>
        <v>0.95720022135197591</v>
      </c>
      <c r="W209" s="11">
        <f t="shared" ca="1" si="47"/>
        <v>0.41995839331122686</v>
      </c>
      <c r="X209" s="11">
        <f t="shared" ca="1" si="47"/>
        <v>0.48204755912717023</v>
      </c>
    </row>
    <row r="210" spans="12:24" x14ac:dyDescent="0.45">
      <c r="L210" s="9">
        <v>206</v>
      </c>
      <c r="M210" s="11">
        <f t="shared" ca="1" si="39"/>
        <v>3.3732424900286615</v>
      </c>
      <c r="N210" s="19">
        <f t="shared" ca="1" si="40"/>
        <v>1274.0383960373883</v>
      </c>
      <c r="O210" s="9">
        <f t="shared" ca="1" si="41"/>
        <v>1</v>
      </c>
      <c r="P210" s="9">
        <f t="shared" ca="1" si="42"/>
        <v>2</v>
      </c>
      <c r="Q210" s="11">
        <f t="shared" ca="1" si="43"/>
        <v>2.9666183049367092</v>
      </c>
      <c r="R210" s="11">
        <f t="shared" ca="1" si="44"/>
        <v>12.620995312681471</v>
      </c>
      <c r="S210" s="11">
        <f t="shared" ca="1" si="45"/>
        <v>0.5782095651819178</v>
      </c>
      <c r="T210" s="11">
        <f t="shared" ca="1" si="46"/>
        <v>12.774303684805124</v>
      </c>
      <c r="V210" s="11">
        <f t="shared" ca="1" si="47"/>
        <v>0.5782095651819178</v>
      </c>
      <c r="W210" s="11">
        <f t="shared" ca="1" si="47"/>
        <v>0.28630759720597709</v>
      </c>
      <c r="X210" s="11">
        <f t="shared" ca="1" si="47"/>
        <v>0.82966058923539954</v>
      </c>
    </row>
    <row r="211" spans="12:24" x14ac:dyDescent="0.45">
      <c r="L211" s="9">
        <v>207</v>
      </c>
      <c r="M211" s="11">
        <f t="shared" ca="1" si="39"/>
        <v>5.8976414837799318</v>
      </c>
      <c r="N211" s="19">
        <f t="shared" ca="1" si="40"/>
        <v>1016.8426505255559</v>
      </c>
      <c r="O211" s="9">
        <f t="shared" ca="1" si="41"/>
        <v>3</v>
      </c>
      <c r="P211" s="9">
        <f t="shared" ca="1" si="42"/>
        <v>3</v>
      </c>
      <c r="Q211" s="11">
        <f t="shared" ca="1" si="43"/>
        <v>7.6776300281508387</v>
      </c>
      <c r="R211" s="11">
        <f t="shared" ca="1" si="44"/>
        <v>12.952852151670356</v>
      </c>
      <c r="S211" s="11" t="str">
        <f t="shared" ca="1" si="45"/>
        <v/>
      </c>
      <c r="T211" s="11">
        <f t="shared" ca="1" si="46"/>
        <v>0.48917590512349535</v>
      </c>
      <c r="V211" s="11">
        <f t="shared" ca="1" si="47"/>
        <v>0.87387580628828476</v>
      </c>
      <c r="W211" s="11">
        <f t="shared" ca="1" si="47"/>
        <v>0.79389174190333522</v>
      </c>
      <c r="X211" s="11">
        <f t="shared" ca="1" si="47"/>
        <v>0.61077527000384657</v>
      </c>
    </row>
    <row r="212" spans="12:24" x14ac:dyDescent="0.45">
      <c r="L212" s="9">
        <v>208</v>
      </c>
      <c r="M212" s="11">
        <f t="shared" ca="1" si="39"/>
        <v>0.52023553972887493</v>
      </c>
      <c r="N212" s="19">
        <f t="shared" ca="1" si="40"/>
        <v>405.3507247830338</v>
      </c>
      <c r="O212" s="9">
        <f t="shared" ca="1" si="41"/>
        <v>2</v>
      </c>
      <c r="P212" s="9">
        <f t="shared" ca="1" si="42"/>
        <v>5</v>
      </c>
      <c r="Q212" s="11">
        <f t="shared" ca="1" si="43"/>
        <v>9.2478117940287987</v>
      </c>
      <c r="R212" s="11">
        <f t="shared" ca="1" si="44"/>
        <v>8.0098601590488272</v>
      </c>
      <c r="S212" s="11" t="str">
        <f t="shared" ca="1" si="45"/>
        <v/>
      </c>
      <c r="T212" s="11">
        <f t="shared" ca="1" si="46"/>
        <v>0.10880260798676766</v>
      </c>
      <c r="V212" s="11">
        <f t="shared" ca="1" si="47"/>
        <v>2.062437082752866E-2</v>
      </c>
      <c r="W212" s="11">
        <f t="shared" ca="1" si="47"/>
        <v>9.3893410596657345E-2</v>
      </c>
      <c r="X212" s="11">
        <f t="shared" ca="1" si="47"/>
        <v>0.46398146194699108</v>
      </c>
    </row>
    <row r="213" spans="12:24" x14ac:dyDescent="0.45">
      <c r="L213" s="9">
        <v>209</v>
      </c>
      <c r="M213" s="11">
        <f t="shared" ca="1" si="39"/>
        <v>1.2923818682027546</v>
      </c>
      <c r="N213" s="19">
        <f t="shared" ca="1" si="40"/>
        <v>714.07205528004749</v>
      </c>
      <c r="O213" s="9">
        <f t="shared" ca="1" si="41"/>
        <v>1</v>
      </c>
      <c r="P213" s="9">
        <f t="shared" ca="1" si="42"/>
        <v>4</v>
      </c>
      <c r="Q213" s="11">
        <f t="shared" ca="1" si="43"/>
        <v>1.3994920407621729</v>
      </c>
      <c r="R213" s="11">
        <f t="shared" ca="1" si="44"/>
        <v>12.642770348432123</v>
      </c>
      <c r="S213" s="11">
        <f t="shared" ca="1" si="45"/>
        <v>0.33886405764448901</v>
      </c>
      <c r="T213" s="11">
        <f t="shared" ca="1" si="46"/>
        <v>4.1201708517789335</v>
      </c>
      <c r="V213" s="11">
        <f t="shared" ca="1" si="47"/>
        <v>0.33886405764448901</v>
      </c>
      <c r="W213" s="11">
        <f t="shared" ca="1" si="47"/>
        <v>0.76489430443591144</v>
      </c>
      <c r="X213" s="11">
        <f t="shared" ca="1" si="47"/>
        <v>0.59089044805248303</v>
      </c>
    </row>
    <row r="214" spans="12:24" x14ac:dyDescent="0.45">
      <c r="L214" s="9">
        <v>210</v>
      </c>
      <c r="M214" s="11">
        <f t="shared" ca="1" si="39"/>
        <v>2.4760320761899455</v>
      </c>
      <c r="N214" s="19">
        <f t="shared" ca="1" si="40"/>
        <v>439.40711669238561</v>
      </c>
      <c r="O214" s="9">
        <f t="shared" ca="1" si="41"/>
        <v>2</v>
      </c>
      <c r="P214" s="9">
        <f t="shared" ca="1" si="42"/>
        <v>5</v>
      </c>
      <c r="Q214" s="11">
        <f t="shared" ca="1" si="43"/>
        <v>13.137154346206712</v>
      </c>
      <c r="R214" s="11">
        <f t="shared" ca="1" si="44"/>
        <v>6.6682441460557467</v>
      </c>
      <c r="S214" s="11">
        <f t="shared" ca="1" si="45"/>
        <v>0.5577640923932865</v>
      </c>
      <c r="T214" s="11">
        <f t="shared" ca="1" si="46"/>
        <v>2.6733271339079057</v>
      </c>
      <c r="V214" s="11">
        <f t="shared" ca="1" si="47"/>
        <v>0.5577640923932865</v>
      </c>
      <c r="W214" s="11">
        <f t="shared" ca="1" si="47"/>
        <v>0.76375863070592043</v>
      </c>
      <c r="X214" s="11">
        <f t="shared" ca="1" si="47"/>
        <v>0.64105729017456137</v>
      </c>
    </row>
    <row r="215" spans="12:24" x14ac:dyDescent="0.45">
      <c r="L215" s="9">
        <v>211</v>
      </c>
      <c r="M215" s="11">
        <f t="shared" ca="1" si="39"/>
        <v>0.95391808312410953</v>
      </c>
      <c r="N215" s="19">
        <f t="shared" ca="1" si="40"/>
        <v>526.69525999460029</v>
      </c>
      <c r="O215" s="9">
        <f t="shared" ca="1" si="41"/>
        <v>1</v>
      </c>
      <c r="P215" s="9">
        <f t="shared" ca="1" si="42"/>
        <v>6</v>
      </c>
      <c r="Q215" s="11">
        <f t="shared" ca="1" si="43"/>
        <v>6.4878420563058921</v>
      </c>
      <c r="R215" s="11">
        <f t="shared" ca="1" si="44"/>
        <v>11.575113486050377</v>
      </c>
      <c r="S215" s="11">
        <f t="shared" ca="1" si="45"/>
        <v>0.23431666441895505</v>
      </c>
      <c r="T215" s="11">
        <f t="shared" ca="1" si="46"/>
        <v>2.9324944241374893</v>
      </c>
      <c r="V215" s="11">
        <f t="shared" ca="1" si="47"/>
        <v>0.23431666441895505</v>
      </c>
      <c r="W215" s="11">
        <f t="shared" ca="1" si="47"/>
        <v>0.41263984267146114</v>
      </c>
      <c r="X215" s="11">
        <f t="shared" ca="1" si="47"/>
        <v>8.8029081335607162E-2</v>
      </c>
    </row>
    <row r="216" spans="12:24" x14ac:dyDescent="0.45">
      <c r="L216" s="9">
        <v>212</v>
      </c>
      <c r="M216" s="11">
        <f t="shared" ca="1" si="39"/>
        <v>7.2246466540231378</v>
      </c>
      <c r="N216" s="19">
        <f t="shared" ca="1" si="40"/>
        <v>1281.8165240820963</v>
      </c>
      <c r="O216" s="9">
        <f t="shared" ca="1" si="41"/>
        <v>2</v>
      </c>
      <c r="P216" s="9">
        <f t="shared" ca="1" si="42"/>
        <v>4</v>
      </c>
      <c r="Q216" s="11">
        <f t="shared" ca="1" si="43"/>
        <v>5.4777025046711953</v>
      </c>
      <c r="R216" s="11">
        <f t="shared" ca="1" si="44"/>
        <v>10.539882926949973</v>
      </c>
      <c r="S216" s="11">
        <f t="shared" ca="1" si="45"/>
        <v>0.63770978675214562</v>
      </c>
      <c r="T216" s="11">
        <f t="shared" ca="1" si="46"/>
        <v>1.2683274247137852</v>
      </c>
      <c r="V216" s="11">
        <f t="shared" ca="1" si="47"/>
        <v>0.63770978675214562</v>
      </c>
      <c r="W216" s="11">
        <f t="shared" ca="1" si="47"/>
        <v>0.7230649639707355</v>
      </c>
      <c r="X216" s="11">
        <f t="shared" ca="1" si="47"/>
        <v>0.51344134158495369</v>
      </c>
    </row>
    <row r="217" spans="12:24" x14ac:dyDescent="0.45">
      <c r="L217" s="9">
        <v>213</v>
      </c>
      <c r="M217" s="11">
        <f t="shared" ca="1" si="39"/>
        <v>0.62820352934172363</v>
      </c>
      <c r="N217" s="19">
        <f t="shared" ca="1" si="40"/>
        <v>707.39504662908382</v>
      </c>
      <c r="O217" s="9">
        <f t="shared" ca="1" si="41"/>
        <v>2</v>
      </c>
      <c r="P217" s="9">
        <f t="shared" ca="1" si="42"/>
        <v>2</v>
      </c>
      <c r="Q217" s="11">
        <f t="shared" ca="1" si="43"/>
        <v>4.8330197693531893</v>
      </c>
      <c r="R217" s="11">
        <f t="shared" ca="1" si="44"/>
        <v>9.4544612319522425</v>
      </c>
      <c r="S217" s="11">
        <f t="shared" ca="1" si="45"/>
        <v>0.49732287206049874</v>
      </c>
      <c r="T217" s="11">
        <f t="shared" ca="1" si="46"/>
        <v>2.1776053624763057</v>
      </c>
      <c r="V217" s="11">
        <f t="shared" ca="1" si="47"/>
        <v>0.49732287206049874</v>
      </c>
      <c r="W217" s="11">
        <f t="shared" ca="1" si="47"/>
        <v>0.9820377900022913</v>
      </c>
      <c r="X217" s="11">
        <f t="shared" ca="1" si="47"/>
        <v>0.95831166209015251</v>
      </c>
    </row>
    <row r="218" spans="12:24" x14ac:dyDescent="0.45">
      <c r="L218" s="9">
        <v>214</v>
      </c>
      <c r="M218" s="11">
        <f t="shared" ca="1" si="39"/>
        <v>10.45681416634722</v>
      </c>
      <c r="N218" s="19">
        <f t="shared" ca="1" si="40"/>
        <v>1760.1916945881094</v>
      </c>
      <c r="O218" s="9">
        <f t="shared" ca="1" si="41"/>
        <v>1</v>
      </c>
      <c r="P218" s="9">
        <f t="shared" ca="1" si="42"/>
        <v>2</v>
      </c>
      <c r="Q218" s="11">
        <f t="shared" ca="1" si="43"/>
        <v>0.28198052141710089</v>
      </c>
      <c r="R218" s="11">
        <f t="shared" ca="1" si="44"/>
        <v>11.013731907726809</v>
      </c>
      <c r="S218" s="11" t="str">
        <f t="shared" ca="1" si="45"/>
        <v/>
      </c>
      <c r="T218" s="11">
        <f t="shared" ca="1" si="46"/>
        <v>4.7925547289268158</v>
      </c>
      <c r="V218" s="11">
        <f t="shared" ca="1" si="47"/>
        <v>0.85745571694287337</v>
      </c>
      <c r="W218" s="11">
        <f t="shared" ca="1" si="47"/>
        <v>0.79645300395410701</v>
      </c>
      <c r="X218" s="11">
        <f t="shared" ca="1" si="47"/>
        <v>5.3237142491674772E-2</v>
      </c>
    </row>
    <row r="219" spans="12:24" x14ac:dyDescent="0.45">
      <c r="L219" s="9">
        <v>215</v>
      </c>
      <c r="M219" s="11">
        <f t="shared" ca="1" si="39"/>
        <v>4.4407893660437621</v>
      </c>
      <c r="N219" s="19">
        <f t="shared" ca="1" si="40"/>
        <v>1638.341920985893</v>
      </c>
      <c r="O219" s="9">
        <f t="shared" ca="1" si="41"/>
        <v>3</v>
      </c>
      <c r="P219" s="9">
        <f t="shared" ca="1" si="42"/>
        <v>5</v>
      </c>
      <c r="Q219" s="11">
        <f t="shared" ca="1" si="43"/>
        <v>3.193610127730548</v>
      </c>
      <c r="R219" s="11">
        <f t="shared" ca="1" si="44"/>
        <v>8.5012736318406006</v>
      </c>
      <c r="S219" s="11" t="str">
        <f t="shared" ca="1" si="45"/>
        <v/>
      </c>
      <c r="T219" s="11">
        <f t="shared" ca="1" si="46"/>
        <v>20.961255156906937</v>
      </c>
      <c r="V219" s="11">
        <f t="shared" ca="1" si="47"/>
        <v>5.5762593313753328E-2</v>
      </c>
      <c r="W219" s="11">
        <f t="shared" ca="1" si="47"/>
        <v>0.50442205208434721</v>
      </c>
      <c r="X219" s="11">
        <f t="shared" ca="1" si="47"/>
        <v>0.84563018692200931</v>
      </c>
    </row>
    <row r="220" spans="12:24" x14ac:dyDescent="0.45">
      <c r="L220" s="9">
        <v>216</v>
      </c>
      <c r="M220" s="11">
        <f t="shared" ca="1" si="39"/>
        <v>2.7714069079876995</v>
      </c>
      <c r="N220" s="19">
        <f t="shared" ca="1" si="40"/>
        <v>1397.0628523328996</v>
      </c>
      <c r="O220" s="9">
        <f t="shared" ca="1" si="41"/>
        <v>1</v>
      </c>
      <c r="P220" s="9">
        <f t="shared" ca="1" si="42"/>
        <v>5</v>
      </c>
      <c r="Q220" s="11">
        <f t="shared" ca="1" si="43"/>
        <v>14.248307219471352</v>
      </c>
      <c r="R220" s="11">
        <f t="shared" ca="1" si="44"/>
        <v>9.8258827225343204</v>
      </c>
      <c r="S220" s="11">
        <f t="shared" ca="1" si="45"/>
        <v>0.64525153939642743</v>
      </c>
      <c r="T220" s="11">
        <f t="shared" ca="1" si="46"/>
        <v>2.0557050940309072</v>
      </c>
      <c r="V220" s="11">
        <f t="shared" ca="1" si="47"/>
        <v>0.64525153939642743</v>
      </c>
      <c r="W220" s="11">
        <f t="shared" ca="1" si="47"/>
        <v>0.46779316664244341</v>
      </c>
      <c r="X220" s="11">
        <f t="shared" ca="1" si="47"/>
        <v>2.1413601526522497E-2</v>
      </c>
    </row>
    <row r="221" spans="12:24" x14ac:dyDescent="0.45">
      <c r="L221" s="9">
        <v>217</v>
      </c>
      <c r="M221" s="11">
        <f t="shared" ca="1" si="39"/>
        <v>4.0032711570797384</v>
      </c>
      <c r="N221" s="19">
        <f t="shared" ca="1" si="40"/>
        <v>624.5048284700548</v>
      </c>
      <c r="O221" s="9">
        <f t="shared" ca="1" si="41"/>
        <v>2</v>
      </c>
      <c r="P221" s="9">
        <f t="shared" ca="1" si="42"/>
        <v>3</v>
      </c>
      <c r="Q221" s="11">
        <f t="shared" ca="1" si="43"/>
        <v>12.191825896309876</v>
      </c>
      <c r="R221" s="11">
        <f t="shared" ca="1" si="44"/>
        <v>9.4420122847883778</v>
      </c>
      <c r="S221" s="11" t="str">
        <f t="shared" ca="1" si="45"/>
        <v/>
      </c>
      <c r="T221" s="11">
        <f t="shared" ca="1" si="46"/>
        <v>0.74435140587896775</v>
      </c>
      <c r="V221" s="11">
        <f t="shared" ca="1" si="47"/>
        <v>4.9667620035564908E-2</v>
      </c>
      <c r="W221" s="11">
        <f t="shared" ca="1" si="47"/>
        <v>0.84699068619255347</v>
      </c>
      <c r="X221" s="11">
        <f t="shared" ca="1" si="47"/>
        <v>0.10607784117848285</v>
      </c>
    </row>
    <row r="222" spans="12:24" x14ac:dyDescent="0.45">
      <c r="L222" s="9">
        <v>218</v>
      </c>
      <c r="M222" s="11">
        <f t="shared" ca="1" si="39"/>
        <v>1.810911782075673</v>
      </c>
      <c r="N222" s="19">
        <f t="shared" ca="1" si="40"/>
        <v>329.9954343300559</v>
      </c>
      <c r="O222" s="9">
        <f t="shared" ca="1" si="41"/>
        <v>2</v>
      </c>
      <c r="P222" s="9">
        <f t="shared" ca="1" si="42"/>
        <v>4</v>
      </c>
      <c r="Q222" s="11">
        <f t="shared" ca="1" si="43"/>
        <v>7.9777465350946644</v>
      </c>
      <c r="R222" s="11">
        <f t="shared" ca="1" si="44"/>
        <v>8.8528511920849891</v>
      </c>
      <c r="S222" s="11">
        <f t="shared" ca="1" si="45"/>
        <v>0.38468914239517016</v>
      </c>
      <c r="T222" s="11">
        <f t="shared" ca="1" si="46"/>
        <v>6.4332451814833931</v>
      </c>
      <c r="V222" s="11">
        <f t="shared" ca="1" si="47"/>
        <v>0.38468914239517016</v>
      </c>
      <c r="W222" s="11">
        <f t="shared" ca="1" si="47"/>
        <v>9.4286103273201527E-2</v>
      </c>
      <c r="X222" s="11">
        <f t="shared" ca="1" si="47"/>
        <v>0.9363190367072507</v>
      </c>
    </row>
    <row r="223" spans="12:24" x14ac:dyDescent="0.45">
      <c r="L223" s="9">
        <v>219</v>
      </c>
      <c r="M223" s="11">
        <f t="shared" ca="1" si="39"/>
        <v>7.1385125164381789</v>
      </c>
      <c r="N223" s="19">
        <f t="shared" ca="1" si="40"/>
        <v>638.85075771450113</v>
      </c>
      <c r="O223" s="9">
        <f t="shared" ca="1" si="41"/>
        <v>1</v>
      </c>
      <c r="P223" s="9">
        <f t="shared" ca="1" si="42"/>
        <v>2</v>
      </c>
      <c r="Q223" s="11">
        <f t="shared" ca="1" si="43"/>
        <v>7.5521598721893604</v>
      </c>
      <c r="R223" s="11">
        <f t="shared" ca="1" si="44"/>
        <v>6.0062949217223789</v>
      </c>
      <c r="S223" s="11" t="str">
        <f t="shared" ca="1" si="45"/>
        <v/>
      </c>
      <c r="T223" s="11">
        <f t="shared" ca="1" si="46"/>
        <v>0.60656297507614498</v>
      </c>
      <c r="V223" s="11">
        <f t="shared" ca="1" si="47"/>
        <v>0.35321522076168488</v>
      </c>
      <c r="W223" s="11">
        <f t="shared" ca="1" si="47"/>
        <v>0.92748092170920127</v>
      </c>
      <c r="X223" s="11">
        <f t="shared" ca="1" si="47"/>
        <v>5.9488084880194747E-2</v>
      </c>
    </row>
    <row r="224" spans="12:24" x14ac:dyDescent="0.45">
      <c r="L224" s="9">
        <v>220</v>
      </c>
      <c r="M224" s="11">
        <f t="shared" ca="1" si="39"/>
        <v>5.7806182477748154</v>
      </c>
      <c r="N224" s="19">
        <f t="shared" ca="1" si="40"/>
        <v>459.47682754480599</v>
      </c>
      <c r="O224" s="9">
        <f t="shared" ca="1" si="41"/>
        <v>1</v>
      </c>
      <c r="P224" s="9">
        <f t="shared" ca="1" si="42"/>
        <v>2</v>
      </c>
      <c r="Q224" s="11">
        <f t="shared" ca="1" si="43"/>
        <v>10.829622928847247</v>
      </c>
      <c r="R224" s="11">
        <f t="shared" ca="1" si="44"/>
        <v>10.091061919513294</v>
      </c>
      <c r="S224" s="11">
        <f t="shared" ca="1" si="45"/>
        <v>0.31813833037226968</v>
      </c>
      <c r="T224" s="11">
        <f t="shared" ca="1" si="46"/>
        <v>1.8695471538153108</v>
      </c>
      <c r="V224" s="11">
        <f t="shared" ca="1" si="47"/>
        <v>0.31813833037226968</v>
      </c>
      <c r="W224" s="11">
        <f t="shared" ca="1" si="47"/>
        <v>0.32430607899196551</v>
      </c>
      <c r="X224" s="11">
        <f t="shared" ca="1" si="47"/>
        <v>0.20049439116652878</v>
      </c>
    </row>
    <row r="225" spans="12:24" x14ac:dyDescent="0.45">
      <c r="L225" s="9">
        <v>221</v>
      </c>
      <c r="M225" s="11">
        <f t="shared" ca="1" si="39"/>
        <v>5.3252317981739523</v>
      </c>
      <c r="N225" s="19">
        <f t="shared" ca="1" si="40"/>
        <v>1487.8058182301754</v>
      </c>
      <c r="O225" s="9">
        <f t="shared" ca="1" si="41"/>
        <v>3</v>
      </c>
      <c r="P225" s="9">
        <f t="shared" ca="1" si="42"/>
        <v>3</v>
      </c>
      <c r="Q225" s="11">
        <f t="shared" ca="1" si="43"/>
        <v>8.5312076045200271</v>
      </c>
      <c r="R225" s="11">
        <f t="shared" ca="1" si="44"/>
        <v>9.7128119382647515</v>
      </c>
      <c r="S225" s="11" t="str">
        <f t="shared" ca="1" si="45"/>
        <v/>
      </c>
      <c r="T225" s="11">
        <f t="shared" ca="1" si="46"/>
        <v>10.072085049880958</v>
      </c>
      <c r="V225" s="11">
        <f t="shared" ref="V225:X244" ca="1" si="48">RAND()</f>
        <v>0.35797393428404256</v>
      </c>
      <c r="W225" s="11">
        <f t="shared" ca="1" si="48"/>
        <v>0.93432592951758076</v>
      </c>
      <c r="X225" s="11">
        <f t="shared" ca="1" si="48"/>
        <v>0.84330661596306455</v>
      </c>
    </row>
    <row r="226" spans="12:24" x14ac:dyDescent="0.45">
      <c r="L226" s="9">
        <v>222</v>
      </c>
      <c r="M226" s="11">
        <f t="shared" ca="1" si="39"/>
        <v>0.58359798894972426</v>
      </c>
      <c r="N226" s="19">
        <f t="shared" ca="1" si="40"/>
        <v>1120.9107208334967</v>
      </c>
      <c r="O226" s="9">
        <f t="shared" ca="1" si="41"/>
        <v>2</v>
      </c>
      <c r="P226" s="9">
        <f t="shared" ca="1" si="42"/>
        <v>3</v>
      </c>
      <c r="Q226" s="11">
        <f t="shared" ca="1" si="43"/>
        <v>13.719414131541123</v>
      </c>
      <c r="R226" s="11">
        <f t="shared" ca="1" si="44"/>
        <v>7.2075135344822083</v>
      </c>
      <c r="S226" s="11">
        <f t="shared" ca="1" si="45"/>
        <v>0.54827414778521011</v>
      </c>
      <c r="T226" s="11">
        <f t="shared" ca="1" si="46"/>
        <v>1.9745883575481102</v>
      </c>
      <c r="V226" s="11">
        <f t="shared" ca="1" si="48"/>
        <v>0.54827414778521011</v>
      </c>
      <c r="W226" s="11">
        <f t="shared" ca="1" si="48"/>
        <v>0.49782779221195617</v>
      </c>
      <c r="X226" s="11">
        <f t="shared" ca="1" si="48"/>
        <v>0.82231353407100738</v>
      </c>
    </row>
    <row r="227" spans="12:24" x14ac:dyDescent="0.45">
      <c r="L227" s="9">
        <v>223</v>
      </c>
      <c r="M227" s="11">
        <f t="shared" ca="1" si="39"/>
        <v>3.0798744426901821</v>
      </c>
      <c r="N227" s="19">
        <f t="shared" ca="1" si="40"/>
        <v>874.67295448789002</v>
      </c>
      <c r="O227" s="9">
        <f t="shared" ca="1" si="41"/>
        <v>1</v>
      </c>
      <c r="P227" s="9">
        <f t="shared" ca="1" si="42"/>
        <v>4</v>
      </c>
      <c r="Q227" s="11">
        <f t="shared" ca="1" si="43"/>
        <v>6.6848099648361847</v>
      </c>
      <c r="R227" s="11">
        <f t="shared" ca="1" si="44"/>
        <v>8.4775061989418568</v>
      </c>
      <c r="S227" s="11">
        <f t="shared" ca="1" si="45"/>
        <v>0.43028244189754095</v>
      </c>
      <c r="T227" s="11">
        <f t="shared" ca="1" si="46"/>
        <v>0.21499034088261498</v>
      </c>
      <c r="V227" s="11">
        <f t="shared" ca="1" si="48"/>
        <v>0.43028244189754095</v>
      </c>
      <c r="W227" s="11">
        <f t="shared" ca="1" si="48"/>
        <v>0.13289662627342036</v>
      </c>
      <c r="X227" s="11">
        <f t="shared" ca="1" si="48"/>
        <v>0.18412022872203981</v>
      </c>
    </row>
    <row r="228" spans="12:24" x14ac:dyDescent="0.45">
      <c r="L228" s="9">
        <v>224</v>
      </c>
      <c r="M228" s="11">
        <f t="shared" ca="1" si="39"/>
        <v>4.932980088495138</v>
      </c>
      <c r="N228" s="19">
        <f t="shared" ca="1" si="40"/>
        <v>1157.7001828389753</v>
      </c>
      <c r="O228" s="9">
        <f t="shared" ca="1" si="41"/>
        <v>1</v>
      </c>
      <c r="P228" s="9">
        <f t="shared" ca="1" si="42"/>
        <v>2</v>
      </c>
      <c r="Q228" s="11">
        <f t="shared" ca="1" si="43"/>
        <v>5.9330567823516445</v>
      </c>
      <c r="R228" s="11">
        <f t="shared" ca="1" si="44"/>
        <v>11.532913609389134</v>
      </c>
      <c r="S228" s="11">
        <f t="shared" ca="1" si="45"/>
        <v>0.27521724370369449</v>
      </c>
      <c r="T228" s="11">
        <f t="shared" ca="1" si="46"/>
        <v>16.922885852678935</v>
      </c>
      <c r="V228" s="11">
        <f t="shared" ca="1" si="48"/>
        <v>0.27521724370369449</v>
      </c>
      <c r="W228" s="11">
        <f t="shared" ca="1" si="48"/>
        <v>0.2407277810845132</v>
      </c>
      <c r="X228" s="11">
        <f t="shared" ca="1" si="48"/>
        <v>0.88808748881332211</v>
      </c>
    </row>
    <row r="229" spans="12:24" x14ac:dyDescent="0.45">
      <c r="L229" s="9">
        <v>225</v>
      </c>
      <c r="M229" s="11">
        <f t="shared" ca="1" si="39"/>
        <v>5.6540594266074846</v>
      </c>
      <c r="N229" s="19">
        <f t="shared" ca="1" si="40"/>
        <v>660.37160087917425</v>
      </c>
      <c r="O229" s="9">
        <f t="shared" ca="1" si="41"/>
        <v>5</v>
      </c>
      <c r="P229" s="9">
        <f t="shared" ca="1" si="42"/>
        <v>2</v>
      </c>
      <c r="Q229" s="11">
        <f t="shared" ca="1" si="43"/>
        <v>8.6905871562014489</v>
      </c>
      <c r="R229" s="11">
        <f t="shared" ca="1" si="44"/>
        <v>7.7525707057160993</v>
      </c>
      <c r="S229" s="11">
        <f t="shared" ca="1" si="45"/>
        <v>0.54078192925978752</v>
      </c>
      <c r="T229" s="11">
        <f t="shared" ca="1" si="46"/>
        <v>1.586324446857567</v>
      </c>
      <c r="V229" s="11">
        <f t="shared" ca="1" si="48"/>
        <v>0.54078192925978752</v>
      </c>
      <c r="W229" s="11">
        <f t="shared" ca="1" si="48"/>
        <v>0.44336057888691482</v>
      </c>
      <c r="X229" s="11">
        <f t="shared" ca="1" si="48"/>
        <v>4.8889743910169536E-2</v>
      </c>
    </row>
    <row r="230" spans="12:24" x14ac:dyDescent="0.45">
      <c r="L230" s="9">
        <v>226</v>
      </c>
      <c r="M230" s="11">
        <f t="shared" ca="1" si="39"/>
        <v>3.0760195354738342</v>
      </c>
      <c r="N230" s="19">
        <f t="shared" ca="1" si="40"/>
        <v>724.26845097872058</v>
      </c>
      <c r="O230" s="9">
        <f t="shared" ca="1" si="41"/>
        <v>5</v>
      </c>
      <c r="P230" s="9">
        <f t="shared" ca="1" si="42"/>
        <v>2</v>
      </c>
      <c r="Q230" s="11">
        <f t="shared" ca="1" si="43"/>
        <v>22.899764085430053</v>
      </c>
      <c r="R230" s="11">
        <f t="shared" ca="1" si="44"/>
        <v>9.1353489565384649</v>
      </c>
      <c r="S230" s="11">
        <f t="shared" ca="1" si="45"/>
        <v>0.72618413590090281</v>
      </c>
      <c r="T230" s="11">
        <f t="shared" ca="1" si="46"/>
        <v>1.032605917481116</v>
      </c>
      <c r="V230" s="11">
        <f t="shared" ca="1" si="48"/>
        <v>0.72618413590090281</v>
      </c>
      <c r="W230" s="11">
        <f t="shared" ca="1" si="48"/>
        <v>0.18894508743608407</v>
      </c>
      <c r="X230" s="11">
        <f t="shared" ca="1" si="48"/>
        <v>0.20767177006925075</v>
      </c>
    </row>
    <row r="231" spans="12:24" x14ac:dyDescent="0.45">
      <c r="L231" s="9">
        <v>227</v>
      </c>
      <c r="M231" s="11">
        <f t="shared" ca="1" si="39"/>
        <v>0.21602502773020529</v>
      </c>
      <c r="N231" s="19">
        <f t="shared" ca="1" si="40"/>
        <v>1357.0243739206719</v>
      </c>
      <c r="O231" s="9">
        <f t="shared" ca="1" si="41"/>
        <v>1</v>
      </c>
      <c r="P231" s="9">
        <f t="shared" ca="1" si="42"/>
        <v>2</v>
      </c>
      <c r="Q231" s="11">
        <f t="shared" ca="1" si="43"/>
        <v>6.1885717890516165</v>
      </c>
      <c r="R231" s="11">
        <f t="shared" ca="1" si="44"/>
        <v>11.537651767717193</v>
      </c>
      <c r="S231" s="11">
        <f t="shared" ca="1" si="45"/>
        <v>0.75974951350602882</v>
      </c>
      <c r="T231" s="11">
        <f t="shared" ca="1" si="46"/>
        <v>0.43952634993181799</v>
      </c>
      <c r="V231" s="11">
        <f t="shared" ca="1" si="48"/>
        <v>0.75974951350602882</v>
      </c>
      <c r="W231" s="11">
        <f t="shared" ca="1" si="48"/>
        <v>0.14716997710700852</v>
      </c>
      <c r="X231" s="11">
        <f t="shared" ca="1" si="48"/>
        <v>0.17461388801354383</v>
      </c>
    </row>
    <row r="232" spans="12:24" x14ac:dyDescent="0.45">
      <c r="L232" s="9">
        <v>228</v>
      </c>
      <c r="M232" s="11">
        <f t="shared" ca="1" si="39"/>
        <v>2.4992562629003618</v>
      </c>
      <c r="N232" s="19">
        <f t="shared" ca="1" si="40"/>
        <v>838.17025066182669</v>
      </c>
      <c r="O232" s="9">
        <f t="shared" ca="1" si="41"/>
        <v>2</v>
      </c>
      <c r="P232" s="9">
        <f t="shared" ca="1" si="42"/>
        <v>2</v>
      </c>
      <c r="Q232" s="11">
        <f t="shared" ca="1" si="43"/>
        <v>4.3058859105323588</v>
      </c>
      <c r="R232" s="11">
        <f t="shared" ca="1" si="44"/>
        <v>10.322832669909264</v>
      </c>
      <c r="S232" s="11">
        <f t="shared" ca="1" si="45"/>
        <v>0.4114960198879053</v>
      </c>
      <c r="T232" s="11">
        <f t="shared" ca="1" si="46"/>
        <v>7.4011457752561958</v>
      </c>
      <c r="V232" s="11">
        <f t="shared" ca="1" si="48"/>
        <v>0.4114960198879053</v>
      </c>
      <c r="W232" s="11">
        <f t="shared" ca="1" si="48"/>
        <v>0.25253175289590624</v>
      </c>
      <c r="X232" s="11">
        <f t="shared" ca="1" si="48"/>
        <v>0.70995489146467561</v>
      </c>
    </row>
    <row r="233" spans="12:24" x14ac:dyDescent="0.45">
      <c r="L233" s="9">
        <v>229</v>
      </c>
      <c r="M233" s="11">
        <f t="shared" ca="1" si="39"/>
        <v>5.0179649051084683</v>
      </c>
      <c r="N233" s="19">
        <f t="shared" ca="1" si="40"/>
        <v>1076.9731902515991</v>
      </c>
      <c r="O233" s="9">
        <f t="shared" ca="1" si="41"/>
        <v>5</v>
      </c>
      <c r="P233" s="9">
        <f t="shared" ca="1" si="42"/>
        <v>3</v>
      </c>
      <c r="Q233" s="11">
        <f t="shared" ca="1" si="43"/>
        <v>3.668177491344943</v>
      </c>
      <c r="R233" s="11">
        <f t="shared" ca="1" si="44"/>
        <v>9.020766986280579</v>
      </c>
      <c r="S233" s="11">
        <f t="shared" ca="1" si="45"/>
        <v>0.52706674578323731</v>
      </c>
      <c r="T233" s="11">
        <f t="shared" ca="1" si="46"/>
        <v>0.87985870453183268</v>
      </c>
      <c r="V233" s="11">
        <f t="shared" ca="1" si="48"/>
        <v>0.52706674578323731</v>
      </c>
      <c r="W233" s="11">
        <f t="shared" ca="1" si="48"/>
        <v>0.49848850487285146</v>
      </c>
      <c r="X233" s="11">
        <f t="shared" ca="1" si="48"/>
        <v>0.13384371526389338</v>
      </c>
    </row>
    <row r="234" spans="12:24" x14ac:dyDescent="0.45">
      <c r="L234" s="9">
        <v>230</v>
      </c>
      <c r="M234" s="11">
        <f t="shared" ca="1" si="39"/>
        <v>7.7146969898495676</v>
      </c>
      <c r="N234" s="19">
        <f t="shared" ca="1" si="40"/>
        <v>971.57471168953475</v>
      </c>
      <c r="O234" s="9">
        <f t="shared" ca="1" si="41"/>
        <v>1</v>
      </c>
      <c r="P234" s="9">
        <f t="shared" ca="1" si="42"/>
        <v>0</v>
      </c>
      <c r="Q234" s="11">
        <f t="shared" ca="1" si="43"/>
        <v>10.789022400723058</v>
      </c>
      <c r="R234" s="11">
        <f t="shared" ca="1" si="44"/>
        <v>12.240975274698917</v>
      </c>
      <c r="S234" s="11" t="str">
        <f t="shared" ca="1" si="45"/>
        <v/>
      </c>
      <c r="T234" s="11">
        <f t="shared" ca="1" si="46"/>
        <v>1.423328637070137</v>
      </c>
      <c r="V234" s="11">
        <f t="shared" ca="1" si="48"/>
        <v>0.35666211381452773</v>
      </c>
      <c r="W234" s="11">
        <f t="shared" ca="1" si="48"/>
        <v>0.94908517091171063</v>
      </c>
      <c r="X234" s="11">
        <f t="shared" ca="1" si="48"/>
        <v>0.39030473406462585</v>
      </c>
    </row>
    <row r="235" spans="12:24" x14ac:dyDescent="0.45">
      <c r="L235" s="9">
        <v>231</v>
      </c>
      <c r="M235" s="11">
        <f t="shared" ca="1" si="39"/>
        <v>0.98573488629873818</v>
      </c>
      <c r="N235" s="19">
        <f t="shared" ca="1" si="40"/>
        <v>268.03296181330359</v>
      </c>
      <c r="O235" s="9">
        <f t="shared" ca="1" si="41"/>
        <v>1</v>
      </c>
      <c r="P235" s="9">
        <f t="shared" ca="1" si="42"/>
        <v>3</v>
      </c>
      <c r="Q235" s="11">
        <f t="shared" ca="1" si="43"/>
        <v>10.499456563303701</v>
      </c>
      <c r="R235" s="11">
        <f t="shared" ca="1" si="44"/>
        <v>10.012353308489253</v>
      </c>
      <c r="S235" s="11">
        <f t="shared" ca="1" si="45"/>
        <v>0.8562025514440903</v>
      </c>
      <c r="T235" s="11">
        <f t="shared" ca="1" si="46"/>
        <v>0.53905516813956467</v>
      </c>
      <c r="V235" s="11">
        <f t="shared" ca="1" si="48"/>
        <v>0.8562025514440903</v>
      </c>
      <c r="W235" s="11">
        <f t="shared" ca="1" si="48"/>
        <v>0.48096977172462485</v>
      </c>
      <c r="X235" s="11">
        <f t="shared" ca="1" si="48"/>
        <v>0.83509660123726359</v>
      </c>
    </row>
    <row r="236" spans="12:24" x14ac:dyDescent="0.45">
      <c r="L236" s="9">
        <v>232</v>
      </c>
      <c r="M236" s="11">
        <f t="shared" ca="1" si="39"/>
        <v>2.7904649988750481</v>
      </c>
      <c r="N236" s="19">
        <f t="shared" ca="1" si="40"/>
        <v>37.602369345882231</v>
      </c>
      <c r="O236" s="9">
        <f t="shared" ca="1" si="41"/>
        <v>2</v>
      </c>
      <c r="P236" s="9">
        <f t="shared" ca="1" si="42"/>
        <v>4</v>
      </c>
      <c r="Q236" s="11">
        <f t="shared" ca="1" si="43"/>
        <v>2.1537983379224332</v>
      </c>
      <c r="R236" s="11">
        <f t="shared" ca="1" si="44"/>
        <v>6.3450359325905428</v>
      </c>
      <c r="S236" s="11">
        <f t="shared" ca="1" si="45"/>
        <v>0.53910268670756445</v>
      </c>
      <c r="T236" s="11">
        <f t="shared" ca="1" si="46"/>
        <v>5.6949647585147343</v>
      </c>
      <c r="V236" s="11">
        <f t="shared" ca="1" si="48"/>
        <v>0.53910268670756445</v>
      </c>
      <c r="W236" s="11">
        <f t="shared" ca="1" si="48"/>
        <v>0.31885332509226705</v>
      </c>
      <c r="X236" s="11">
        <f t="shared" ca="1" si="48"/>
        <v>0.57802654816654597</v>
      </c>
    </row>
    <row r="237" spans="12:24" x14ac:dyDescent="0.45">
      <c r="L237" s="9">
        <v>233</v>
      </c>
      <c r="M237" s="11">
        <f t="shared" ca="1" si="39"/>
        <v>5.0693243561086589</v>
      </c>
      <c r="N237" s="19">
        <f t="shared" ca="1" si="40"/>
        <v>1272.3392394962732</v>
      </c>
      <c r="O237" s="9">
        <f t="shared" ca="1" si="41"/>
        <v>2</v>
      </c>
      <c r="P237" s="9">
        <f t="shared" ca="1" si="42"/>
        <v>5</v>
      </c>
      <c r="Q237" s="11">
        <f t="shared" ca="1" si="43"/>
        <v>6.3224491148330939</v>
      </c>
      <c r="R237" s="11">
        <f t="shared" ca="1" si="44"/>
        <v>9.5504346530789963</v>
      </c>
      <c r="S237" s="11">
        <f t="shared" ca="1" si="45"/>
        <v>0.62631168706476648</v>
      </c>
      <c r="T237" s="11">
        <f t="shared" ca="1" si="46"/>
        <v>5.3144104550023723</v>
      </c>
      <c r="V237" s="11">
        <f t="shared" ca="1" si="48"/>
        <v>0.62631168706476648</v>
      </c>
      <c r="W237" s="11">
        <f t="shared" ca="1" si="48"/>
        <v>0.7918990111202231</v>
      </c>
      <c r="X237" s="11">
        <f t="shared" ca="1" si="48"/>
        <v>0.71234275657943236</v>
      </c>
    </row>
    <row r="238" spans="12:24" x14ac:dyDescent="0.45">
      <c r="L238" s="9">
        <v>234</v>
      </c>
      <c r="M238" s="11">
        <f t="shared" ca="1" si="39"/>
        <v>1.0324728544913413</v>
      </c>
      <c r="N238" s="19">
        <f t="shared" ca="1" si="40"/>
        <v>473.11919426324465</v>
      </c>
      <c r="O238" s="9">
        <f t="shared" ca="1" si="41"/>
        <v>2</v>
      </c>
      <c r="P238" s="9">
        <f t="shared" ca="1" si="42"/>
        <v>1</v>
      </c>
      <c r="Q238" s="11">
        <f t="shared" ca="1" si="43"/>
        <v>2.6625969478683302</v>
      </c>
      <c r="R238" s="11">
        <f t="shared" ca="1" si="44"/>
        <v>10.055995516052812</v>
      </c>
      <c r="S238" s="11">
        <f t="shared" ca="1" si="45"/>
        <v>0.59161337512684853</v>
      </c>
      <c r="T238" s="11">
        <f t="shared" ca="1" si="46"/>
        <v>1.3269323726180204</v>
      </c>
      <c r="V238" s="11">
        <f t="shared" ca="1" si="48"/>
        <v>0.59161337512684853</v>
      </c>
      <c r="W238" s="11">
        <f t="shared" ca="1" si="48"/>
        <v>0.8246006243170485</v>
      </c>
      <c r="X238" s="11">
        <f t="shared" ca="1" si="48"/>
        <v>0.69646867419169911</v>
      </c>
    </row>
    <row r="239" spans="12:24" x14ac:dyDescent="0.45">
      <c r="L239" s="9">
        <v>235</v>
      </c>
      <c r="M239" s="11">
        <f t="shared" ca="1" si="39"/>
        <v>1.8164527052364237</v>
      </c>
      <c r="N239" s="19">
        <f t="shared" ca="1" si="40"/>
        <v>79.860686044265691</v>
      </c>
      <c r="O239" s="9">
        <f t="shared" ca="1" si="41"/>
        <v>1</v>
      </c>
      <c r="P239" s="9">
        <f t="shared" ca="1" si="42"/>
        <v>3</v>
      </c>
      <c r="Q239" s="11">
        <f t="shared" ca="1" si="43"/>
        <v>13.519387116564493</v>
      </c>
      <c r="R239" s="11">
        <f t="shared" ca="1" si="44"/>
        <v>10.945403064699653</v>
      </c>
      <c r="S239" s="11">
        <f t="shared" ca="1" si="45"/>
        <v>0.13802242355307226</v>
      </c>
      <c r="T239" s="11">
        <f t="shared" ca="1" si="46"/>
        <v>1.8718794035089288</v>
      </c>
      <c r="V239" s="11">
        <f t="shared" ca="1" si="48"/>
        <v>0.13802242355307226</v>
      </c>
      <c r="W239" s="11">
        <f t="shared" ca="1" si="48"/>
        <v>0.20596562225062354</v>
      </c>
      <c r="X239" s="11">
        <f t="shared" ca="1" si="48"/>
        <v>0.74854379134681759</v>
      </c>
    </row>
    <row r="240" spans="12:24" x14ac:dyDescent="0.45">
      <c r="L240" s="9">
        <v>236</v>
      </c>
      <c r="M240" s="11">
        <f t="shared" ca="1" si="39"/>
        <v>13.200667758248876</v>
      </c>
      <c r="N240" s="19">
        <f t="shared" ca="1" si="40"/>
        <v>446.18116658379716</v>
      </c>
      <c r="O240" s="9">
        <f t="shared" ca="1" si="41"/>
        <v>2</v>
      </c>
      <c r="P240" s="9">
        <f t="shared" ca="1" si="42"/>
        <v>0</v>
      </c>
      <c r="Q240" s="11">
        <f t="shared" ca="1" si="43"/>
        <v>2.0186495839815866</v>
      </c>
      <c r="R240" s="11">
        <f t="shared" ca="1" si="44"/>
        <v>11.142643832619074</v>
      </c>
      <c r="S240" s="11" t="str">
        <f t="shared" ca="1" si="45"/>
        <v/>
      </c>
      <c r="T240" s="11">
        <f t="shared" ca="1" si="46"/>
        <v>4.3294704068511098</v>
      </c>
      <c r="V240" s="11">
        <f t="shared" ca="1" si="48"/>
        <v>0.16944609553728185</v>
      </c>
      <c r="W240" s="11">
        <f t="shared" ca="1" si="48"/>
        <v>0.82557444373862243</v>
      </c>
      <c r="X240" s="11">
        <f t="shared" ca="1" si="48"/>
        <v>0.5043525217691307</v>
      </c>
    </row>
    <row r="241" spans="12:24" x14ac:dyDescent="0.45">
      <c r="L241" s="9">
        <v>237</v>
      </c>
      <c r="M241" s="11">
        <f t="shared" ca="1" si="39"/>
        <v>4.3621168898560629</v>
      </c>
      <c r="N241" s="19">
        <f t="shared" ca="1" si="40"/>
        <v>749.51474839071614</v>
      </c>
      <c r="O241" s="9">
        <f t="shared" ca="1" si="41"/>
        <v>1</v>
      </c>
      <c r="P241" s="9">
        <f t="shared" ca="1" si="42"/>
        <v>5</v>
      </c>
      <c r="Q241" s="11">
        <f t="shared" ca="1" si="43"/>
        <v>1.1362080121312428</v>
      </c>
      <c r="R241" s="11">
        <f t="shared" ca="1" si="44"/>
        <v>12.725036626234509</v>
      </c>
      <c r="S241" s="11">
        <f t="shared" ca="1" si="45"/>
        <v>0.35879226210784143</v>
      </c>
      <c r="T241" s="11">
        <f t="shared" ca="1" si="46"/>
        <v>1.5523864798087268</v>
      </c>
      <c r="V241" s="11">
        <f t="shared" ca="1" si="48"/>
        <v>0.35879226210784143</v>
      </c>
      <c r="W241" s="11">
        <f t="shared" ca="1" si="48"/>
        <v>0.88460509398562581</v>
      </c>
      <c r="X241" s="11">
        <f t="shared" ca="1" si="48"/>
        <v>0.4888595899934971</v>
      </c>
    </row>
    <row r="242" spans="12:24" x14ac:dyDescent="0.45">
      <c r="L242" s="9">
        <v>238</v>
      </c>
      <c r="M242" s="11">
        <f t="shared" ca="1" si="39"/>
        <v>3.3096864744378158</v>
      </c>
      <c r="N242" s="19">
        <f t="shared" ca="1" si="40"/>
        <v>1117.374559064692</v>
      </c>
      <c r="O242" s="9">
        <f t="shared" ca="1" si="41"/>
        <v>1</v>
      </c>
      <c r="P242" s="9">
        <f t="shared" ca="1" si="42"/>
        <v>3</v>
      </c>
      <c r="Q242" s="11">
        <f t="shared" ca="1" si="43"/>
        <v>4.509666077482045</v>
      </c>
      <c r="R242" s="11">
        <f t="shared" ca="1" si="44"/>
        <v>7.8721027523806502</v>
      </c>
      <c r="S242" s="11">
        <f t="shared" ca="1" si="45"/>
        <v>0.69722318083113788</v>
      </c>
      <c r="T242" s="11">
        <f t="shared" ca="1" si="46"/>
        <v>2.7347457829797812</v>
      </c>
      <c r="V242" s="11">
        <f t="shared" ca="1" si="48"/>
        <v>0.69722318083113788</v>
      </c>
      <c r="W242" s="11">
        <f t="shared" ca="1" si="48"/>
        <v>1.1278008469358336E-2</v>
      </c>
      <c r="X242" s="11">
        <f t="shared" ca="1" si="48"/>
        <v>0.77708978892630032</v>
      </c>
    </row>
    <row r="243" spans="12:24" x14ac:dyDescent="0.45">
      <c r="L243" s="9">
        <v>239</v>
      </c>
      <c r="M243" s="11">
        <f t="shared" ca="1" si="39"/>
        <v>4.3476452006051662</v>
      </c>
      <c r="N243" s="19">
        <f t="shared" ca="1" si="40"/>
        <v>1230.4473109677783</v>
      </c>
      <c r="O243" s="9">
        <f t="shared" ca="1" si="41"/>
        <v>3</v>
      </c>
      <c r="P243" s="9">
        <f t="shared" ca="1" si="42"/>
        <v>2</v>
      </c>
      <c r="Q243" s="11">
        <f t="shared" ca="1" si="43"/>
        <v>9.5458846262111212</v>
      </c>
      <c r="R243" s="11">
        <f t="shared" ca="1" si="44"/>
        <v>10.905733627613802</v>
      </c>
      <c r="S243" s="11">
        <f t="shared" ca="1" si="45"/>
        <v>0.7652204793661036</v>
      </c>
      <c r="T243" s="11">
        <f t="shared" ca="1" si="46"/>
        <v>4.1438233004649554</v>
      </c>
      <c r="V243" s="11">
        <f t="shared" ca="1" si="48"/>
        <v>0.7652204793661036</v>
      </c>
      <c r="W243" s="11">
        <f t="shared" ca="1" si="48"/>
        <v>0.57962839259041832</v>
      </c>
      <c r="X243" s="11">
        <f t="shared" ca="1" si="48"/>
        <v>0.75879190089787751</v>
      </c>
    </row>
    <row r="244" spans="12:24" x14ac:dyDescent="0.45">
      <c r="L244" s="9">
        <v>240</v>
      </c>
      <c r="M244" s="11">
        <f t="shared" ca="1" si="39"/>
        <v>5.7261957938042771</v>
      </c>
      <c r="N244" s="19">
        <f t="shared" ca="1" si="40"/>
        <v>380.90838151972264</v>
      </c>
      <c r="O244" s="9">
        <f t="shared" ca="1" si="41"/>
        <v>1</v>
      </c>
      <c r="P244" s="9">
        <f t="shared" ca="1" si="42"/>
        <v>5</v>
      </c>
      <c r="Q244" s="11">
        <f t="shared" ca="1" si="43"/>
        <v>10.704747482008672</v>
      </c>
      <c r="R244" s="11">
        <f t="shared" ca="1" si="44"/>
        <v>9.3135933444040031</v>
      </c>
      <c r="S244" s="11" t="str">
        <f t="shared" ca="1" si="45"/>
        <v/>
      </c>
      <c r="T244" s="11">
        <f t="shared" ca="1" si="46"/>
        <v>10.654762664563748</v>
      </c>
      <c r="V244" s="11">
        <f t="shared" ca="1" si="48"/>
        <v>0.96104985576319213</v>
      </c>
      <c r="W244" s="11">
        <f t="shared" ca="1" si="48"/>
        <v>0.89486064546524213</v>
      </c>
      <c r="X244" s="11">
        <f t="shared" ca="1" si="48"/>
        <v>0.39324368315121028</v>
      </c>
    </row>
    <row r="245" spans="12:24" x14ac:dyDescent="0.45">
      <c r="L245" s="9">
        <v>241</v>
      </c>
      <c r="M245" s="11">
        <f t="shared" ca="1" si="39"/>
        <v>9.2270098566821552</v>
      </c>
      <c r="N245" s="19">
        <f t="shared" ca="1" si="40"/>
        <v>802.07254767116729</v>
      </c>
      <c r="O245" s="9">
        <f t="shared" ca="1" si="41"/>
        <v>1</v>
      </c>
      <c r="P245" s="9">
        <f t="shared" ca="1" si="42"/>
        <v>0</v>
      </c>
      <c r="Q245" s="11">
        <f t="shared" ca="1" si="43"/>
        <v>3.913951178440731</v>
      </c>
      <c r="R245" s="11">
        <f t="shared" ca="1" si="44"/>
        <v>10.288421512087135</v>
      </c>
      <c r="S245" s="11">
        <f t="shared" ca="1" si="45"/>
        <v>0.3890829744265365</v>
      </c>
      <c r="T245" s="11">
        <f t="shared" ca="1" si="46"/>
        <v>2.0682454750966017</v>
      </c>
      <c r="V245" s="11">
        <f t="shared" ref="V245:X264" ca="1" si="49">RAND()</f>
        <v>0.3890829744265365</v>
      </c>
      <c r="W245" s="11">
        <f t="shared" ca="1" si="49"/>
        <v>0.43199045222090626</v>
      </c>
      <c r="X245" s="11">
        <f t="shared" ca="1" si="49"/>
        <v>0.27055542338464</v>
      </c>
    </row>
    <row r="246" spans="12:24" x14ac:dyDescent="0.45">
      <c r="L246" s="9">
        <v>242</v>
      </c>
      <c r="M246" s="11">
        <f t="shared" ca="1" si="39"/>
        <v>9.768511727329459</v>
      </c>
      <c r="N246" s="19">
        <f t="shared" ca="1" si="40"/>
        <v>294.82714769512421</v>
      </c>
      <c r="O246" s="9">
        <f t="shared" ca="1" si="41"/>
        <v>1</v>
      </c>
      <c r="P246" s="9">
        <f t="shared" ca="1" si="42"/>
        <v>4</v>
      </c>
      <c r="Q246" s="11">
        <f t="shared" ca="1" si="43"/>
        <v>3.9843403664291248</v>
      </c>
      <c r="R246" s="11">
        <f t="shared" ca="1" si="44"/>
        <v>11.27727913188027</v>
      </c>
      <c r="S246" s="11">
        <f t="shared" ca="1" si="45"/>
        <v>0.24880435803229262</v>
      </c>
      <c r="T246" s="11">
        <f t="shared" ca="1" si="46"/>
        <v>3.869229324137867</v>
      </c>
      <c r="V246" s="11">
        <f t="shared" ca="1" si="49"/>
        <v>0.24880435803229262</v>
      </c>
      <c r="W246" s="11">
        <f t="shared" ca="1" si="49"/>
        <v>0.35989036947691244</v>
      </c>
      <c r="X246" s="11">
        <f t="shared" ca="1" si="49"/>
        <v>0.51522023572056408</v>
      </c>
    </row>
    <row r="247" spans="12:24" x14ac:dyDescent="0.45">
      <c r="L247" s="9">
        <v>243</v>
      </c>
      <c r="M247" s="11">
        <f t="shared" ca="1" si="39"/>
        <v>1.370780712756908</v>
      </c>
      <c r="N247" s="19">
        <f t="shared" ca="1" si="40"/>
        <v>678.10676159336708</v>
      </c>
      <c r="O247" s="9">
        <f t="shared" ca="1" si="41"/>
        <v>2</v>
      </c>
      <c r="P247" s="9">
        <f t="shared" ca="1" si="42"/>
        <v>10</v>
      </c>
      <c r="Q247" s="11">
        <f t="shared" ca="1" si="43"/>
        <v>7.0283054026867839</v>
      </c>
      <c r="R247" s="11">
        <f t="shared" ca="1" si="44"/>
        <v>13.336695182803922</v>
      </c>
      <c r="S247" s="11">
        <f t="shared" ca="1" si="45"/>
        <v>0.12468917945125058</v>
      </c>
      <c r="T247" s="11">
        <f t="shared" ca="1" si="46"/>
        <v>8.0621076082185787</v>
      </c>
      <c r="V247" s="11">
        <f t="shared" ca="1" si="49"/>
        <v>0.12468917945125058</v>
      </c>
      <c r="W247" s="11">
        <f t="shared" ca="1" si="49"/>
        <v>0.20496342633099651</v>
      </c>
      <c r="X247" s="11">
        <f t="shared" ca="1" si="49"/>
        <v>0.90372273247111468</v>
      </c>
    </row>
    <row r="248" spans="12:24" x14ac:dyDescent="0.45">
      <c r="L248" s="9">
        <v>244</v>
      </c>
      <c r="M248" s="11">
        <f t="shared" ca="1" si="39"/>
        <v>4.8162044354714686</v>
      </c>
      <c r="N248" s="19">
        <f t="shared" ca="1" si="40"/>
        <v>43.676925543096345</v>
      </c>
      <c r="O248" s="9">
        <f t="shared" ca="1" si="41"/>
        <v>1</v>
      </c>
      <c r="P248" s="9">
        <f t="shared" ca="1" si="42"/>
        <v>0</v>
      </c>
      <c r="Q248" s="11">
        <f t="shared" ca="1" si="43"/>
        <v>3.1697082869124951</v>
      </c>
      <c r="R248" s="11">
        <f t="shared" ca="1" si="44"/>
        <v>8.577806387423708</v>
      </c>
      <c r="S248" s="11" t="str">
        <f t="shared" ca="1" si="45"/>
        <v/>
      </c>
      <c r="T248" s="11">
        <f t="shared" ca="1" si="46"/>
        <v>0.54809310164170477</v>
      </c>
      <c r="V248" s="11">
        <f t="shared" ca="1" si="49"/>
        <v>0.65411548784712426</v>
      </c>
      <c r="W248" s="11">
        <f t="shared" ca="1" si="49"/>
        <v>0.94941361941421143</v>
      </c>
      <c r="X248" s="11">
        <f t="shared" ca="1" si="49"/>
        <v>0.77842095895812879</v>
      </c>
    </row>
    <row r="249" spans="12:24" x14ac:dyDescent="0.45">
      <c r="L249" s="9">
        <v>245</v>
      </c>
      <c r="M249" s="11">
        <f t="shared" ca="1" si="39"/>
        <v>7.0657229383926738</v>
      </c>
      <c r="N249" s="19">
        <f t="shared" ca="1" si="40"/>
        <v>217.73559507831246</v>
      </c>
      <c r="O249" s="9">
        <f t="shared" ca="1" si="41"/>
        <v>1</v>
      </c>
      <c r="P249" s="9">
        <f t="shared" ca="1" si="42"/>
        <v>3</v>
      </c>
      <c r="Q249" s="11">
        <f t="shared" ca="1" si="43"/>
        <v>16.320755406144261</v>
      </c>
      <c r="R249" s="11">
        <f t="shared" ca="1" si="44"/>
        <v>10.670818503310128</v>
      </c>
      <c r="S249" s="11">
        <f t="shared" ca="1" si="45"/>
        <v>0.5035497086740055</v>
      </c>
      <c r="T249" s="11">
        <f t="shared" ca="1" si="46"/>
        <v>5.2187019814755455</v>
      </c>
      <c r="V249" s="11">
        <f t="shared" ca="1" si="49"/>
        <v>0.5035497086740055</v>
      </c>
      <c r="W249" s="11">
        <f t="shared" ca="1" si="49"/>
        <v>0.93912367821252307</v>
      </c>
      <c r="X249" s="11">
        <f t="shared" ca="1" si="49"/>
        <v>0.73520544712149749</v>
      </c>
    </row>
    <row r="250" spans="12:24" x14ac:dyDescent="0.45">
      <c r="L250" s="9">
        <v>246</v>
      </c>
      <c r="M250" s="11">
        <f t="shared" ca="1" si="39"/>
        <v>0.94674043169668065</v>
      </c>
      <c r="N250" s="19">
        <f t="shared" ca="1" si="40"/>
        <v>811.29523666225339</v>
      </c>
      <c r="O250" s="9">
        <f t="shared" ca="1" si="41"/>
        <v>1</v>
      </c>
      <c r="P250" s="9">
        <f t="shared" ca="1" si="42"/>
        <v>2</v>
      </c>
      <c r="Q250" s="11">
        <f t="shared" ca="1" si="43"/>
        <v>6.7619028135127168</v>
      </c>
      <c r="R250" s="11">
        <f t="shared" ca="1" si="44"/>
        <v>7.491684067672292</v>
      </c>
      <c r="S250" s="11" t="str">
        <f t="shared" ca="1" si="45"/>
        <v/>
      </c>
      <c r="T250" s="11">
        <f t="shared" ca="1" si="46"/>
        <v>26.621592149506526</v>
      </c>
      <c r="V250" s="11">
        <f t="shared" ca="1" si="49"/>
        <v>0.84871837429064767</v>
      </c>
      <c r="W250" s="11">
        <f t="shared" ca="1" si="49"/>
        <v>0.7637375212452624</v>
      </c>
      <c r="X250" s="11">
        <f t="shared" ca="1" si="49"/>
        <v>0.8711073704918445</v>
      </c>
    </row>
    <row r="251" spans="12:24" x14ac:dyDescent="0.45">
      <c r="L251" s="9">
        <v>247</v>
      </c>
      <c r="M251" s="11">
        <f t="shared" ca="1" si="39"/>
        <v>2.7795886459766761</v>
      </c>
      <c r="N251" s="19">
        <f t="shared" ca="1" si="40"/>
        <v>1035.4025190700663</v>
      </c>
      <c r="O251" s="9">
        <f t="shared" ca="1" si="41"/>
        <v>2</v>
      </c>
      <c r="P251" s="9">
        <f t="shared" ca="1" si="42"/>
        <v>3</v>
      </c>
      <c r="Q251" s="11">
        <f t="shared" ca="1" si="43"/>
        <v>7.5780824476290674</v>
      </c>
      <c r="R251" s="11">
        <f t="shared" ca="1" si="44"/>
        <v>12.637036660874809</v>
      </c>
      <c r="S251" s="11">
        <f t="shared" ca="1" si="45"/>
        <v>0.47933775968726366</v>
      </c>
      <c r="T251" s="11">
        <f t="shared" ca="1" si="46"/>
        <v>10.099846326745265</v>
      </c>
      <c r="V251" s="11">
        <f t="shared" ca="1" si="49"/>
        <v>0.47933775968726366</v>
      </c>
      <c r="W251" s="11">
        <f t="shared" ca="1" si="49"/>
        <v>7.0116808069691339E-2</v>
      </c>
      <c r="X251" s="11">
        <f t="shared" ca="1" si="49"/>
        <v>0.96834236011965413</v>
      </c>
    </row>
    <row r="252" spans="12:24" x14ac:dyDescent="0.45">
      <c r="L252" s="9">
        <v>248</v>
      </c>
      <c r="M252" s="11">
        <f t="shared" ca="1" si="39"/>
        <v>3.1852404715049616</v>
      </c>
      <c r="N252" s="19">
        <f t="shared" ca="1" si="40"/>
        <v>1032.9786150007385</v>
      </c>
      <c r="O252" s="9">
        <f t="shared" ca="1" si="41"/>
        <v>1</v>
      </c>
      <c r="P252" s="9">
        <f t="shared" ca="1" si="42"/>
        <v>3</v>
      </c>
      <c r="Q252" s="11">
        <f t="shared" ca="1" si="43"/>
        <v>10.589215914555119</v>
      </c>
      <c r="R252" s="11">
        <f t="shared" ca="1" si="44"/>
        <v>13.243007461962749</v>
      </c>
      <c r="S252" s="11" t="str">
        <f t="shared" ca="1" si="45"/>
        <v/>
      </c>
      <c r="T252" s="11">
        <f t="shared" ca="1" si="46"/>
        <v>1.1585572727996964</v>
      </c>
      <c r="V252" s="11">
        <f t="shared" ca="1" si="49"/>
        <v>3.1550869376738122E-2</v>
      </c>
      <c r="W252" s="11">
        <f t="shared" ca="1" si="49"/>
        <v>0.90185389671360761</v>
      </c>
      <c r="X252" s="11">
        <f t="shared" ca="1" si="49"/>
        <v>0.11832790038936947</v>
      </c>
    </row>
    <row r="253" spans="12:24" x14ac:dyDescent="0.45">
      <c r="L253" s="9">
        <v>249</v>
      </c>
      <c r="M253" s="11">
        <f t="shared" ca="1" si="39"/>
        <v>3.9658591823166649</v>
      </c>
      <c r="N253" s="19">
        <f t="shared" ca="1" si="40"/>
        <v>503.50160131795809</v>
      </c>
      <c r="O253" s="9">
        <f t="shared" ca="1" si="41"/>
        <v>1</v>
      </c>
      <c r="P253" s="9">
        <f t="shared" ca="1" si="42"/>
        <v>4</v>
      </c>
      <c r="Q253" s="11">
        <f t="shared" ca="1" si="43"/>
        <v>3.358209249623207</v>
      </c>
      <c r="R253" s="11">
        <f t="shared" ca="1" si="44"/>
        <v>10.068225848703463</v>
      </c>
      <c r="S253" s="11" t="str">
        <f t="shared" ca="1" si="45"/>
        <v/>
      </c>
      <c r="T253" s="11">
        <f t="shared" ca="1" si="46"/>
        <v>1.594441689738298</v>
      </c>
      <c r="V253" s="11">
        <f t="shared" ca="1" si="49"/>
        <v>9.8860789324240472E-2</v>
      </c>
      <c r="W253" s="11">
        <f t="shared" ca="1" si="49"/>
        <v>0.52902297856230207</v>
      </c>
      <c r="X253" s="11">
        <f t="shared" ca="1" si="49"/>
        <v>0.64922193131149741</v>
      </c>
    </row>
    <row r="254" spans="12:24" x14ac:dyDescent="0.45">
      <c r="L254" s="9">
        <v>250</v>
      </c>
      <c r="M254" s="11">
        <f t="shared" ca="1" si="39"/>
        <v>0.9550274490488857</v>
      </c>
      <c r="N254" s="19">
        <f t="shared" ca="1" si="40"/>
        <v>1263.1654845981623</v>
      </c>
      <c r="O254" s="9">
        <f t="shared" ca="1" si="41"/>
        <v>1</v>
      </c>
      <c r="P254" s="9">
        <f t="shared" ca="1" si="42"/>
        <v>0</v>
      </c>
      <c r="Q254" s="11">
        <f t="shared" ca="1" si="43"/>
        <v>4.6419815476133621</v>
      </c>
      <c r="R254" s="11">
        <f t="shared" ca="1" si="44"/>
        <v>9.4571641991234223</v>
      </c>
      <c r="S254" s="11" t="str">
        <f t="shared" ca="1" si="45"/>
        <v/>
      </c>
      <c r="T254" s="11">
        <f t="shared" ca="1" si="46"/>
        <v>1.694487693448826</v>
      </c>
      <c r="V254" s="11">
        <f t="shared" ca="1" si="49"/>
        <v>0.972099180234266</v>
      </c>
      <c r="W254" s="11">
        <f t="shared" ca="1" si="49"/>
        <v>0.69800692200317915</v>
      </c>
      <c r="X254" s="11">
        <f t="shared" ca="1" si="49"/>
        <v>0.90538057993298515</v>
      </c>
    </row>
    <row r="255" spans="12:24" x14ac:dyDescent="0.45">
      <c r="L255" s="9">
        <v>251</v>
      </c>
      <c r="M255" s="11">
        <f t="shared" ca="1" si="39"/>
        <v>2.308805566228858</v>
      </c>
      <c r="N255" s="19">
        <f t="shared" ca="1" si="40"/>
        <v>1093.0926789526397</v>
      </c>
      <c r="O255" s="9">
        <f t="shared" ca="1" si="41"/>
        <v>1</v>
      </c>
      <c r="P255" s="9">
        <f t="shared" ca="1" si="42"/>
        <v>5</v>
      </c>
      <c r="Q255" s="11">
        <f t="shared" ca="1" si="43"/>
        <v>3.2754545295500046</v>
      </c>
      <c r="R255" s="11">
        <f t="shared" ca="1" si="44"/>
        <v>9.8478314284821202</v>
      </c>
      <c r="S255" s="11">
        <f t="shared" ca="1" si="45"/>
        <v>0.76242610812233325</v>
      </c>
      <c r="T255" s="11">
        <f t="shared" ca="1" si="46"/>
        <v>1.4930171597129418</v>
      </c>
      <c r="V255" s="11">
        <f t="shared" ca="1" si="49"/>
        <v>0.76242610812233325</v>
      </c>
      <c r="W255" s="11">
        <f t="shared" ca="1" si="49"/>
        <v>3.1485835428093689E-2</v>
      </c>
      <c r="X255" s="11">
        <f t="shared" ca="1" si="49"/>
        <v>3.3322318172401832E-3</v>
      </c>
    </row>
    <row r="256" spans="12:24" x14ac:dyDescent="0.45">
      <c r="L256" s="9">
        <v>252</v>
      </c>
      <c r="M256" s="11">
        <f t="shared" ca="1" si="39"/>
        <v>4.2685012583133082</v>
      </c>
      <c r="N256" s="19">
        <f t="shared" ca="1" si="40"/>
        <v>1069.6396865277127</v>
      </c>
      <c r="O256" s="9">
        <f t="shared" ca="1" si="41"/>
        <v>1</v>
      </c>
      <c r="P256" s="9">
        <f t="shared" ca="1" si="42"/>
        <v>4</v>
      </c>
      <c r="Q256" s="11">
        <f t="shared" ca="1" si="43"/>
        <v>6.8946194898112791</v>
      </c>
      <c r="R256" s="11">
        <f t="shared" ca="1" si="44"/>
        <v>8.0258472359934352</v>
      </c>
      <c r="S256" s="11">
        <f t="shared" ca="1" si="45"/>
        <v>0.27087708182966264</v>
      </c>
      <c r="T256" s="11">
        <f t="shared" ca="1" si="46"/>
        <v>1.7035398174036074</v>
      </c>
      <c r="V256" s="11">
        <f t="shared" ca="1" si="49"/>
        <v>0.27087708182966264</v>
      </c>
      <c r="W256" s="11">
        <f t="shared" ca="1" si="49"/>
        <v>9.4923441742812642E-2</v>
      </c>
      <c r="X256" s="11">
        <f t="shared" ca="1" si="49"/>
        <v>0.96683532451128795</v>
      </c>
    </row>
    <row r="257" spans="12:24" x14ac:dyDescent="0.45">
      <c r="L257" s="9">
        <v>253</v>
      </c>
      <c r="M257" s="11">
        <f t="shared" ca="1" si="39"/>
        <v>3.0859858821964758</v>
      </c>
      <c r="N257" s="19">
        <f t="shared" ca="1" si="40"/>
        <v>69.821393664210618</v>
      </c>
      <c r="O257" s="9">
        <f t="shared" ca="1" si="41"/>
        <v>1</v>
      </c>
      <c r="P257" s="9">
        <f t="shared" ca="1" si="42"/>
        <v>3</v>
      </c>
      <c r="Q257" s="11">
        <f t="shared" ca="1" si="43"/>
        <v>6.5638017384442238</v>
      </c>
      <c r="R257" s="11">
        <f t="shared" ca="1" si="44"/>
        <v>9.798323370722624</v>
      </c>
      <c r="S257" s="11">
        <f t="shared" ca="1" si="45"/>
        <v>0.55862420678585301</v>
      </c>
      <c r="T257" s="11">
        <f t="shared" ca="1" si="46"/>
        <v>2.4883174619006403</v>
      </c>
      <c r="V257" s="11">
        <f t="shared" ca="1" si="49"/>
        <v>0.55862420678585301</v>
      </c>
      <c r="W257" s="11">
        <f t="shared" ca="1" si="49"/>
        <v>0.87123185193918018</v>
      </c>
      <c r="X257" s="11">
        <f t="shared" ca="1" si="49"/>
        <v>0.1900515869640198</v>
      </c>
    </row>
    <row r="258" spans="12:24" x14ac:dyDescent="0.45">
      <c r="L258" s="9">
        <v>254</v>
      </c>
      <c r="M258" s="11">
        <f t="shared" ca="1" si="39"/>
        <v>10.313704708761287</v>
      </c>
      <c r="N258" s="19">
        <f t="shared" ca="1" si="40"/>
        <v>1013.7455406145169</v>
      </c>
      <c r="O258" s="9">
        <f t="shared" ca="1" si="41"/>
        <v>3</v>
      </c>
      <c r="P258" s="9">
        <f t="shared" ca="1" si="42"/>
        <v>2</v>
      </c>
      <c r="Q258" s="11">
        <f t="shared" ca="1" si="43"/>
        <v>4.7110064653089747</v>
      </c>
      <c r="R258" s="11">
        <f t="shared" ca="1" si="44"/>
        <v>8.8052018159485481</v>
      </c>
      <c r="S258" s="11">
        <f t="shared" ca="1" si="45"/>
        <v>0.54631399082402754</v>
      </c>
      <c r="T258" s="11">
        <f t="shared" ca="1" si="46"/>
        <v>2.6872846772090417</v>
      </c>
      <c r="V258" s="11">
        <f t="shared" ca="1" si="49"/>
        <v>0.54631399082402754</v>
      </c>
      <c r="W258" s="11">
        <f t="shared" ca="1" si="49"/>
        <v>0.66207160270620291</v>
      </c>
      <c r="X258" s="11">
        <f t="shared" ca="1" si="49"/>
        <v>0.13582571818448053</v>
      </c>
    </row>
    <row r="259" spans="12:24" x14ac:dyDescent="0.45">
      <c r="L259" s="9">
        <v>255</v>
      </c>
      <c r="M259" s="11">
        <f t="shared" ca="1" si="39"/>
        <v>0.30020502605000116</v>
      </c>
      <c r="N259" s="19">
        <f t="shared" ca="1" si="40"/>
        <v>1404.2503493112245</v>
      </c>
      <c r="O259" s="9">
        <f t="shared" ca="1" si="41"/>
        <v>2</v>
      </c>
      <c r="P259" s="9">
        <f t="shared" ca="1" si="42"/>
        <v>3</v>
      </c>
      <c r="Q259" s="11">
        <f t="shared" ca="1" si="43"/>
        <v>4.6818706003174793</v>
      </c>
      <c r="R259" s="11">
        <f t="shared" ca="1" si="44"/>
        <v>10.124055085736458</v>
      </c>
      <c r="S259" s="11">
        <f t="shared" ca="1" si="45"/>
        <v>0.45536243964264111</v>
      </c>
      <c r="T259" s="11">
        <f t="shared" ca="1" si="46"/>
        <v>0.56292257616388264</v>
      </c>
      <c r="V259" s="11">
        <f t="shared" ca="1" si="49"/>
        <v>0.45536243964264111</v>
      </c>
      <c r="W259" s="11">
        <f t="shared" ca="1" si="49"/>
        <v>0.91690357809431711</v>
      </c>
      <c r="X259" s="11">
        <f t="shared" ca="1" si="49"/>
        <v>0.38808299260476953</v>
      </c>
    </row>
    <row r="260" spans="12:24" x14ac:dyDescent="0.45">
      <c r="L260" s="9">
        <v>256</v>
      </c>
      <c r="M260" s="11">
        <f t="shared" ca="1" si="39"/>
        <v>3.4542668634697922</v>
      </c>
      <c r="N260" s="19">
        <f t="shared" ca="1" si="40"/>
        <v>263.99901775000325</v>
      </c>
      <c r="O260" s="9">
        <f t="shared" ca="1" si="41"/>
        <v>1</v>
      </c>
      <c r="P260" s="9">
        <f t="shared" ca="1" si="42"/>
        <v>2</v>
      </c>
      <c r="Q260" s="11">
        <f t="shared" ca="1" si="43"/>
        <v>6.3105759081400628</v>
      </c>
      <c r="R260" s="11">
        <f t="shared" ca="1" si="44"/>
        <v>6.880205832677742</v>
      </c>
      <c r="S260" s="11">
        <f t="shared" ca="1" si="45"/>
        <v>0.37190088911658048</v>
      </c>
      <c r="T260" s="11">
        <f t="shared" ca="1" si="46"/>
        <v>3.5854549947274106</v>
      </c>
      <c r="V260" s="11">
        <f t="shared" ca="1" si="49"/>
        <v>0.37190088911658048</v>
      </c>
      <c r="W260" s="11">
        <f t="shared" ca="1" si="49"/>
        <v>0.8211786413419373</v>
      </c>
      <c r="X260" s="11">
        <f t="shared" ca="1" si="49"/>
        <v>0.39841007094880121</v>
      </c>
    </row>
    <row r="261" spans="12:24" x14ac:dyDescent="0.45">
      <c r="L261" s="9">
        <v>257</v>
      </c>
      <c r="M261" s="11">
        <f t="shared" ref="M261:M324" ca="1" si="50">-$C$10*LN(1-RAND())</f>
        <v>1.0863561739320529</v>
      </c>
      <c r="N261" s="19">
        <f t="shared" ref="N261:N324" ca="1" si="51">$C$12*(-LN(1-RAND()))^(1/$C$11)</f>
        <v>670.98566711727904</v>
      </c>
      <c r="O261" s="9">
        <f t="shared" ref="O261:O324" ca="1" si="52">MAX(1,ROUNDUP(LN(1-RAND())/LN(1-$C$13),0))</f>
        <v>1</v>
      </c>
      <c r="P261" s="9">
        <f t="shared" ref="P261:P324" ca="1" si="53">INDEX($B$24:$B$44,MATCH(RAND(),$C$24:$C$44,1))</f>
        <v>2</v>
      </c>
      <c r="Q261" s="11">
        <f t="shared" ref="Q261:Q324" ca="1" si="54">-($C$16/$C$15)*LN(RAND()*RAND()*RAND())</f>
        <v>6.497691905973829</v>
      </c>
      <c r="R261" s="11">
        <f t="shared" ref="R261:R324" ca="1" si="55">$C$17+$C$18*(RAND()+RAND()+RAND()+RAND()+RAND()+RAND()+RAND()+RAND()+RAND()+RAND()+RAND()+RAND()-6)</f>
        <v>13.362845166152974</v>
      </c>
      <c r="S261" s="11">
        <f t="shared" ref="S261:S324" ca="1" si="56">IF(1.5*W261&lt;=6*V261*(1-V261),V261,"")</f>
        <v>0.34480153973332717</v>
      </c>
      <c r="T261" s="11">
        <f t="shared" ref="T261:T324" ca="1" si="57">-IF(X261&lt;$C$19,$C$20,$C$21)*LN(1-RAND())</f>
        <v>1.7586154947829598</v>
      </c>
      <c r="V261" s="11">
        <f t="shared" ca="1" si="49"/>
        <v>0.34480153973332717</v>
      </c>
      <c r="W261" s="11">
        <f t="shared" ca="1" si="49"/>
        <v>0.51215642056204791</v>
      </c>
      <c r="X261" s="11">
        <f t="shared" ca="1" si="49"/>
        <v>0.84897443865970001</v>
      </c>
    </row>
    <row r="262" spans="12:24" x14ac:dyDescent="0.45">
      <c r="L262" s="9">
        <v>258</v>
      </c>
      <c r="M262" s="11">
        <f t="shared" ca="1" si="50"/>
        <v>2.8005060038726195</v>
      </c>
      <c r="N262" s="19">
        <f t="shared" ca="1" si="51"/>
        <v>537.37788957316695</v>
      </c>
      <c r="O262" s="9">
        <f t="shared" ca="1" si="52"/>
        <v>2</v>
      </c>
      <c r="P262" s="9">
        <f t="shared" ca="1" si="53"/>
        <v>4</v>
      </c>
      <c r="Q262" s="11">
        <f t="shared" ca="1" si="54"/>
        <v>11.010793910358567</v>
      </c>
      <c r="R262" s="11">
        <f t="shared" ca="1" si="55"/>
        <v>10.53822454380354</v>
      </c>
      <c r="S262" s="11" t="str">
        <f t="shared" ca="1" si="56"/>
        <v/>
      </c>
      <c r="T262" s="11">
        <f t="shared" ca="1" si="57"/>
        <v>1.5390205769820275</v>
      </c>
      <c r="V262" s="11">
        <f t="shared" ca="1" si="49"/>
        <v>0.13162928954840303</v>
      </c>
      <c r="W262" s="11">
        <f t="shared" ca="1" si="49"/>
        <v>0.85211278461144591</v>
      </c>
      <c r="X262" s="11">
        <f t="shared" ca="1" si="49"/>
        <v>0.43105884615172274</v>
      </c>
    </row>
    <row r="263" spans="12:24" x14ac:dyDescent="0.45">
      <c r="L263" s="9">
        <v>259</v>
      </c>
      <c r="M263" s="11">
        <f t="shared" ca="1" si="50"/>
        <v>5.7759393510932764</v>
      </c>
      <c r="N263" s="19">
        <f t="shared" ca="1" si="51"/>
        <v>909.51960817878899</v>
      </c>
      <c r="O263" s="9">
        <f t="shared" ca="1" si="52"/>
        <v>2</v>
      </c>
      <c r="P263" s="9">
        <f t="shared" ca="1" si="53"/>
        <v>4</v>
      </c>
      <c r="Q263" s="11">
        <f t="shared" ca="1" si="54"/>
        <v>8.0170571797346604</v>
      </c>
      <c r="R263" s="11">
        <f t="shared" ca="1" si="55"/>
        <v>8.7961137598244736</v>
      </c>
      <c r="S263" s="11">
        <f t="shared" ca="1" si="56"/>
        <v>0.2179062825289545</v>
      </c>
      <c r="T263" s="11">
        <f t="shared" ca="1" si="57"/>
        <v>0.85703971049826178</v>
      </c>
      <c r="V263" s="11">
        <f t="shared" ca="1" si="49"/>
        <v>0.2179062825289545</v>
      </c>
      <c r="W263" s="11">
        <f t="shared" ca="1" si="49"/>
        <v>0.46450159690095838</v>
      </c>
      <c r="X263" s="11">
        <f t="shared" ca="1" si="49"/>
        <v>0.13149262124819905</v>
      </c>
    </row>
    <row r="264" spans="12:24" x14ac:dyDescent="0.45">
      <c r="L264" s="9">
        <v>260</v>
      </c>
      <c r="M264" s="11">
        <f t="shared" ca="1" si="50"/>
        <v>2.4294194928635635</v>
      </c>
      <c r="N264" s="19">
        <f t="shared" ca="1" si="51"/>
        <v>693.75802511914515</v>
      </c>
      <c r="O264" s="9">
        <f t="shared" ca="1" si="52"/>
        <v>2</v>
      </c>
      <c r="P264" s="9">
        <f t="shared" ca="1" si="53"/>
        <v>6</v>
      </c>
      <c r="Q264" s="11">
        <f t="shared" ca="1" si="54"/>
        <v>5.3360918030093218</v>
      </c>
      <c r="R264" s="11">
        <f t="shared" ca="1" si="55"/>
        <v>13.006956967198301</v>
      </c>
      <c r="S264" s="11">
        <f t="shared" ca="1" si="56"/>
        <v>0.44518035881785878</v>
      </c>
      <c r="T264" s="11">
        <f t="shared" ca="1" si="57"/>
        <v>1.6883044407664838</v>
      </c>
      <c r="V264" s="11">
        <f t="shared" ca="1" si="49"/>
        <v>0.44518035881785878</v>
      </c>
      <c r="W264" s="11">
        <f t="shared" ca="1" si="49"/>
        <v>0.98766561817660203</v>
      </c>
      <c r="X264" s="11">
        <f t="shared" ca="1" si="49"/>
        <v>0.49042106869488</v>
      </c>
    </row>
    <row r="265" spans="12:24" x14ac:dyDescent="0.45">
      <c r="L265" s="9">
        <v>261</v>
      </c>
      <c r="M265" s="11">
        <f t="shared" ca="1" si="50"/>
        <v>2.1105180047286978</v>
      </c>
      <c r="N265" s="19">
        <f t="shared" ca="1" si="51"/>
        <v>1045.8789315347117</v>
      </c>
      <c r="O265" s="9">
        <f t="shared" ca="1" si="52"/>
        <v>1</v>
      </c>
      <c r="P265" s="9">
        <f t="shared" ca="1" si="53"/>
        <v>2</v>
      </c>
      <c r="Q265" s="11">
        <f t="shared" ca="1" si="54"/>
        <v>10.628303529257504</v>
      </c>
      <c r="R265" s="11">
        <f t="shared" ca="1" si="55"/>
        <v>8.9463737915741337</v>
      </c>
      <c r="S265" s="11">
        <f t="shared" ca="1" si="56"/>
        <v>0.57894283646296363</v>
      </c>
      <c r="T265" s="11">
        <f t="shared" ca="1" si="57"/>
        <v>2.5471784900417256</v>
      </c>
      <c r="V265" s="11">
        <f t="shared" ref="V265:X284" ca="1" si="58">RAND()</f>
        <v>0.57894283646296363</v>
      </c>
      <c r="W265" s="11">
        <f t="shared" ca="1" si="58"/>
        <v>0.25521346339334783</v>
      </c>
      <c r="X265" s="11">
        <f t="shared" ca="1" si="58"/>
        <v>0.10912959732139105</v>
      </c>
    </row>
    <row r="266" spans="12:24" x14ac:dyDescent="0.45">
      <c r="L266" s="9">
        <v>262</v>
      </c>
      <c r="M266" s="11">
        <f t="shared" ca="1" si="50"/>
        <v>4.2476605517339738</v>
      </c>
      <c r="N266" s="19">
        <f t="shared" ca="1" si="51"/>
        <v>436.8162534371848</v>
      </c>
      <c r="O266" s="9">
        <f t="shared" ca="1" si="52"/>
        <v>1</v>
      </c>
      <c r="P266" s="9">
        <f t="shared" ca="1" si="53"/>
        <v>4</v>
      </c>
      <c r="Q266" s="11">
        <f t="shared" ca="1" si="54"/>
        <v>10.072722957292127</v>
      </c>
      <c r="R266" s="11">
        <f t="shared" ca="1" si="55"/>
        <v>10.809087775146278</v>
      </c>
      <c r="S266" s="11" t="str">
        <f t="shared" ca="1" si="56"/>
        <v/>
      </c>
      <c r="T266" s="11">
        <f t="shared" ca="1" si="57"/>
        <v>2.4828822911490498</v>
      </c>
      <c r="V266" s="11">
        <f t="shared" ca="1" si="58"/>
        <v>0.18449713332665985</v>
      </c>
      <c r="W266" s="11">
        <f t="shared" ca="1" si="58"/>
        <v>0.86005529658740065</v>
      </c>
      <c r="X266" s="11">
        <f t="shared" ca="1" si="58"/>
        <v>0.30124082630139382</v>
      </c>
    </row>
    <row r="267" spans="12:24" x14ac:dyDescent="0.45">
      <c r="L267" s="9">
        <v>263</v>
      </c>
      <c r="M267" s="11">
        <f t="shared" ca="1" si="50"/>
        <v>0.70664041008649126</v>
      </c>
      <c r="N267" s="19">
        <f t="shared" ca="1" si="51"/>
        <v>1214.5056572221624</v>
      </c>
      <c r="O267" s="9">
        <f t="shared" ca="1" si="52"/>
        <v>1</v>
      </c>
      <c r="P267" s="9">
        <f t="shared" ca="1" si="53"/>
        <v>1</v>
      </c>
      <c r="Q267" s="11">
        <f t="shared" ca="1" si="54"/>
        <v>1.2319134916288312</v>
      </c>
      <c r="R267" s="11">
        <f t="shared" ca="1" si="55"/>
        <v>7.4915651827100636</v>
      </c>
      <c r="S267" s="11" t="str">
        <f t="shared" ca="1" si="56"/>
        <v/>
      </c>
      <c r="T267" s="11">
        <f t="shared" ca="1" si="57"/>
        <v>2.301524118675085</v>
      </c>
      <c r="V267" s="11">
        <f t="shared" ca="1" si="58"/>
        <v>0.10116717983849588</v>
      </c>
      <c r="W267" s="11">
        <f t="shared" ca="1" si="58"/>
        <v>0.65768271120287958</v>
      </c>
      <c r="X267" s="11">
        <f t="shared" ca="1" si="58"/>
        <v>0.47466674753211857</v>
      </c>
    </row>
    <row r="268" spans="12:24" x14ac:dyDescent="0.45">
      <c r="L268" s="9">
        <v>264</v>
      </c>
      <c r="M268" s="11">
        <f t="shared" ca="1" si="50"/>
        <v>0.25631054284264049</v>
      </c>
      <c r="N268" s="19">
        <f t="shared" ca="1" si="51"/>
        <v>2187.170072073633</v>
      </c>
      <c r="O268" s="9">
        <f t="shared" ca="1" si="52"/>
        <v>1</v>
      </c>
      <c r="P268" s="9">
        <f t="shared" ca="1" si="53"/>
        <v>5</v>
      </c>
      <c r="Q268" s="11">
        <f t="shared" ca="1" si="54"/>
        <v>6.4591535556735691</v>
      </c>
      <c r="R268" s="11">
        <f t="shared" ca="1" si="55"/>
        <v>11.321203267264634</v>
      </c>
      <c r="S268" s="11">
        <f t="shared" ca="1" si="56"/>
        <v>0.77028650871457749</v>
      </c>
      <c r="T268" s="11">
        <f t="shared" ca="1" si="57"/>
        <v>0.26166800673469487</v>
      </c>
      <c r="V268" s="11">
        <f t="shared" ca="1" si="58"/>
        <v>0.77028650871457749</v>
      </c>
      <c r="W268" s="11">
        <f t="shared" ca="1" si="58"/>
        <v>7.0770069207106601E-2</v>
      </c>
      <c r="X268" s="11">
        <f t="shared" ca="1" si="58"/>
        <v>0.67052539127976341</v>
      </c>
    </row>
    <row r="269" spans="12:24" x14ac:dyDescent="0.45">
      <c r="L269" s="9">
        <v>265</v>
      </c>
      <c r="M269" s="11">
        <f t="shared" ca="1" si="50"/>
        <v>1.6845904691694578</v>
      </c>
      <c r="N269" s="19">
        <f t="shared" ca="1" si="51"/>
        <v>1226.7971559675379</v>
      </c>
      <c r="O269" s="9">
        <f t="shared" ca="1" si="52"/>
        <v>2</v>
      </c>
      <c r="P269" s="9">
        <f t="shared" ca="1" si="53"/>
        <v>2</v>
      </c>
      <c r="Q269" s="11">
        <f t="shared" ca="1" si="54"/>
        <v>4.3804888202635626</v>
      </c>
      <c r="R269" s="11">
        <f t="shared" ca="1" si="55"/>
        <v>12.701154156176743</v>
      </c>
      <c r="S269" s="11" t="str">
        <f t="shared" ca="1" si="56"/>
        <v/>
      </c>
      <c r="T269" s="11">
        <f t="shared" ca="1" si="57"/>
        <v>0.3424101179274967</v>
      </c>
      <c r="V269" s="11">
        <f t="shared" ca="1" si="58"/>
        <v>3.9203349527425213E-2</v>
      </c>
      <c r="W269" s="11">
        <f t="shared" ca="1" si="58"/>
        <v>0.69467193374167024</v>
      </c>
      <c r="X269" s="11">
        <f t="shared" ca="1" si="58"/>
        <v>0.2499147752578138</v>
      </c>
    </row>
    <row r="270" spans="12:24" x14ac:dyDescent="0.45">
      <c r="L270" s="9">
        <v>266</v>
      </c>
      <c r="M270" s="11">
        <f t="shared" ca="1" si="50"/>
        <v>1.7076826632101898</v>
      </c>
      <c r="N270" s="19">
        <f t="shared" ca="1" si="51"/>
        <v>662.40573061188354</v>
      </c>
      <c r="O270" s="9">
        <f t="shared" ca="1" si="52"/>
        <v>1</v>
      </c>
      <c r="P270" s="9">
        <f t="shared" ca="1" si="53"/>
        <v>4</v>
      </c>
      <c r="Q270" s="11">
        <f t="shared" ca="1" si="54"/>
        <v>5.206734044235211</v>
      </c>
      <c r="R270" s="11">
        <f t="shared" ca="1" si="55"/>
        <v>8.9036322914409443</v>
      </c>
      <c r="S270" s="11">
        <f t="shared" ca="1" si="56"/>
        <v>0.43115126108910407</v>
      </c>
      <c r="T270" s="11">
        <f t="shared" ca="1" si="57"/>
        <v>1.096611259495947</v>
      </c>
      <c r="V270" s="11">
        <f t="shared" ca="1" si="58"/>
        <v>0.43115126108910407</v>
      </c>
      <c r="W270" s="11">
        <f t="shared" ca="1" si="58"/>
        <v>0.67951545581025696</v>
      </c>
      <c r="X270" s="11">
        <f t="shared" ca="1" si="58"/>
        <v>0.39021105275423984</v>
      </c>
    </row>
    <row r="271" spans="12:24" x14ac:dyDescent="0.45">
      <c r="L271" s="9">
        <v>267</v>
      </c>
      <c r="M271" s="11">
        <f t="shared" ca="1" si="50"/>
        <v>3.612404425090141</v>
      </c>
      <c r="N271" s="19">
        <f t="shared" ca="1" si="51"/>
        <v>445.25348640945145</v>
      </c>
      <c r="O271" s="9">
        <f t="shared" ca="1" si="52"/>
        <v>2</v>
      </c>
      <c r="P271" s="9">
        <f t="shared" ca="1" si="53"/>
        <v>6</v>
      </c>
      <c r="Q271" s="11">
        <f t="shared" ca="1" si="54"/>
        <v>5.1893686361070017</v>
      </c>
      <c r="R271" s="11">
        <f t="shared" ca="1" si="55"/>
        <v>11.910013054554133</v>
      </c>
      <c r="S271" s="11" t="str">
        <f t="shared" ca="1" si="56"/>
        <v/>
      </c>
      <c r="T271" s="11">
        <f t="shared" ca="1" si="57"/>
        <v>0.16232266904077336</v>
      </c>
      <c r="V271" s="11">
        <f t="shared" ca="1" si="58"/>
        <v>0.28796427451034445</v>
      </c>
      <c r="W271" s="11">
        <f t="shared" ca="1" si="58"/>
        <v>0.8282632771706302</v>
      </c>
      <c r="X271" s="11">
        <f t="shared" ca="1" si="58"/>
        <v>0.90210545623426253</v>
      </c>
    </row>
    <row r="272" spans="12:24" x14ac:dyDescent="0.45">
      <c r="L272" s="9">
        <v>268</v>
      </c>
      <c r="M272" s="11">
        <f t="shared" ca="1" si="50"/>
        <v>1.2414119482671777</v>
      </c>
      <c r="N272" s="19">
        <f t="shared" ca="1" si="51"/>
        <v>973.04339128206766</v>
      </c>
      <c r="O272" s="9">
        <f t="shared" ca="1" si="52"/>
        <v>1</v>
      </c>
      <c r="P272" s="9">
        <f t="shared" ca="1" si="53"/>
        <v>7</v>
      </c>
      <c r="Q272" s="11">
        <f t="shared" ca="1" si="54"/>
        <v>5.4203161784461331</v>
      </c>
      <c r="R272" s="11">
        <f t="shared" ca="1" si="55"/>
        <v>8.7392252378255044</v>
      </c>
      <c r="S272" s="11">
        <f t="shared" ca="1" si="56"/>
        <v>0.48832336805179333</v>
      </c>
      <c r="T272" s="11">
        <f t="shared" ca="1" si="57"/>
        <v>0.17451484748360307</v>
      </c>
      <c r="V272" s="11">
        <f t="shared" ca="1" si="58"/>
        <v>0.48832336805179333</v>
      </c>
      <c r="W272" s="11">
        <f t="shared" ca="1" si="58"/>
        <v>0.3191213898065256</v>
      </c>
      <c r="X272" s="11">
        <f t="shared" ca="1" si="58"/>
        <v>0.2472752395046971</v>
      </c>
    </row>
    <row r="273" spans="12:24" x14ac:dyDescent="0.45">
      <c r="L273" s="9">
        <v>269</v>
      </c>
      <c r="M273" s="11">
        <f t="shared" ca="1" si="50"/>
        <v>2.4950480108242057</v>
      </c>
      <c r="N273" s="19">
        <f t="shared" ca="1" si="51"/>
        <v>835.84856206745235</v>
      </c>
      <c r="O273" s="9">
        <f t="shared" ca="1" si="52"/>
        <v>1</v>
      </c>
      <c r="P273" s="9">
        <f t="shared" ca="1" si="53"/>
        <v>5</v>
      </c>
      <c r="Q273" s="11">
        <f t="shared" ca="1" si="54"/>
        <v>5.2048047827579547</v>
      </c>
      <c r="R273" s="11">
        <f t="shared" ca="1" si="55"/>
        <v>7.7721047751384056</v>
      </c>
      <c r="S273" s="11">
        <f t="shared" ca="1" si="56"/>
        <v>0.76330044422321808</v>
      </c>
      <c r="T273" s="11">
        <f t="shared" ca="1" si="57"/>
        <v>2.4099235532128951</v>
      </c>
      <c r="V273" s="11">
        <f t="shared" ca="1" si="58"/>
        <v>0.76330044422321808</v>
      </c>
      <c r="W273" s="11">
        <f t="shared" ca="1" si="58"/>
        <v>0.60033276488736764</v>
      </c>
      <c r="X273" s="11">
        <f t="shared" ca="1" si="58"/>
        <v>0.34094556643180229</v>
      </c>
    </row>
    <row r="274" spans="12:24" x14ac:dyDescent="0.45">
      <c r="L274" s="9">
        <v>270</v>
      </c>
      <c r="M274" s="11">
        <f t="shared" ca="1" si="50"/>
        <v>1.5054943637980513</v>
      </c>
      <c r="N274" s="19">
        <f t="shared" ca="1" si="51"/>
        <v>1558.5656971744882</v>
      </c>
      <c r="O274" s="9">
        <f t="shared" ca="1" si="52"/>
        <v>2</v>
      </c>
      <c r="P274" s="9">
        <f t="shared" ca="1" si="53"/>
        <v>4</v>
      </c>
      <c r="Q274" s="11">
        <f t="shared" ca="1" si="54"/>
        <v>5.6510432084415294</v>
      </c>
      <c r="R274" s="11">
        <f t="shared" ca="1" si="55"/>
        <v>11.29419551869784</v>
      </c>
      <c r="S274" s="11" t="str">
        <f t="shared" ca="1" si="56"/>
        <v/>
      </c>
      <c r="T274" s="11">
        <f t="shared" ca="1" si="57"/>
        <v>0.12999676111710737</v>
      </c>
      <c r="V274" s="11">
        <f t="shared" ca="1" si="58"/>
        <v>1.2090872538582542E-2</v>
      </c>
      <c r="W274" s="11">
        <f t="shared" ca="1" si="58"/>
        <v>0.68503941438742089</v>
      </c>
      <c r="X274" s="11">
        <f t="shared" ca="1" si="58"/>
        <v>6.1710502258655153E-2</v>
      </c>
    </row>
    <row r="275" spans="12:24" x14ac:dyDescent="0.45">
      <c r="L275" s="9">
        <v>271</v>
      </c>
      <c r="M275" s="11">
        <f t="shared" ca="1" si="50"/>
        <v>5.5677889178389419</v>
      </c>
      <c r="N275" s="19">
        <f t="shared" ca="1" si="51"/>
        <v>1941.2432403067678</v>
      </c>
      <c r="O275" s="9">
        <f t="shared" ca="1" si="52"/>
        <v>1</v>
      </c>
      <c r="P275" s="9">
        <f t="shared" ca="1" si="53"/>
        <v>2</v>
      </c>
      <c r="Q275" s="11">
        <f t="shared" ca="1" si="54"/>
        <v>10.322931043524891</v>
      </c>
      <c r="R275" s="11">
        <f t="shared" ca="1" si="55"/>
        <v>9.4175609788246515</v>
      </c>
      <c r="S275" s="11" t="str">
        <f t="shared" ca="1" si="56"/>
        <v/>
      </c>
      <c r="T275" s="11">
        <f t="shared" ca="1" si="57"/>
        <v>15.194722007397933</v>
      </c>
      <c r="V275" s="11">
        <f t="shared" ca="1" si="58"/>
        <v>3.4018283050023523E-3</v>
      </c>
      <c r="W275" s="11">
        <f t="shared" ca="1" si="58"/>
        <v>0.1890470868723485</v>
      </c>
      <c r="X275" s="11">
        <f t="shared" ca="1" si="58"/>
        <v>0.55906614017202994</v>
      </c>
    </row>
    <row r="276" spans="12:24" x14ac:dyDescent="0.45">
      <c r="L276" s="9">
        <v>272</v>
      </c>
      <c r="M276" s="11">
        <f t="shared" ca="1" si="50"/>
        <v>1.945087136099473</v>
      </c>
      <c r="N276" s="19">
        <f t="shared" ca="1" si="51"/>
        <v>298.82993904402593</v>
      </c>
      <c r="O276" s="9">
        <f t="shared" ca="1" si="52"/>
        <v>1</v>
      </c>
      <c r="P276" s="9">
        <f t="shared" ca="1" si="53"/>
        <v>3</v>
      </c>
      <c r="Q276" s="11">
        <f t="shared" ca="1" si="54"/>
        <v>3.3131409856170482</v>
      </c>
      <c r="R276" s="11">
        <f t="shared" ca="1" si="55"/>
        <v>10.931375138710498</v>
      </c>
      <c r="S276" s="11">
        <f t="shared" ca="1" si="56"/>
        <v>0.82633685378802468</v>
      </c>
      <c r="T276" s="11">
        <f t="shared" ca="1" si="57"/>
        <v>6.8533508116887765</v>
      </c>
      <c r="V276" s="11">
        <f t="shared" ca="1" si="58"/>
        <v>0.82633685378802468</v>
      </c>
      <c r="W276" s="11">
        <f t="shared" ca="1" si="58"/>
        <v>0.33949200982565475</v>
      </c>
      <c r="X276" s="11">
        <f t="shared" ca="1" si="58"/>
        <v>0.75371620768064618</v>
      </c>
    </row>
    <row r="277" spans="12:24" x14ac:dyDescent="0.45">
      <c r="L277" s="9">
        <v>273</v>
      </c>
      <c r="M277" s="11">
        <f t="shared" ca="1" si="50"/>
        <v>3.2528448345735272</v>
      </c>
      <c r="N277" s="19">
        <f t="shared" ca="1" si="51"/>
        <v>525.46178375431919</v>
      </c>
      <c r="O277" s="9">
        <f t="shared" ca="1" si="52"/>
        <v>3</v>
      </c>
      <c r="P277" s="9">
        <f t="shared" ca="1" si="53"/>
        <v>4</v>
      </c>
      <c r="Q277" s="11">
        <f t="shared" ca="1" si="54"/>
        <v>8.6016297040096727</v>
      </c>
      <c r="R277" s="11">
        <f t="shared" ca="1" si="55"/>
        <v>10.104992285517239</v>
      </c>
      <c r="S277" s="11">
        <f t="shared" ca="1" si="56"/>
        <v>0.54254666712891608</v>
      </c>
      <c r="T277" s="11">
        <f t="shared" ca="1" si="57"/>
        <v>8.5911960151686699</v>
      </c>
      <c r="V277" s="11">
        <f t="shared" ca="1" si="58"/>
        <v>0.54254666712891608</v>
      </c>
      <c r="W277" s="11">
        <f t="shared" ca="1" si="58"/>
        <v>0.27241208627670199</v>
      </c>
      <c r="X277" s="11">
        <f t="shared" ca="1" si="58"/>
        <v>0.65328568610028026</v>
      </c>
    </row>
    <row r="278" spans="12:24" x14ac:dyDescent="0.45">
      <c r="L278" s="9">
        <v>274</v>
      </c>
      <c r="M278" s="11">
        <f t="shared" ca="1" si="50"/>
        <v>3.8740774379610601</v>
      </c>
      <c r="N278" s="19">
        <f t="shared" ca="1" si="51"/>
        <v>1341.2947196373575</v>
      </c>
      <c r="O278" s="9">
        <f t="shared" ca="1" si="52"/>
        <v>2</v>
      </c>
      <c r="P278" s="9">
        <f t="shared" ca="1" si="53"/>
        <v>3</v>
      </c>
      <c r="Q278" s="11">
        <f t="shared" ca="1" si="54"/>
        <v>3.3164104142428523</v>
      </c>
      <c r="R278" s="11">
        <f t="shared" ca="1" si="55"/>
        <v>9.3661593505146392</v>
      </c>
      <c r="S278" s="11">
        <f t="shared" ca="1" si="56"/>
        <v>0.42083257540892505</v>
      </c>
      <c r="T278" s="11">
        <f t="shared" ca="1" si="57"/>
        <v>3.6721052266403622</v>
      </c>
      <c r="V278" s="11">
        <f t="shared" ca="1" si="58"/>
        <v>0.42083257540892505</v>
      </c>
      <c r="W278" s="11">
        <f t="shared" ca="1" si="58"/>
        <v>0.19479755655506081</v>
      </c>
      <c r="X278" s="11">
        <f t="shared" ca="1" si="58"/>
        <v>0.53079734104688625</v>
      </c>
    </row>
    <row r="279" spans="12:24" x14ac:dyDescent="0.45">
      <c r="L279" s="9">
        <v>275</v>
      </c>
      <c r="M279" s="11">
        <f t="shared" ca="1" si="50"/>
        <v>1.8026497934156105</v>
      </c>
      <c r="N279" s="19">
        <f t="shared" ca="1" si="51"/>
        <v>1214.6959424227211</v>
      </c>
      <c r="O279" s="9">
        <f t="shared" ca="1" si="52"/>
        <v>2</v>
      </c>
      <c r="P279" s="9">
        <f t="shared" ca="1" si="53"/>
        <v>5</v>
      </c>
      <c r="Q279" s="11">
        <f t="shared" ca="1" si="54"/>
        <v>4.2031003659014345</v>
      </c>
      <c r="R279" s="11">
        <f t="shared" ca="1" si="55"/>
        <v>9.8827218277466677</v>
      </c>
      <c r="S279" s="11">
        <f t="shared" ca="1" si="56"/>
        <v>0.55509802302625566</v>
      </c>
      <c r="T279" s="11">
        <f t="shared" ca="1" si="57"/>
        <v>0.20695581568606561</v>
      </c>
      <c r="V279" s="11">
        <f t="shared" ca="1" si="58"/>
        <v>0.55509802302625566</v>
      </c>
      <c r="W279" s="11">
        <f t="shared" ca="1" si="58"/>
        <v>0.28929652521069016</v>
      </c>
      <c r="X279" s="11">
        <f t="shared" ca="1" si="58"/>
        <v>0.28555748025590544</v>
      </c>
    </row>
    <row r="280" spans="12:24" x14ac:dyDescent="0.45">
      <c r="L280" s="9">
        <v>276</v>
      </c>
      <c r="M280" s="11">
        <f t="shared" ca="1" si="50"/>
        <v>0.9154297607184082</v>
      </c>
      <c r="N280" s="19">
        <f t="shared" ca="1" si="51"/>
        <v>711.70368664917874</v>
      </c>
      <c r="O280" s="9">
        <f t="shared" ca="1" si="52"/>
        <v>1</v>
      </c>
      <c r="P280" s="9">
        <f t="shared" ca="1" si="53"/>
        <v>4</v>
      </c>
      <c r="Q280" s="11">
        <f t="shared" ca="1" si="54"/>
        <v>5.6409554482300139</v>
      </c>
      <c r="R280" s="11">
        <f t="shared" ca="1" si="55"/>
        <v>9.864016911076698</v>
      </c>
      <c r="S280" s="11" t="str">
        <f t="shared" ca="1" si="56"/>
        <v/>
      </c>
      <c r="T280" s="11">
        <f t="shared" ca="1" si="57"/>
        <v>1.2254590999693817</v>
      </c>
      <c r="V280" s="11">
        <f t="shared" ca="1" si="58"/>
        <v>8.2211022560304436E-2</v>
      </c>
      <c r="W280" s="11">
        <f t="shared" ca="1" si="58"/>
        <v>0.54458967903028166</v>
      </c>
      <c r="X280" s="11">
        <f t="shared" ca="1" si="58"/>
        <v>0.90852998868697377</v>
      </c>
    </row>
    <row r="281" spans="12:24" x14ac:dyDescent="0.45">
      <c r="L281" s="9">
        <v>277</v>
      </c>
      <c r="M281" s="11">
        <f t="shared" ca="1" si="50"/>
        <v>1.2930251117939129</v>
      </c>
      <c r="N281" s="19">
        <f t="shared" ca="1" si="51"/>
        <v>952.93545597288676</v>
      </c>
      <c r="O281" s="9">
        <f t="shared" ca="1" si="52"/>
        <v>1</v>
      </c>
      <c r="P281" s="9">
        <f t="shared" ca="1" si="53"/>
        <v>2</v>
      </c>
      <c r="Q281" s="11">
        <f t="shared" ca="1" si="54"/>
        <v>3.8440215191144298</v>
      </c>
      <c r="R281" s="11">
        <f t="shared" ca="1" si="55"/>
        <v>7.6030643917415581</v>
      </c>
      <c r="S281" s="11" t="str">
        <f t="shared" ca="1" si="56"/>
        <v/>
      </c>
      <c r="T281" s="11">
        <f t="shared" ca="1" si="57"/>
        <v>4.4110571310622244E-2</v>
      </c>
      <c r="V281" s="11">
        <f t="shared" ca="1" si="58"/>
        <v>7.0882169457421318E-2</v>
      </c>
      <c r="W281" s="11">
        <f t="shared" ca="1" si="58"/>
        <v>0.94641337639180645</v>
      </c>
      <c r="X281" s="11">
        <f t="shared" ca="1" si="58"/>
        <v>0.16632339017140507</v>
      </c>
    </row>
    <row r="282" spans="12:24" x14ac:dyDescent="0.45">
      <c r="L282" s="9">
        <v>278</v>
      </c>
      <c r="M282" s="11">
        <f t="shared" ca="1" si="50"/>
        <v>2.4434194777640941</v>
      </c>
      <c r="N282" s="19">
        <f t="shared" ca="1" si="51"/>
        <v>661.95625383379991</v>
      </c>
      <c r="O282" s="9">
        <f t="shared" ca="1" si="52"/>
        <v>1</v>
      </c>
      <c r="P282" s="9">
        <f t="shared" ca="1" si="53"/>
        <v>3</v>
      </c>
      <c r="Q282" s="11">
        <f t="shared" ca="1" si="54"/>
        <v>6.2901026785656171</v>
      </c>
      <c r="R282" s="11">
        <f t="shared" ca="1" si="55"/>
        <v>11.466176360044798</v>
      </c>
      <c r="S282" s="11" t="str">
        <f t="shared" ca="1" si="56"/>
        <v/>
      </c>
      <c r="T282" s="11">
        <f t="shared" ca="1" si="57"/>
        <v>0.19078671698480387</v>
      </c>
      <c r="V282" s="11">
        <f t="shared" ca="1" si="58"/>
        <v>0.99125629206398103</v>
      </c>
      <c r="W282" s="11">
        <f t="shared" ca="1" si="58"/>
        <v>0.87441208851160734</v>
      </c>
      <c r="X282" s="11">
        <f t="shared" ca="1" si="58"/>
        <v>0.70245495799231117</v>
      </c>
    </row>
    <row r="283" spans="12:24" x14ac:dyDescent="0.45">
      <c r="L283" s="9">
        <v>279</v>
      </c>
      <c r="M283" s="11">
        <f t="shared" ca="1" si="50"/>
        <v>11.949166445111729</v>
      </c>
      <c r="N283" s="19">
        <f t="shared" ca="1" si="51"/>
        <v>706.50707239737358</v>
      </c>
      <c r="O283" s="9">
        <f t="shared" ca="1" si="52"/>
        <v>1</v>
      </c>
      <c r="P283" s="9">
        <f t="shared" ca="1" si="53"/>
        <v>3</v>
      </c>
      <c r="Q283" s="11">
        <f t="shared" ca="1" si="54"/>
        <v>5.8789186633488413</v>
      </c>
      <c r="R283" s="11">
        <f t="shared" ca="1" si="55"/>
        <v>15.073284383619004</v>
      </c>
      <c r="S283" s="11">
        <f t="shared" ca="1" si="56"/>
        <v>0.35671071198672311</v>
      </c>
      <c r="T283" s="11">
        <f t="shared" ca="1" si="57"/>
        <v>0.42302314884343778</v>
      </c>
      <c r="V283" s="11">
        <f t="shared" ca="1" si="58"/>
        <v>0.35671071198672311</v>
      </c>
      <c r="W283" s="11">
        <f t="shared" ca="1" si="58"/>
        <v>0.32372907596394385</v>
      </c>
      <c r="X283" s="11">
        <f t="shared" ca="1" si="58"/>
        <v>0.4281310743806559</v>
      </c>
    </row>
    <row r="284" spans="12:24" x14ac:dyDescent="0.45">
      <c r="L284" s="9">
        <v>280</v>
      </c>
      <c r="M284" s="11">
        <f t="shared" ca="1" si="50"/>
        <v>1.0975623301268325</v>
      </c>
      <c r="N284" s="19">
        <f t="shared" ca="1" si="51"/>
        <v>1282.9378001008504</v>
      </c>
      <c r="O284" s="9">
        <f t="shared" ca="1" si="52"/>
        <v>2</v>
      </c>
      <c r="P284" s="9">
        <f t="shared" ca="1" si="53"/>
        <v>5</v>
      </c>
      <c r="Q284" s="11">
        <f t="shared" ca="1" si="54"/>
        <v>6.0271486533031702</v>
      </c>
      <c r="R284" s="11">
        <f t="shared" ca="1" si="55"/>
        <v>7.6466243294107965</v>
      </c>
      <c r="S284" s="11">
        <f t="shared" ca="1" si="56"/>
        <v>0.68227891089033965</v>
      </c>
      <c r="T284" s="11">
        <f t="shared" ca="1" si="57"/>
        <v>6.3553621928866884</v>
      </c>
      <c r="V284" s="11">
        <f t="shared" ca="1" si="58"/>
        <v>0.68227891089033965</v>
      </c>
      <c r="W284" s="11">
        <f t="shared" ca="1" si="58"/>
        <v>0.54373441778483078</v>
      </c>
      <c r="X284" s="11">
        <f t="shared" ca="1" si="58"/>
        <v>0.97084208828758189</v>
      </c>
    </row>
    <row r="285" spans="12:24" x14ac:dyDescent="0.45">
      <c r="L285" s="9">
        <v>281</v>
      </c>
      <c r="M285" s="11">
        <f t="shared" ca="1" si="50"/>
        <v>5.9537130361699404</v>
      </c>
      <c r="N285" s="19">
        <f t="shared" ca="1" si="51"/>
        <v>765.95132373576666</v>
      </c>
      <c r="O285" s="9">
        <f t="shared" ca="1" si="52"/>
        <v>1</v>
      </c>
      <c r="P285" s="9">
        <f t="shared" ca="1" si="53"/>
        <v>4</v>
      </c>
      <c r="Q285" s="11">
        <f t="shared" ca="1" si="54"/>
        <v>4.3356109519923063</v>
      </c>
      <c r="R285" s="11">
        <f t="shared" ca="1" si="55"/>
        <v>12.22211793563061</v>
      </c>
      <c r="S285" s="11">
        <f t="shared" ca="1" si="56"/>
        <v>5.3454016803372473E-2</v>
      </c>
      <c r="T285" s="11">
        <f t="shared" ca="1" si="57"/>
        <v>13.411798622673444</v>
      </c>
      <c r="V285" s="11">
        <f t="shared" ref="V285:X304" ca="1" si="59">RAND()</f>
        <v>5.3454016803372473E-2</v>
      </c>
      <c r="W285" s="11">
        <f t="shared" ca="1" si="59"/>
        <v>0.10560219692448891</v>
      </c>
      <c r="X285" s="11">
        <f t="shared" ca="1" si="59"/>
        <v>0.99858982044547906</v>
      </c>
    </row>
    <row r="286" spans="12:24" x14ac:dyDescent="0.45">
      <c r="L286" s="9">
        <v>282</v>
      </c>
      <c r="M286" s="11">
        <f t="shared" ca="1" si="50"/>
        <v>4.3329512702930044</v>
      </c>
      <c r="N286" s="19">
        <f t="shared" ca="1" si="51"/>
        <v>645.37740866358422</v>
      </c>
      <c r="O286" s="9">
        <f t="shared" ca="1" si="52"/>
        <v>1</v>
      </c>
      <c r="P286" s="9">
        <f t="shared" ca="1" si="53"/>
        <v>1</v>
      </c>
      <c r="Q286" s="11">
        <f t="shared" ca="1" si="54"/>
        <v>4.7389049227589721</v>
      </c>
      <c r="R286" s="11">
        <f t="shared" ca="1" si="55"/>
        <v>9.5590954671414465</v>
      </c>
      <c r="S286" s="11" t="str">
        <f t="shared" ca="1" si="56"/>
        <v/>
      </c>
      <c r="T286" s="11">
        <f t="shared" ca="1" si="57"/>
        <v>4.8384693198377429</v>
      </c>
      <c r="V286" s="11">
        <f t="shared" ca="1" si="59"/>
        <v>0.17811117854192626</v>
      </c>
      <c r="W286" s="11">
        <f t="shared" ca="1" si="59"/>
        <v>0.59580999268941803</v>
      </c>
      <c r="X286" s="11">
        <f t="shared" ca="1" si="59"/>
        <v>0.34403389017974262</v>
      </c>
    </row>
    <row r="287" spans="12:24" x14ac:dyDescent="0.45">
      <c r="L287" s="9">
        <v>283</v>
      </c>
      <c r="M287" s="11">
        <f t="shared" ca="1" si="50"/>
        <v>3.7629238532030596</v>
      </c>
      <c r="N287" s="19">
        <f t="shared" ca="1" si="51"/>
        <v>918.70537524610404</v>
      </c>
      <c r="O287" s="9">
        <f t="shared" ca="1" si="52"/>
        <v>1</v>
      </c>
      <c r="P287" s="9">
        <f t="shared" ca="1" si="53"/>
        <v>3</v>
      </c>
      <c r="Q287" s="11">
        <f t="shared" ca="1" si="54"/>
        <v>3.6645463534964966</v>
      </c>
      <c r="R287" s="11">
        <f t="shared" ca="1" si="55"/>
        <v>9.919367077177796</v>
      </c>
      <c r="S287" s="11" t="str">
        <f t="shared" ca="1" si="56"/>
        <v/>
      </c>
      <c r="T287" s="11">
        <f t="shared" ca="1" si="57"/>
        <v>1.3970775185984121</v>
      </c>
      <c r="V287" s="11">
        <f t="shared" ca="1" si="59"/>
        <v>0.58788620173901374</v>
      </c>
      <c r="W287" s="11">
        <f t="shared" ca="1" si="59"/>
        <v>0.97800252905843854</v>
      </c>
      <c r="X287" s="11">
        <f t="shared" ca="1" si="59"/>
        <v>6.9333060425238791E-2</v>
      </c>
    </row>
    <row r="288" spans="12:24" x14ac:dyDescent="0.45">
      <c r="L288" s="9">
        <v>284</v>
      </c>
      <c r="M288" s="11">
        <f t="shared" ca="1" si="50"/>
        <v>10.259873099563102</v>
      </c>
      <c r="N288" s="19">
        <f t="shared" ca="1" si="51"/>
        <v>1841.0223822496926</v>
      </c>
      <c r="O288" s="9">
        <f t="shared" ca="1" si="52"/>
        <v>1</v>
      </c>
      <c r="P288" s="9">
        <f t="shared" ca="1" si="53"/>
        <v>1</v>
      </c>
      <c r="Q288" s="11">
        <f t="shared" ca="1" si="54"/>
        <v>4.6891717047004073</v>
      </c>
      <c r="R288" s="11">
        <f t="shared" ca="1" si="55"/>
        <v>6.8949070704625139</v>
      </c>
      <c r="S288" s="11" t="str">
        <f t="shared" ca="1" si="56"/>
        <v/>
      </c>
      <c r="T288" s="11">
        <f t="shared" ca="1" si="57"/>
        <v>1.7840288629694465</v>
      </c>
      <c r="V288" s="11">
        <f t="shared" ca="1" si="59"/>
        <v>0.1371184712921466</v>
      </c>
      <c r="W288" s="11">
        <f t="shared" ca="1" si="59"/>
        <v>0.87330222962645554</v>
      </c>
      <c r="X288" s="11">
        <f t="shared" ca="1" si="59"/>
        <v>0.35286670416921762</v>
      </c>
    </row>
    <row r="289" spans="12:24" x14ac:dyDescent="0.45">
      <c r="L289" s="9">
        <v>285</v>
      </c>
      <c r="M289" s="11">
        <f t="shared" ca="1" si="50"/>
        <v>2.5976576642013014</v>
      </c>
      <c r="N289" s="19">
        <f t="shared" ca="1" si="51"/>
        <v>1567.7453481142779</v>
      </c>
      <c r="O289" s="9">
        <f t="shared" ca="1" si="52"/>
        <v>1</v>
      </c>
      <c r="P289" s="9">
        <f t="shared" ca="1" si="53"/>
        <v>2</v>
      </c>
      <c r="Q289" s="11">
        <f t="shared" ca="1" si="54"/>
        <v>6.4487177784821252</v>
      </c>
      <c r="R289" s="11">
        <f t="shared" ca="1" si="55"/>
        <v>7.6108295745230574</v>
      </c>
      <c r="S289" s="11">
        <f t="shared" ca="1" si="56"/>
        <v>0.62240052163052229</v>
      </c>
      <c r="T289" s="11">
        <f t="shared" ca="1" si="57"/>
        <v>5.7213947223681556</v>
      </c>
      <c r="V289" s="11">
        <f t="shared" ca="1" si="59"/>
        <v>0.62240052163052229</v>
      </c>
      <c r="W289" s="11">
        <f t="shared" ca="1" si="59"/>
        <v>1.0595641815443479E-2</v>
      </c>
      <c r="X289" s="11">
        <f t="shared" ca="1" si="59"/>
        <v>0.13513884613646021</v>
      </c>
    </row>
    <row r="290" spans="12:24" x14ac:dyDescent="0.45">
      <c r="L290" s="9">
        <v>286</v>
      </c>
      <c r="M290" s="11">
        <f t="shared" ca="1" si="50"/>
        <v>1.7738486605074197</v>
      </c>
      <c r="N290" s="19">
        <f t="shared" ca="1" si="51"/>
        <v>1220.7194082467365</v>
      </c>
      <c r="O290" s="9">
        <f t="shared" ca="1" si="52"/>
        <v>1</v>
      </c>
      <c r="P290" s="9">
        <f t="shared" ca="1" si="53"/>
        <v>1</v>
      </c>
      <c r="Q290" s="11">
        <f t="shared" ca="1" si="54"/>
        <v>4.4074658434527052</v>
      </c>
      <c r="R290" s="11">
        <f t="shared" ca="1" si="55"/>
        <v>12.321497410173528</v>
      </c>
      <c r="S290" s="11" t="str">
        <f t="shared" ca="1" si="56"/>
        <v/>
      </c>
      <c r="T290" s="11">
        <f t="shared" ca="1" si="57"/>
        <v>6.0147519509662022</v>
      </c>
      <c r="V290" s="11">
        <f t="shared" ca="1" si="59"/>
        <v>0.96021099657964004</v>
      </c>
      <c r="W290" s="11">
        <f t="shared" ca="1" si="59"/>
        <v>0.77475249934550083</v>
      </c>
      <c r="X290" s="11">
        <f t="shared" ca="1" si="59"/>
        <v>0.78450170471947145</v>
      </c>
    </row>
    <row r="291" spans="12:24" x14ac:dyDescent="0.45">
      <c r="L291" s="9">
        <v>287</v>
      </c>
      <c r="M291" s="11">
        <f t="shared" ca="1" si="50"/>
        <v>0.86436455736543272</v>
      </c>
      <c r="N291" s="19">
        <f t="shared" ca="1" si="51"/>
        <v>2374.6822319838552</v>
      </c>
      <c r="O291" s="9">
        <f t="shared" ca="1" si="52"/>
        <v>1</v>
      </c>
      <c r="P291" s="9">
        <f t="shared" ca="1" si="53"/>
        <v>6</v>
      </c>
      <c r="Q291" s="11">
        <f t="shared" ca="1" si="54"/>
        <v>7.8658358227694043</v>
      </c>
      <c r="R291" s="11">
        <f t="shared" ca="1" si="55"/>
        <v>9.5168999770338356</v>
      </c>
      <c r="S291" s="11">
        <f t="shared" ca="1" si="56"/>
        <v>0.18467436461628772</v>
      </c>
      <c r="T291" s="11">
        <f t="shared" ca="1" si="57"/>
        <v>1.0792619517683102</v>
      </c>
      <c r="V291" s="11">
        <f t="shared" ca="1" si="59"/>
        <v>0.18467436461628772</v>
      </c>
      <c r="W291" s="11">
        <f t="shared" ca="1" si="59"/>
        <v>3.0053578318695484E-2</v>
      </c>
      <c r="X291" s="11">
        <f t="shared" ca="1" si="59"/>
        <v>0.67571293669810728</v>
      </c>
    </row>
    <row r="292" spans="12:24" x14ac:dyDescent="0.45">
      <c r="L292" s="9">
        <v>288</v>
      </c>
      <c r="M292" s="11">
        <f t="shared" ca="1" si="50"/>
        <v>4.2793879318940764</v>
      </c>
      <c r="N292" s="19">
        <f t="shared" ca="1" si="51"/>
        <v>519.79331397215083</v>
      </c>
      <c r="O292" s="9">
        <f t="shared" ca="1" si="52"/>
        <v>1</v>
      </c>
      <c r="P292" s="9">
        <f t="shared" ca="1" si="53"/>
        <v>1</v>
      </c>
      <c r="Q292" s="11">
        <f t="shared" ca="1" si="54"/>
        <v>7.4244474173825141</v>
      </c>
      <c r="R292" s="11">
        <f t="shared" ca="1" si="55"/>
        <v>12.344537848806068</v>
      </c>
      <c r="S292" s="11">
        <f t="shared" ca="1" si="56"/>
        <v>0.5420895962681318</v>
      </c>
      <c r="T292" s="11">
        <f t="shared" ca="1" si="57"/>
        <v>12.433917085176121</v>
      </c>
      <c r="V292" s="11">
        <f t="shared" ca="1" si="59"/>
        <v>0.5420895962681318</v>
      </c>
      <c r="W292" s="11">
        <f t="shared" ca="1" si="59"/>
        <v>0.30919004005164596</v>
      </c>
      <c r="X292" s="11">
        <f t="shared" ca="1" si="59"/>
        <v>0.76794148617704117</v>
      </c>
    </row>
    <row r="293" spans="12:24" x14ac:dyDescent="0.45">
      <c r="L293" s="9">
        <v>289</v>
      </c>
      <c r="M293" s="11">
        <f t="shared" ca="1" si="50"/>
        <v>1.3910058389518301</v>
      </c>
      <c r="N293" s="19">
        <f t="shared" ca="1" si="51"/>
        <v>396.91781679920337</v>
      </c>
      <c r="O293" s="9">
        <f t="shared" ca="1" si="52"/>
        <v>1</v>
      </c>
      <c r="P293" s="9">
        <f t="shared" ca="1" si="53"/>
        <v>2</v>
      </c>
      <c r="Q293" s="11">
        <f t="shared" ca="1" si="54"/>
        <v>8.8664574778168337</v>
      </c>
      <c r="R293" s="11">
        <f t="shared" ca="1" si="55"/>
        <v>6.5641743209222039</v>
      </c>
      <c r="S293" s="11" t="str">
        <f t="shared" ca="1" si="56"/>
        <v/>
      </c>
      <c r="T293" s="11">
        <f t="shared" ca="1" si="57"/>
        <v>0.66509356264141717</v>
      </c>
      <c r="V293" s="11">
        <f t="shared" ca="1" si="59"/>
        <v>0.43102924929122721</v>
      </c>
      <c r="W293" s="11">
        <f t="shared" ca="1" si="59"/>
        <v>0.99745595101440665</v>
      </c>
      <c r="X293" s="11">
        <f t="shared" ca="1" si="59"/>
        <v>7.3846607374294271E-2</v>
      </c>
    </row>
    <row r="294" spans="12:24" x14ac:dyDescent="0.45">
      <c r="L294" s="9">
        <v>290</v>
      </c>
      <c r="M294" s="11">
        <f t="shared" ca="1" si="50"/>
        <v>7.6233382684668705</v>
      </c>
      <c r="N294" s="19">
        <f t="shared" ca="1" si="51"/>
        <v>616.74487511272696</v>
      </c>
      <c r="O294" s="9">
        <f t="shared" ca="1" si="52"/>
        <v>1</v>
      </c>
      <c r="P294" s="9">
        <f t="shared" ca="1" si="53"/>
        <v>4</v>
      </c>
      <c r="Q294" s="11">
        <f t="shared" ca="1" si="54"/>
        <v>10.517476802048053</v>
      </c>
      <c r="R294" s="11">
        <f t="shared" ca="1" si="55"/>
        <v>8.3807145749370537</v>
      </c>
      <c r="S294" s="11">
        <f t="shared" ca="1" si="56"/>
        <v>0.78260736155802235</v>
      </c>
      <c r="T294" s="11">
        <f t="shared" ca="1" si="57"/>
        <v>6.9609247961050471</v>
      </c>
      <c r="V294" s="11">
        <f t="shared" ca="1" si="59"/>
        <v>0.78260736155802235</v>
      </c>
      <c r="W294" s="11">
        <f t="shared" ca="1" si="59"/>
        <v>0.34971507962426318</v>
      </c>
      <c r="X294" s="11">
        <f t="shared" ca="1" si="59"/>
        <v>0.82879066282017566</v>
      </c>
    </row>
    <row r="295" spans="12:24" x14ac:dyDescent="0.45">
      <c r="L295" s="9">
        <v>291</v>
      </c>
      <c r="M295" s="11">
        <f t="shared" ca="1" si="50"/>
        <v>3.6461682984774511</v>
      </c>
      <c r="N295" s="19">
        <f t="shared" ca="1" si="51"/>
        <v>515.56992805152504</v>
      </c>
      <c r="O295" s="9">
        <f t="shared" ca="1" si="52"/>
        <v>2</v>
      </c>
      <c r="P295" s="9">
        <f t="shared" ca="1" si="53"/>
        <v>2</v>
      </c>
      <c r="Q295" s="11">
        <f t="shared" ca="1" si="54"/>
        <v>5.0727530306914881</v>
      </c>
      <c r="R295" s="11">
        <f t="shared" ca="1" si="55"/>
        <v>12.418987191063078</v>
      </c>
      <c r="S295" s="11" t="str">
        <f t="shared" ca="1" si="56"/>
        <v/>
      </c>
      <c r="T295" s="11">
        <f t="shared" ca="1" si="57"/>
        <v>5.2709589267846511</v>
      </c>
      <c r="V295" s="11">
        <f t="shared" ca="1" si="59"/>
        <v>0.87737576001342688</v>
      </c>
      <c r="W295" s="11">
        <f t="shared" ca="1" si="59"/>
        <v>0.64499730293933355</v>
      </c>
      <c r="X295" s="11">
        <f t="shared" ca="1" si="59"/>
        <v>0.83126901485364801</v>
      </c>
    </row>
    <row r="296" spans="12:24" x14ac:dyDescent="0.45">
      <c r="L296" s="9">
        <v>292</v>
      </c>
      <c r="M296" s="11">
        <f t="shared" ca="1" si="50"/>
        <v>0.60938669324233763</v>
      </c>
      <c r="N296" s="19">
        <f t="shared" ca="1" si="51"/>
        <v>93.862260374374813</v>
      </c>
      <c r="O296" s="9">
        <f t="shared" ca="1" si="52"/>
        <v>1</v>
      </c>
      <c r="P296" s="9">
        <f t="shared" ca="1" si="53"/>
        <v>6</v>
      </c>
      <c r="Q296" s="11">
        <f t="shared" ca="1" si="54"/>
        <v>7.5150245454115279</v>
      </c>
      <c r="R296" s="11">
        <f t="shared" ca="1" si="55"/>
        <v>12.206056226506057</v>
      </c>
      <c r="S296" s="11" t="str">
        <f t="shared" ca="1" si="56"/>
        <v/>
      </c>
      <c r="T296" s="11">
        <f t="shared" ca="1" si="57"/>
        <v>5.7264786204430127</v>
      </c>
      <c r="V296" s="11">
        <f t="shared" ca="1" si="59"/>
        <v>0.77246397296225056</v>
      </c>
      <c r="W296" s="11">
        <f t="shared" ca="1" si="59"/>
        <v>0.86262911048063518</v>
      </c>
      <c r="X296" s="11">
        <f t="shared" ca="1" si="59"/>
        <v>0.94394977783840839</v>
      </c>
    </row>
    <row r="297" spans="12:24" x14ac:dyDescent="0.45">
      <c r="L297" s="9">
        <v>293</v>
      </c>
      <c r="M297" s="11">
        <f t="shared" ca="1" si="50"/>
        <v>0.17052809257132659</v>
      </c>
      <c r="N297" s="19">
        <f t="shared" ca="1" si="51"/>
        <v>1055.0614922076338</v>
      </c>
      <c r="O297" s="9">
        <f t="shared" ca="1" si="52"/>
        <v>3</v>
      </c>
      <c r="P297" s="9">
        <f t="shared" ca="1" si="53"/>
        <v>0</v>
      </c>
      <c r="Q297" s="11">
        <f t="shared" ca="1" si="54"/>
        <v>4.7085750780993259</v>
      </c>
      <c r="R297" s="11">
        <f t="shared" ca="1" si="55"/>
        <v>9.3733658699237736</v>
      </c>
      <c r="S297" s="11">
        <f t="shared" ca="1" si="56"/>
        <v>0.38392715689470425</v>
      </c>
      <c r="T297" s="11">
        <f t="shared" ca="1" si="57"/>
        <v>2.8338968883780784</v>
      </c>
      <c r="V297" s="11">
        <f t="shared" ca="1" si="59"/>
        <v>0.38392715689470425</v>
      </c>
      <c r="W297" s="11">
        <f t="shared" ca="1" si="59"/>
        <v>0.21537117237733094</v>
      </c>
      <c r="X297" s="11">
        <f t="shared" ca="1" si="59"/>
        <v>0.6559501409048899</v>
      </c>
    </row>
    <row r="298" spans="12:24" x14ac:dyDescent="0.45">
      <c r="L298" s="9">
        <v>294</v>
      </c>
      <c r="M298" s="11">
        <f t="shared" ca="1" si="50"/>
        <v>0.99147438949468158</v>
      </c>
      <c r="N298" s="19">
        <f t="shared" ca="1" si="51"/>
        <v>1663.1169832560117</v>
      </c>
      <c r="O298" s="9">
        <f t="shared" ca="1" si="52"/>
        <v>1</v>
      </c>
      <c r="P298" s="9">
        <f t="shared" ca="1" si="53"/>
        <v>4</v>
      </c>
      <c r="Q298" s="11">
        <f t="shared" ca="1" si="54"/>
        <v>6.3727098060389915</v>
      </c>
      <c r="R298" s="11">
        <f t="shared" ca="1" si="55"/>
        <v>13.053437470305571</v>
      </c>
      <c r="S298" s="11">
        <f t="shared" ca="1" si="56"/>
        <v>0.46474496398518317</v>
      </c>
      <c r="T298" s="11">
        <f t="shared" ca="1" si="57"/>
        <v>1.0698909023933276</v>
      </c>
      <c r="V298" s="11">
        <f t="shared" ca="1" si="59"/>
        <v>0.46474496398518317</v>
      </c>
      <c r="W298" s="11">
        <f t="shared" ca="1" si="59"/>
        <v>0.58442801062664707</v>
      </c>
      <c r="X298" s="11">
        <f t="shared" ca="1" si="59"/>
        <v>3.2489469957420858E-2</v>
      </c>
    </row>
    <row r="299" spans="12:24" x14ac:dyDescent="0.45">
      <c r="L299" s="9">
        <v>295</v>
      </c>
      <c r="M299" s="11">
        <f t="shared" ca="1" si="50"/>
        <v>1.31430741647358</v>
      </c>
      <c r="N299" s="19">
        <f t="shared" ca="1" si="51"/>
        <v>1148.3021167259346</v>
      </c>
      <c r="O299" s="9">
        <f t="shared" ca="1" si="52"/>
        <v>1</v>
      </c>
      <c r="P299" s="9">
        <f t="shared" ca="1" si="53"/>
        <v>8</v>
      </c>
      <c r="Q299" s="11">
        <f t="shared" ca="1" si="54"/>
        <v>9.9280393087611838</v>
      </c>
      <c r="R299" s="11">
        <f t="shared" ca="1" si="55"/>
        <v>10.37934743115718</v>
      </c>
      <c r="S299" s="11" t="str">
        <f t="shared" ca="1" si="56"/>
        <v/>
      </c>
      <c r="T299" s="11">
        <f t="shared" ca="1" si="57"/>
        <v>1.2601282322115459</v>
      </c>
      <c r="V299" s="11">
        <f t="shared" ca="1" si="59"/>
        <v>0.10690422565666868</v>
      </c>
      <c r="W299" s="11">
        <f t="shared" ca="1" si="59"/>
        <v>0.64117660264744181</v>
      </c>
      <c r="X299" s="11">
        <f t="shared" ca="1" si="59"/>
        <v>5.3602722026627303E-2</v>
      </c>
    </row>
    <row r="300" spans="12:24" x14ac:dyDescent="0.45">
      <c r="L300" s="9">
        <v>296</v>
      </c>
      <c r="M300" s="11">
        <f t="shared" ca="1" si="50"/>
        <v>0.49443641135053379</v>
      </c>
      <c r="N300" s="19">
        <f t="shared" ca="1" si="51"/>
        <v>1628.4599774092158</v>
      </c>
      <c r="O300" s="9">
        <f t="shared" ca="1" si="52"/>
        <v>1</v>
      </c>
      <c r="P300" s="9">
        <f t="shared" ca="1" si="53"/>
        <v>2</v>
      </c>
      <c r="Q300" s="11">
        <f t="shared" ca="1" si="54"/>
        <v>9.284692554516468</v>
      </c>
      <c r="R300" s="11">
        <f t="shared" ca="1" si="55"/>
        <v>8.4238719195816678</v>
      </c>
      <c r="S300" s="11">
        <f t="shared" ca="1" si="56"/>
        <v>0.57300135228716365</v>
      </c>
      <c r="T300" s="11">
        <f t="shared" ca="1" si="57"/>
        <v>3.877060011720586</v>
      </c>
      <c r="V300" s="11">
        <f t="shared" ca="1" si="59"/>
        <v>0.57300135228716365</v>
      </c>
      <c r="W300" s="11">
        <f t="shared" ca="1" si="59"/>
        <v>0.59829388575279174</v>
      </c>
      <c r="X300" s="11">
        <f t="shared" ca="1" si="59"/>
        <v>0.22305484683820453</v>
      </c>
    </row>
    <row r="301" spans="12:24" x14ac:dyDescent="0.45">
      <c r="L301" s="9">
        <v>297</v>
      </c>
      <c r="M301" s="11">
        <f t="shared" ca="1" si="50"/>
        <v>3.3133156639106702</v>
      </c>
      <c r="N301" s="19">
        <f t="shared" ca="1" si="51"/>
        <v>579.46431179149397</v>
      </c>
      <c r="O301" s="9">
        <f t="shared" ca="1" si="52"/>
        <v>1</v>
      </c>
      <c r="P301" s="9">
        <f t="shared" ca="1" si="53"/>
        <v>2</v>
      </c>
      <c r="Q301" s="11">
        <f t="shared" ca="1" si="54"/>
        <v>4.4628098003749788</v>
      </c>
      <c r="R301" s="11">
        <f t="shared" ca="1" si="55"/>
        <v>14.883529623596406</v>
      </c>
      <c r="S301" s="11">
        <f t="shared" ca="1" si="56"/>
        <v>0.38059260491192382</v>
      </c>
      <c r="T301" s="11">
        <f t="shared" ca="1" si="57"/>
        <v>0.98478731906948913</v>
      </c>
      <c r="V301" s="11">
        <f t="shared" ca="1" si="59"/>
        <v>0.38059260491192382</v>
      </c>
      <c r="W301" s="11">
        <f t="shared" ca="1" si="59"/>
        <v>6.6599296850305856E-2</v>
      </c>
      <c r="X301" s="11">
        <f t="shared" ca="1" si="59"/>
        <v>0.3668098876040502</v>
      </c>
    </row>
    <row r="302" spans="12:24" x14ac:dyDescent="0.45">
      <c r="L302" s="9">
        <v>298</v>
      </c>
      <c r="M302" s="11">
        <f t="shared" ca="1" si="50"/>
        <v>1.5080390632611007</v>
      </c>
      <c r="N302" s="19">
        <f t="shared" ca="1" si="51"/>
        <v>805.47427390069822</v>
      </c>
      <c r="O302" s="9">
        <f t="shared" ca="1" si="52"/>
        <v>1</v>
      </c>
      <c r="P302" s="9">
        <f t="shared" ca="1" si="53"/>
        <v>2</v>
      </c>
      <c r="Q302" s="11">
        <f t="shared" ca="1" si="54"/>
        <v>6.2301832005671729</v>
      </c>
      <c r="R302" s="11">
        <f t="shared" ca="1" si="55"/>
        <v>10.638802324191092</v>
      </c>
      <c r="S302" s="11" t="str">
        <f t="shared" ca="1" si="56"/>
        <v/>
      </c>
      <c r="T302" s="11">
        <f t="shared" ca="1" si="57"/>
        <v>1.0454576259275234</v>
      </c>
      <c r="V302" s="11">
        <f t="shared" ca="1" si="59"/>
        <v>4.2266733581860727E-2</v>
      </c>
      <c r="W302" s="11">
        <f t="shared" ca="1" si="59"/>
        <v>0.71473108713245126</v>
      </c>
      <c r="X302" s="11">
        <f t="shared" ca="1" si="59"/>
        <v>0.30774193277168305</v>
      </c>
    </row>
    <row r="303" spans="12:24" x14ac:dyDescent="0.45">
      <c r="L303" s="9">
        <v>299</v>
      </c>
      <c r="M303" s="11">
        <f t="shared" ca="1" si="50"/>
        <v>7.355448466862339</v>
      </c>
      <c r="N303" s="19">
        <f t="shared" ca="1" si="51"/>
        <v>875.48723863353916</v>
      </c>
      <c r="O303" s="9">
        <f t="shared" ca="1" si="52"/>
        <v>1</v>
      </c>
      <c r="P303" s="9">
        <f t="shared" ca="1" si="53"/>
        <v>6</v>
      </c>
      <c r="Q303" s="11">
        <f t="shared" ca="1" si="54"/>
        <v>9.7284344273060661</v>
      </c>
      <c r="R303" s="11">
        <f t="shared" ca="1" si="55"/>
        <v>11.946097127624993</v>
      </c>
      <c r="S303" s="11" t="str">
        <f t="shared" ca="1" si="56"/>
        <v/>
      </c>
      <c r="T303" s="11">
        <f t="shared" ca="1" si="57"/>
        <v>1.3427748035291625</v>
      </c>
      <c r="V303" s="11">
        <f t="shared" ca="1" si="59"/>
        <v>0.8729977140162023</v>
      </c>
      <c r="W303" s="11">
        <f t="shared" ca="1" si="59"/>
        <v>0.87039494943496443</v>
      </c>
      <c r="X303" s="11">
        <f t="shared" ca="1" si="59"/>
        <v>0.46973452470110033</v>
      </c>
    </row>
    <row r="304" spans="12:24" x14ac:dyDescent="0.45">
      <c r="L304" s="9">
        <v>300</v>
      </c>
      <c r="M304" s="11">
        <f t="shared" ca="1" si="50"/>
        <v>1.8794300391172982</v>
      </c>
      <c r="N304" s="19">
        <f t="shared" ca="1" si="51"/>
        <v>244.49558118266995</v>
      </c>
      <c r="O304" s="9">
        <f t="shared" ca="1" si="52"/>
        <v>3</v>
      </c>
      <c r="P304" s="9">
        <f t="shared" ca="1" si="53"/>
        <v>3</v>
      </c>
      <c r="Q304" s="11">
        <f t="shared" ca="1" si="54"/>
        <v>3.7498979161457098</v>
      </c>
      <c r="R304" s="11">
        <f t="shared" ca="1" si="55"/>
        <v>10.424290453167742</v>
      </c>
      <c r="S304" s="11">
        <f t="shared" ca="1" si="56"/>
        <v>0.43924067836979475</v>
      </c>
      <c r="T304" s="11">
        <f t="shared" ca="1" si="57"/>
        <v>5.7786968356996393</v>
      </c>
      <c r="V304" s="11">
        <f t="shared" ca="1" si="59"/>
        <v>0.43924067836979475</v>
      </c>
      <c r="W304" s="11">
        <f t="shared" ca="1" si="59"/>
        <v>0.52094246065641869</v>
      </c>
      <c r="X304" s="11">
        <f t="shared" ca="1" si="59"/>
        <v>0.15673328703942191</v>
      </c>
    </row>
    <row r="305" spans="12:24" x14ac:dyDescent="0.45">
      <c r="L305" s="9">
        <v>301</v>
      </c>
      <c r="M305" s="11">
        <f t="shared" ca="1" si="50"/>
        <v>3.8671782484646737</v>
      </c>
      <c r="N305" s="19">
        <f t="shared" ca="1" si="51"/>
        <v>246.01931025898492</v>
      </c>
      <c r="O305" s="9">
        <f t="shared" ca="1" si="52"/>
        <v>1</v>
      </c>
      <c r="P305" s="9">
        <f t="shared" ca="1" si="53"/>
        <v>2</v>
      </c>
      <c r="Q305" s="11">
        <f t="shared" ca="1" si="54"/>
        <v>6.2607677372659598</v>
      </c>
      <c r="R305" s="11">
        <f t="shared" ca="1" si="55"/>
        <v>11.196100321348997</v>
      </c>
      <c r="S305" s="11">
        <f t="shared" ca="1" si="56"/>
        <v>0.50413919367502669</v>
      </c>
      <c r="T305" s="11">
        <f t="shared" ca="1" si="57"/>
        <v>0.49994199681605855</v>
      </c>
      <c r="V305" s="11">
        <f t="shared" ref="V305:X324" ca="1" si="60">RAND()</f>
        <v>0.50413919367502669</v>
      </c>
      <c r="W305" s="11">
        <f t="shared" ca="1" si="60"/>
        <v>0.51465846305073482</v>
      </c>
      <c r="X305" s="11">
        <f t="shared" ca="1" si="60"/>
        <v>0.46622545060087106</v>
      </c>
    </row>
    <row r="306" spans="12:24" x14ac:dyDescent="0.45">
      <c r="L306" s="9">
        <v>302</v>
      </c>
      <c r="M306" s="11">
        <f t="shared" ca="1" si="50"/>
        <v>3.0355214337395835</v>
      </c>
      <c r="N306" s="19">
        <f t="shared" ca="1" si="51"/>
        <v>1289.9885694947307</v>
      </c>
      <c r="O306" s="9">
        <f t="shared" ca="1" si="52"/>
        <v>1</v>
      </c>
      <c r="P306" s="9">
        <f t="shared" ca="1" si="53"/>
        <v>1</v>
      </c>
      <c r="Q306" s="11">
        <f t="shared" ca="1" si="54"/>
        <v>1.9070018732719005</v>
      </c>
      <c r="R306" s="11">
        <f t="shared" ca="1" si="55"/>
        <v>6.940991601645889</v>
      </c>
      <c r="S306" s="11">
        <f t="shared" ca="1" si="56"/>
        <v>0.90933860585792003</v>
      </c>
      <c r="T306" s="11">
        <f t="shared" ca="1" si="57"/>
        <v>0.53720717631886816</v>
      </c>
      <c r="V306" s="11">
        <f t="shared" ca="1" si="60"/>
        <v>0.90933860585792003</v>
      </c>
      <c r="W306" s="11">
        <f t="shared" ca="1" si="60"/>
        <v>0.1686753134190645</v>
      </c>
      <c r="X306" s="11">
        <f t="shared" ca="1" si="60"/>
        <v>4.6296741542493081E-3</v>
      </c>
    </row>
    <row r="307" spans="12:24" x14ac:dyDescent="0.45">
      <c r="L307" s="9">
        <v>303</v>
      </c>
      <c r="M307" s="11">
        <f t="shared" ca="1" si="50"/>
        <v>1.8451383938312744</v>
      </c>
      <c r="N307" s="19">
        <f t="shared" ca="1" si="51"/>
        <v>914.31454345718134</v>
      </c>
      <c r="O307" s="9">
        <f t="shared" ca="1" si="52"/>
        <v>2</v>
      </c>
      <c r="P307" s="9">
        <f t="shared" ca="1" si="53"/>
        <v>4</v>
      </c>
      <c r="Q307" s="11">
        <f t="shared" ca="1" si="54"/>
        <v>5.5685099649756946</v>
      </c>
      <c r="R307" s="11">
        <f t="shared" ca="1" si="55"/>
        <v>10.021901089556497</v>
      </c>
      <c r="S307" s="11" t="str">
        <f t="shared" ca="1" si="56"/>
        <v/>
      </c>
      <c r="T307" s="11">
        <f t="shared" ca="1" si="57"/>
        <v>6.3913282684069763</v>
      </c>
      <c r="V307" s="11">
        <f t="shared" ca="1" si="60"/>
        <v>2.527951067849088E-3</v>
      </c>
      <c r="W307" s="11">
        <f t="shared" ca="1" si="60"/>
        <v>0.18907374562499435</v>
      </c>
      <c r="X307" s="11">
        <f t="shared" ca="1" si="60"/>
        <v>0.13106518580338311</v>
      </c>
    </row>
    <row r="308" spans="12:24" x14ac:dyDescent="0.45">
      <c r="L308" s="9">
        <v>304</v>
      </c>
      <c r="M308" s="11">
        <f t="shared" ca="1" si="50"/>
        <v>4.9596499549962729</v>
      </c>
      <c r="N308" s="19">
        <f t="shared" ca="1" si="51"/>
        <v>1807.8271880547143</v>
      </c>
      <c r="O308" s="9">
        <f t="shared" ca="1" si="52"/>
        <v>2</v>
      </c>
      <c r="P308" s="9">
        <f t="shared" ca="1" si="53"/>
        <v>3</v>
      </c>
      <c r="Q308" s="11">
        <f t="shared" ca="1" si="54"/>
        <v>5.2297307097539498</v>
      </c>
      <c r="R308" s="11">
        <f t="shared" ca="1" si="55"/>
        <v>7.7455955399228529</v>
      </c>
      <c r="S308" s="11">
        <f t="shared" ca="1" si="56"/>
        <v>0.84236792543157235</v>
      </c>
      <c r="T308" s="11">
        <f t="shared" ca="1" si="57"/>
        <v>1.2411467676818575</v>
      </c>
      <c r="V308" s="11">
        <f t="shared" ca="1" si="60"/>
        <v>0.84236792543157235</v>
      </c>
      <c r="W308" s="11">
        <f t="shared" ca="1" si="60"/>
        <v>0.20355084836592618</v>
      </c>
      <c r="X308" s="11">
        <f t="shared" ca="1" si="60"/>
        <v>0.33649919651752669</v>
      </c>
    </row>
    <row r="309" spans="12:24" x14ac:dyDescent="0.45">
      <c r="L309" s="9">
        <v>305</v>
      </c>
      <c r="M309" s="11">
        <f t="shared" ca="1" si="50"/>
        <v>2.7491985341644218</v>
      </c>
      <c r="N309" s="19">
        <f t="shared" ca="1" si="51"/>
        <v>1153.3532305738677</v>
      </c>
      <c r="O309" s="9">
        <f t="shared" ca="1" si="52"/>
        <v>3</v>
      </c>
      <c r="P309" s="9">
        <f t="shared" ca="1" si="53"/>
        <v>5</v>
      </c>
      <c r="Q309" s="11">
        <f t="shared" ca="1" si="54"/>
        <v>7.4867560530177677</v>
      </c>
      <c r="R309" s="11">
        <f t="shared" ca="1" si="55"/>
        <v>6.9512782863468665</v>
      </c>
      <c r="S309" s="11" t="str">
        <f t="shared" ca="1" si="56"/>
        <v/>
      </c>
      <c r="T309" s="11">
        <f t="shared" ca="1" si="57"/>
        <v>2.5674754096136514</v>
      </c>
      <c r="V309" s="11">
        <f t="shared" ca="1" si="60"/>
        <v>0.95570763072120446</v>
      </c>
      <c r="W309" s="11">
        <f t="shared" ca="1" si="60"/>
        <v>0.82059324051796201</v>
      </c>
      <c r="X309" s="11">
        <f t="shared" ca="1" si="60"/>
        <v>0.36665135029608353</v>
      </c>
    </row>
    <row r="310" spans="12:24" x14ac:dyDescent="0.45">
      <c r="L310" s="9">
        <v>306</v>
      </c>
      <c r="M310" s="11">
        <f t="shared" ca="1" si="50"/>
        <v>5.6166346699934593</v>
      </c>
      <c r="N310" s="19">
        <f t="shared" ca="1" si="51"/>
        <v>845.57648272552058</v>
      </c>
      <c r="O310" s="9">
        <f t="shared" ca="1" si="52"/>
        <v>3</v>
      </c>
      <c r="P310" s="9">
        <f t="shared" ca="1" si="53"/>
        <v>3</v>
      </c>
      <c r="Q310" s="11">
        <f t="shared" ca="1" si="54"/>
        <v>9.4761987513218653</v>
      </c>
      <c r="R310" s="11">
        <f t="shared" ca="1" si="55"/>
        <v>11.514733647194744</v>
      </c>
      <c r="S310" s="11">
        <f t="shared" ca="1" si="56"/>
        <v>0.74979541664661309</v>
      </c>
      <c r="T310" s="11">
        <f t="shared" ca="1" si="57"/>
        <v>22.635419059423992</v>
      </c>
      <c r="V310" s="11">
        <f t="shared" ca="1" si="60"/>
        <v>0.74979541664661309</v>
      </c>
      <c r="W310" s="11">
        <f t="shared" ca="1" si="60"/>
        <v>0.34755122178936537</v>
      </c>
      <c r="X310" s="11">
        <f t="shared" ca="1" si="60"/>
        <v>0.81727480523960805</v>
      </c>
    </row>
    <row r="311" spans="12:24" x14ac:dyDescent="0.45">
      <c r="L311" s="9">
        <v>307</v>
      </c>
      <c r="M311" s="11">
        <f t="shared" ca="1" si="50"/>
        <v>0.11716949514799707</v>
      </c>
      <c r="N311" s="19">
        <f t="shared" ca="1" si="51"/>
        <v>1185.6011076065504</v>
      </c>
      <c r="O311" s="9">
        <f t="shared" ca="1" si="52"/>
        <v>1</v>
      </c>
      <c r="P311" s="9">
        <f t="shared" ca="1" si="53"/>
        <v>3</v>
      </c>
      <c r="Q311" s="11">
        <f t="shared" ca="1" si="54"/>
        <v>4.6693155076437076</v>
      </c>
      <c r="R311" s="11">
        <f t="shared" ca="1" si="55"/>
        <v>12.224894212358445</v>
      </c>
      <c r="S311" s="11">
        <f t="shared" ca="1" si="56"/>
        <v>0.52620184142290771</v>
      </c>
      <c r="T311" s="11">
        <f t="shared" ca="1" si="57"/>
        <v>0.37311004993742758</v>
      </c>
      <c r="V311" s="11">
        <f t="shared" ca="1" si="60"/>
        <v>0.52620184142290771</v>
      </c>
      <c r="W311" s="11">
        <f t="shared" ca="1" si="60"/>
        <v>0.25322446757253292</v>
      </c>
      <c r="X311" s="11">
        <f t="shared" ca="1" si="60"/>
        <v>0.12700423163645125</v>
      </c>
    </row>
    <row r="312" spans="12:24" x14ac:dyDescent="0.45">
      <c r="L312" s="9">
        <v>308</v>
      </c>
      <c r="M312" s="11">
        <f t="shared" ca="1" si="50"/>
        <v>6.724256565388365</v>
      </c>
      <c r="N312" s="19">
        <f t="shared" ca="1" si="51"/>
        <v>601.21460388303376</v>
      </c>
      <c r="O312" s="9">
        <f t="shared" ca="1" si="52"/>
        <v>1</v>
      </c>
      <c r="P312" s="9">
        <f t="shared" ca="1" si="53"/>
        <v>4</v>
      </c>
      <c r="Q312" s="11">
        <f t="shared" ca="1" si="54"/>
        <v>3.9906248310539247</v>
      </c>
      <c r="R312" s="11">
        <f t="shared" ca="1" si="55"/>
        <v>11.22532787963442</v>
      </c>
      <c r="S312" s="11">
        <f t="shared" ca="1" si="56"/>
        <v>0.23421075864064733</v>
      </c>
      <c r="T312" s="11">
        <f t="shared" ca="1" si="57"/>
        <v>4.0079003253881185</v>
      </c>
      <c r="V312" s="11">
        <f t="shared" ca="1" si="60"/>
        <v>0.23421075864064733</v>
      </c>
      <c r="W312" s="11">
        <f t="shared" ca="1" si="60"/>
        <v>0.59643347537622393</v>
      </c>
      <c r="X312" s="11">
        <f t="shared" ca="1" si="60"/>
        <v>0.91343778354968863</v>
      </c>
    </row>
    <row r="313" spans="12:24" x14ac:dyDescent="0.45">
      <c r="L313" s="9">
        <v>309</v>
      </c>
      <c r="M313" s="11">
        <f t="shared" ca="1" si="50"/>
        <v>1.5162593952579795</v>
      </c>
      <c r="N313" s="19">
        <f t="shared" ca="1" si="51"/>
        <v>909.50346874414038</v>
      </c>
      <c r="O313" s="9">
        <f t="shared" ca="1" si="52"/>
        <v>1</v>
      </c>
      <c r="P313" s="9">
        <f t="shared" ca="1" si="53"/>
        <v>2</v>
      </c>
      <c r="Q313" s="11">
        <f t="shared" ca="1" si="54"/>
        <v>2.9084251566082209</v>
      </c>
      <c r="R313" s="11">
        <f t="shared" ca="1" si="55"/>
        <v>8.3708162370018435</v>
      </c>
      <c r="S313" s="11">
        <f t="shared" ca="1" si="56"/>
        <v>0.17736757151472304</v>
      </c>
      <c r="T313" s="11">
        <f t="shared" ca="1" si="57"/>
        <v>0.11772942093624852</v>
      </c>
      <c r="V313" s="11">
        <f t="shared" ca="1" si="60"/>
        <v>0.17736757151472304</v>
      </c>
      <c r="W313" s="11">
        <f t="shared" ca="1" si="60"/>
        <v>0.2060644710653099</v>
      </c>
      <c r="X313" s="11">
        <f t="shared" ca="1" si="60"/>
        <v>4.2326890177060261E-2</v>
      </c>
    </row>
    <row r="314" spans="12:24" x14ac:dyDescent="0.45">
      <c r="L314" s="9">
        <v>310</v>
      </c>
      <c r="M314" s="11">
        <f t="shared" ca="1" si="50"/>
        <v>2.3309860511116125</v>
      </c>
      <c r="N314" s="19">
        <f t="shared" ca="1" si="51"/>
        <v>767.68840967809081</v>
      </c>
      <c r="O314" s="9">
        <f t="shared" ca="1" si="52"/>
        <v>1</v>
      </c>
      <c r="P314" s="9">
        <f t="shared" ca="1" si="53"/>
        <v>1</v>
      </c>
      <c r="Q314" s="11">
        <f t="shared" ca="1" si="54"/>
        <v>8.1528612512390239</v>
      </c>
      <c r="R314" s="11">
        <f t="shared" ca="1" si="55"/>
        <v>10.339097469616465</v>
      </c>
      <c r="S314" s="11">
        <f t="shared" ca="1" si="56"/>
        <v>0.76567280925983772</v>
      </c>
      <c r="T314" s="11">
        <f t="shared" ca="1" si="57"/>
        <v>5.2450827732250884</v>
      </c>
      <c r="V314" s="11">
        <f t="shared" ca="1" si="60"/>
        <v>0.76567280925983772</v>
      </c>
      <c r="W314" s="11">
        <f t="shared" ca="1" si="60"/>
        <v>0.63130256740941526</v>
      </c>
      <c r="X314" s="11">
        <f t="shared" ca="1" si="60"/>
        <v>0.51640798177527636</v>
      </c>
    </row>
    <row r="315" spans="12:24" x14ac:dyDescent="0.45">
      <c r="L315" s="9">
        <v>311</v>
      </c>
      <c r="M315" s="11">
        <f t="shared" ca="1" si="50"/>
        <v>5.7072482234064417</v>
      </c>
      <c r="N315" s="19">
        <f t="shared" ca="1" si="51"/>
        <v>978.63648247608421</v>
      </c>
      <c r="O315" s="9">
        <f t="shared" ca="1" si="52"/>
        <v>2</v>
      </c>
      <c r="P315" s="9">
        <f t="shared" ca="1" si="53"/>
        <v>4</v>
      </c>
      <c r="Q315" s="11">
        <f t="shared" ca="1" si="54"/>
        <v>4.3997133328969156</v>
      </c>
      <c r="R315" s="11">
        <f t="shared" ca="1" si="55"/>
        <v>9.004427432421366</v>
      </c>
      <c r="S315" s="11">
        <f t="shared" ca="1" si="56"/>
        <v>0.17864273426718635</v>
      </c>
      <c r="T315" s="11">
        <f t="shared" ca="1" si="57"/>
        <v>4.8337099004190289</v>
      </c>
      <c r="V315" s="11">
        <f t="shared" ca="1" si="60"/>
        <v>0.17864273426718635</v>
      </c>
      <c r="W315" s="11">
        <f t="shared" ca="1" si="60"/>
        <v>0.11967027180168077</v>
      </c>
      <c r="X315" s="11">
        <f t="shared" ca="1" si="60"/>
        <v>0.86747072658504487</v>
      </c>
    </row>
    <row r="316" spans="12:24" x14ac:dyDescent="0.45">
      <c r="L316" s="9">
        <v>312</v>
      </c>
      <c r="M316" s="11">
        <f t="shared" ca="1" si="50"/>
        <v>0.50262938726872253</v>
      </c>
      <c r="N316" s="19">
        <f t="shared" ca="1" si="51"/>
        <v>1575.2743121398767</v>
      </c>
      <c r="O316" s="9">
        <f t="shared" ca="1" si="52"/>
        <v>4</v>
      </c>
      <c r="P316" s="9">
        <f t="shared" ca="1" si="53"/>
        <v>0</v>
      </c>
      <c r="Q316" s="11">
        <f t="shared" ca="1" si="54"/>
        <v>2.7654453028346362</v>
      </c>
      <c r="R316" s="11">
        <f t="shared" ca="1" si="55"/>
        <v>8.5491194520030156</v>
      </c>
      <c r="S316" s="11" t="str">
        <f t="shared" ca="1" si="56"/>
        <v/>
      </c>
      <c r="T316" s="11">
        <f t="shared" ca="1" si="57"/>
        <v>1.8571368333484743</v>
      </c>
      <c r="V316" s="11">
        <f t="shared" ca="1" si="60"/>
        <v>0.76369198178274289</v>
      </c>
      <c r="W316" s="11">
        <f t="shared" ca="1" si="60"/>
        <v>0.76454330288482875</v>
      </c>
      <c r="X316" s="11">
        <f t="shared" ca="1" si="60"/>
        <v>0.18749183219162113</v>
      </c>
    </row>
    <row r="317" spans="12:24" x14ac:dyDescent="0.45">
      <c r="L317" s="9">
        <v>313</v>
      </c>
      <c r="M317" s="11">
        <f t="shared" ca="1" si="50"/>
        <v>3.033730526713823</v>
      </c>
      <c r="N317" s="19">
        <f t="shared" ca="1" si="51"/>
        <v>1298.2447776491067</v>
      </c>
      <c r="O317" s="9">
        <f t="shared" ca="1" si="52"/>
        <v>1</v>
      </c>
      <c r="P317" s="9">
        <f t="shared" ca="1" si="53"/>
        <v>2</v>
      </c>
      <c r="Q317" s="11">
        <f t="shared" ca="1" si="54"/>
        <v>4.8816750457240161</v>
      </c>
      <c r="R317" s="11">
        <f t="shared" ca="1" si="55"/>
        <v>8.6240011189726111</v>
      </c>
      <c r="S317" s="11" t="str">
        <f t="shared" ca="1" si="56"/>
        <v/>
      </c>
      <c r="T317" s="11">
        <f t="shared" ca="1" si="57"/>
        <v>1.3337701193708238</v>
      </c>
      <c r="V317" s="11">
        <f t="shared" ca="1" si="60"/>
        <v>0.89607639323579291</v>
      </c>
      <c r="W317" s="11">
        <f t="shared" ca="1" si="60"/>
        <v>0.65032572736072114</v>
      </c>
      <c r="X317" s="11">
        <f t="shared" ca="1" si="60"/>
        <v>0.2551573408059955</v>
      </c>
    </row>
    <row r="318" spans="12:24" x14ac:dyDescent="0.45">
      <c r="L318" s="9">
        <v>314</v>
      </c>
      <c r="M318" s="11">
        <f t="shared" ca="1" si="50"/>
        <v>4.3234387230223703</v>
      </c>
      <c r="N318" s="19">
        <f t="shared" ca="1" si="51"/>
        <v>222.78633320876185</v>
      </c>
      <c r="O318" s="9">
        <f t="shared" ca="1" si="52"/>
        <v>1</v>
      </c>
      <c r="P318" s="9">
        <f t="shared" ca="1" si="53"/>
        <v>5</v>
      </c>
      <c r="Q318" s="11">
        <f t="shared" ca="1" si="54"/>
        <v>3.9563035153548491</v>
      </c>
      <c r="R318" s="11">
        <f t="shared" ca="1" si="55"/>
        <v>10.710284056211146</v>
      </c>
      <c r="S318" s="11" t="str">
        <f t="shared" ca="1" si="56"/>
        <v/>
      </c>
      <c r="T318" s="11">
        <f t="shared" ca="1" si="57"/>
        <v>0.70470606435685834</v>
      </c>
      <c r="V318" s="11">
        <f t="shared" ca="1" si="60"/>
        <v>0.99802335339801995</v>
      </c>
      <c r="W318" s="11">
        <f t="shared" ca="1" si="60"/>
        <v>0.4650556361563486</v>
      </c>
      <c r="X318" s="11">
        <f t="shared" ca="1" si="60"/>
        <v>0.73080577206386133</v>
      </c>
    </row>
    <row r="319" spans="12:24" x14ac:dyDescent="0.45">
      <c r="L319" s="9">
        <v>315</v>
      </c>
      <c r="M319" s="11">
        <f t="shared" ca="1" si="50"/>
        <v>9.3612835846949629</v>
      </c>
      <c r="N319" s="19">
        <f t="shared" ca="1" si="51"/>
        <v>1717.2153356025683</v>
      </c>
      <c r="O319" s="9">
        <f t="shared" ca="1" si="52"/>
        <v>2</v>
      </c>
      <c r="P319" s="9">
        <f t="shared" ca="1" si="53"/>
        <v>2</v>
      </c>
      <c r="Q319" s="11">
        <f t="shared" ca="1" si="54"/>
        <v>5.0149807888805782</v>
      </c>
      <c r="R319" s="11">
        <f t="shared" ca="1" si="55"/>
        <v>8.8796015916166322</v>
      </c>
      <c r="S319" s="11" t="str">
        <f t="shared" ca="1" si="56"/>
        <v/>
      </c>
      <c r="T319" s="11">
        <f t="shared" ca="1" si="57"/>
        <v>2.0899127901749002</v>
      </c>
      <c r="V319" s="11">
        <f t="shared" ca="1" si="60"/>
        <v>0.81870584186751738</v>
      </c>
      <c r="W319" s="11">
        <f t="shared" ca="1" si="60"/>
        <v>0.85452987824475835</v>
      </c>
      <c r="X319" s="11">
        <f t="shared" ca="1" si="60"/>
        <v>0.76180444580898887</v>
      </c>
    </row>
    <row r="320" spans="12:24" x14ac:dyDescent="0.45">
      <c r="L320" s="9">
        <v>316</v>
      </c>
      <c r="M320" s="11">
        <f t="shared" ca="1" si="50"/>
        <v>3.1797395677244991</v>
      </c>
      <c r="N320" s="19">
        <f t="shared" ca="1" si="51"/>
        <v>621.36437018386687</v>
      </c>
      <c r="O320" s="9">
        <f t="shared" ca="1" si="52"/>
        <v>1</v>
      </c>
      <c r="P320" s="9">
        <f t="shared" ca="1" si="53"/>
        <v>3</v>
      </c>
      <c r="Q320" s="11">
        <f t="shared" ca="1" si="54"/>
        <v>11.661023780315608</v>
      </c>
      <c r="R320" s="11">
        <f t="shared" ca="1" si="55"/>
        <v>11.91706798439947</v>
      </c>
      <c r="S320" s="11" t="str">
        <f t="shared" ca="1" si="56"/>
        <v/>
      </c>
      <c r="T320" s="11">
        <f t="shared" ca="1" si="57"/>
        <v>0.3837581017090666</v>
      </c>
      <c r="V320" s="11">
        <f t="shared" ca="1" si="60"/>
        <v>0.13821630653403738</v>
      </c>
      <c r="W320" s="11">
        <f t="shared" ca="1" si="60"/>
        <v>0.71267001821942622</v>
      </c>
      <c r="X320" s="11">
        <f t="shared" ca="1" si="60"/>
        <v>0.23478666474062071</v>
      </c>
    </row>
    <row r="321" spans="12:24" x14ac:dyDescent="0.45">
      <c r="L321" s="9">
        <v>317</v>
      </c>
      <c r="M321" s="11">
        <f t="shared" ca="1" si="50"/>
        <v>8.1348382918691069</v>
      </c>
      <c r="N321" s="19">
        <f t="shared" ca="1" si="51"/>
        <v>655.52601136697444</v>
      </c>
      <c r="O321" s="9">
        <f t="shared" ca="1" si="52"/>
        <v>2</v>
      </c>
      <c r="P321" s="9">
        <f t="shared" ca="1" si="53"/>
        <v>4</v>
      </c>
      <c r="Q321" s="11">
        <f t="shared" ca="1" si="54"/>
        <v>5.9150879624345896</v>
      </c>
      <c r="R321" s="11">
        <f t="shared" ca="1" si="55"/>
        <v>7.9828141917076625</v>
      </c>
      <c r="S321" s="11">
        <f t="shared" ca="1" si="56"/>
        <v>0.35250142323805589</v>
      </c>
      <c r="T321" s="11">
        <f t="shared" ca="1" si="57"/>
        <v>1.8606711803377396</v>
      </c>
      <c r="V321" s="11">
        <f t="shared" ca="1" si="60"/>
        <v>0.35250142323805589</v>
      </c>
      <c r="W321" s="11">
        <f t="shared" ca="1" si="60"/>
        <v>0.49021082335117339</v>
      </c>
      <c r="X321" s="11">
        <f t="shared" ca="1" si="60"/>
        <v>0.22059173153963552</v>
      </c>
    </row>
    <row r="322" spans="12:24" x14ac:dyDescent="0.45">
      <c r="L322" s="9">
        <v>318</v>
      </c>
      <c r="M322" s="11">
        <f t="shared" ca="1" si="50"/>
        <v>0.44033644365904362</v>
      </c>
      <c r="N322" s="19">
        <f t="shared" ca="1" si="51"/>
        <v>1176.7978190976341</v>
      </c>
      <c r="O322" s="9">
        <f t="shared" ca="1" si="52"/>
        <v>2</v>
      </c>
      <c r="P322" s="9">
        <f t="shared" ca="1" si="53"/>
        <v>2</v>
      </c>
      <c r="Q322" s="11">
        <f t="shared" ca="1" si="54"/>
        <v>4.1088792732319339</v>
      </c>
      <c r="R322" s="11">
        <f t="shared" ca="1" si="55"/>
        <v>10.929459359389782</v>
      </c>
      <c r="S322" s="11" t="str">
        <f t="shared" ca="1" si="56"/>
        <v/>
      </c>
      <c r="T322" s="11">
        <f t="shared" ca="1" si="57"/>
        <v>0.56053506171404799</v>
      </c>
      <c r="V322" s="11">
        <f t="shared" ca="1" si="60"/>
        <v>0.39753766022366044</v>
      </c>
      <c r="W322" s="11">
        <f t="shared" ca="1" si="60"/>
        <v>0.96959810915602695</v>
      </c>
      <c r="X322" s="11">
        <f t="shared" ca="1" si="60"/>
        <v>0.44002574826635887</v>
      </c>
    </row>
    <row r="323" spans="12:24" x14ac:dyDescent="0.45">
      <c r="L323" s="9">
        <v>319</v>
      </c>
      <c r="M323" s="11">
        <f t="shared" ca="1" si="50"/>
        <v>2.4936873550377587</v>
      </c>
      <c r="N323" s="19">
        <f t="shared" ca="1" si="51"/>
        <v>578.26210820972403</v>
      </c>
      <c r="O323" s="9">
        <f t="shared" ca="1" si="52"/>
        <v>1</v>
      </c>
      <c r="P323" s="9">
        <f t="shared" ca="1" si="53"/>
        <v>3</v>
      </c>
      <c r="Q323" s="11">
        <f t="shared" ca="1" si="54"/>
        <v>6.8069411607945298</v>
      </c>
      <c r="R323" s="11">
        <f t="shared" ca="1" si="55"/>
        <v>10.890932305086544</v>
      </c>
      <c r="S323" s="11">
        <f t="shared" ca="1" si="56"/>
        <v>0.37454855205058257</v>
      </c>
      <c r="T323" s="11">
        <f t="shared" ca="1" si="57"/>
        <v>0.82311057704210389</v>
      </c>
      <c r="V323" s="11">
        <f t="shared" ca="1" si="60"/>
        <v>0.37454855205058257</v>
      </c>
      <c r="W323" s="11">
        <f t="shared" ca="1" si="60"/>
        <v>0.78511345831676349</v>
      </c>
      <c r="X323" s="11">
        <f t="shared" ca="1" si="60"/>
        <v>4.8542448418450346E-2</v>
      </c>
    </row>
    <row r="324" spans="12:24" x14ac:dyDescent="0.45">
      <c r="L324" s="9">
        <v>320</v>
      </c>
      <c r="M324" s="11">
        <f t="shared" ca="1" si="50"/>
        <v>2.1753845436383816</v>
      </c>
      <c r="N324" s="19">
        <f t="shared" ca="1" si="51"/>
        <v>1313.3339452160026</v>
      </c>
      <c r="O324" s="9">
        <f t="shared" ca="1" si="52"/>
        <v>1</v>
      </c>
      <c r="P324" s="9">
        <f t="shared" ca="1" si="53"/>
        <v>3</v>
      </c>
      <c r="Q324" s="11">
        <f t="shared" ca="1" si="54"/>
        <v>5.6474438789502672</v>
      </c>
      <c r="R324" s="11">
        <f t="shared" ca="1" si="55"/>
        <v>10.525657073538397</v>
      </c>
      <c r="S324" s="11" t="str">
        <f t="shared" ca="1" si="56"/>
        <v/>
      </c>
      <c r="T324" s="11">
        <f t="shared" ca="1" si="57"/>
        <v>2.7161201572509794</v>
      </c>
      <c r="V324" s="11">
        <f t="shared" ca="1" si="60"/>
        <v>0.13719809214113687</v>
      </c>
      <c r="W324" s="11">
        <f t="shared" ca="1" si="60"/>
        <v>0.94018061419739873</v>
      </c>
      <c r="X324" s="11">
        <f t="shared" ca="1" si="60"/>
        <v>0.21645359153885813</v>
      </c>
    </row>
    <row r="325" spans="12:24" x14ac:dyDescent="0.45">
      <c r="L325" s="9">
        <v>321</v>
      </c>
      <c r="M325" s="11">
        <f t="shared" ref="M325:M388" ca="1" si="61">-$C$10*LN(1-RAND())</f>
        <v>3.0771783818839911</v>
      </c>
      <c r="N325" s="19">
        <f t="shared" ref="N325:N388" ca="1" si="62">$C$12*(-LN(1-RAND()))^(1/$C$11)</f>
        <v>644.33728764241641</v>
      </c>
      <c r="O325" s="9">
        <f t="shared" ref="O325:O388" ca="1" si="63">MAX(1,ROUNDUP(LN(1-RAND())/LN(1-$C$13),0))</f>
        <v>7</v>
      </c>
      <c r="P325" s="9">
        <f t="shared" ref="P325:P388" ca="1" si="64">INDEX($B$24:$B$44,MATCH(RAND(),$C$24:$C$44,1))</f>
        <v>4</v>
      </c>
      <c r="Q325" s="11">
        <f t="shared" ref="Q325:Q388" ca="1" si="65">-($C$16/$C$15)*LN(RAND()*RAND()*RAND())</f>
        <v>2.8918553895221288</v>
      </c>
      <c r="R325" s="11">
        <f t="shared" ref="R325:R388" ca="1" si="66">$C$17+$C$18*(RAND()+RAND()+RAND()+RAND()+RAND()+RAND()+RAND()+RAND()+RAND()+RAND()+RAND()+RAND()-6)</f>
        <v>9.934846426859103</v>
      </c>
      <c r="S325" s="11">
        <f t="shared" ref="S325:S388" ca="1" si="67">IF(1.5*W325&lt;=6*V325*(1-V325),V325,"")</f>
        <v>0.51204099025783412</v>
      </c>
      <c r="T325" s="11">
        <f t="shared" ref="T325:T388" ca="1" si="68">-IF(X325&lt;$C$19,$C$20,$C$21)*LN(1-RAND())</f>
        <v>6.4055820202266789</v>
      </c>
      <c r="V325" s="11">
        <f t="shared" ref="V325:X344" ca="1" si="69">RAND()</f>
        <v>0.51204099025783412</v>
      </c>
      <c r="W325" s="11">
        <f t="shared" ca="1" si="69"/>
        <v>0.99661518882724065</v>
      </c>
      <c r="X325" s="11">
        <f t="shared" ca="1" si="69"/>
        <v>0.38182343617730385</v>
      </c>
    </row>
    <row r="326" spans="12:24" x14ac:dyDescent="0.45">
      <c r="L326" s="9">
        <v>322</v>
      </c>
      <c r="M326" s="11">
        <f t="shared" ca="1" si="61"/>
        <v>9.5028955309582948</v>
      </c>
      <c r="N326" s="19">
        <f t="shared" ca="1" si="62"/>
        <v>731.63260288716685</v>
      </c>
      <c r="O326" s="9">
        <f t="shared" ca="1" si="63"/>
        <v>4</v>
      </c>
      <c r="P326" s="9">
        <f t="shared" ca="1" si="64"/>
        <v>1</v>
      </c>
      <c r="Q326" s="11">
        <f t="shared" ca="1" si="65"/>
        <v>5.0135251700389736</v>
      </c>
      <c r="R326" s="11">
        <f t="shared" ca="1" si="66"/>
        <v>11.679869513361425</v>
      </c>
      <c r="S326" s="11">
        <f t="shared" ca="1" si="67"/>
        <v>0.31348504520231302</v>
      </c>
      <c r="T326" s="11">
        <f t="shared" ca="1" si="68"/>
        <v>0.42201726747916751</v>
      </c>
      <c r="V326" s="11">
        <f t="shared" ca="1" si="69"/>
        <v>0.31348504520231302</v>
      </c>
      <c r="W326" s="11">
        <f t="shared" ca="1" si="69"/>
        <v>0.21749212742295287</v>
      </c>
      <c r="X326" s="11">
        <f t="shared" ca="1" si="69"/>
        <v>0.62539383910465063</v>
      </c>
    </row>
    <row r="327" spans="12:24" x14ac:dyDescent="0.45">
      <c r="L327" s="9">
        <v>323</v>
      </c>
      <c r="M327" s="11">
        <f t="shared" ca="1" si="61"/>
        <v>0.36882627180143041</v>
      </c>
      <c r="N327" s="19">
        <f t="shared" ca="1" si="62"/>
        <v>718.24609733644229</v>
      </c>
      <c r="O327" s="9">
        <f t="shared" ca="1" si="63"/>
        <v>1</v>
      </c>
      <c r="P327" s="9">
        <f t="shared" ca="1" si="64"/>
        <v>3</v>
      </c>
      <c r="Q327" s="11">
        <f t="shared" ca="1" si="65"/>
        <v>7.3092524892898059</v>
      </c>
      <c r="R327" s="11">
        <f t="shared" ca="1" si="66"/>
        <v>10.831010311559695</v>
      </c>
      <c r="S327" s="11" t="str">
        <f t="shared" ca="1" si="67"/>
        <v/>
      </c>
      <c r="T327" s="11">
        <f t="shared" ca="1" si="68"/>
        <v>1.6518878431683133</v>
      </c>
      <c r="V327" s="11">
        <f t="shared" ca="1" si="69"/>
        <v>4.5052918133333897E-2</v>
      </c>
      <c r="W327" s="11">
        <f t="shared" ca="1" si="69"/>
        <v>0.68354477673837577</v>
      </c>
      <c r="X327" s="11">
        <f t="shared" ca="1" si="69"/>
        <v>0.60134621654580689</v>
      </c>
    </row>
    <row r="328" spans="12:24" x14ac:dyDescent="0.45">
      <c r="L328" s="9">
        <v>324</v>
      </c>
      <c r="M328" s="11">
        <f t="shared" ca="1" si="61"/>
        <v>3.5258545249260664</v>
      </c>
      <c r="N328" s="19">
        <f t="shared" ca="1" si="62"/>
        <v>229.40915437839888</v>
      </c>
      <c r="O328" s="9">
        <f t="shared" ca="1" si="63"/>
        <v>1</v>
      </c>
      <c r="P328" s="9">
        <f t="shared" ca="1" si="64"/>
        <v>3</v>
      </c>
      <c r="Q328" s="11">
        <f t="shared" ca="1" si="65"/>
        <v>5.6100506964971411</v>
      </c>
      <c r="R328" s="11">
        <f t="shared" ca="1" si="66"/>
        <v>10.723177090630118</v>
      </c>
      <c r="S328" s="11">
        <f t="shared" ca="1" si="67"/>
        <v>0.51293075497477925</v>
      </c>
      <c r="T328" s="11">
        <f t="shared" ca="1" si="68"/>
        <v>2.6006898887430729</v>
      </c>
      <c r="V328" s="11">
        <f t="shared" ca="1" si="69"/>
        <v>0.51293075497477925</v>
      </c>
      <c r="W328" s="11">
        <f t="shared" ca="1" si="69"/>
        <v>7.1418651045869197E-3</v>
      </c>
      <c r="X328" s="11">
        <f t="shared" ca="1" si="69"/>
        <v>0.34836946307330396</v>
      </c>
    </row>
    <row r="329" spans="12:24" x14ac:dyDescent="0.45">
      <c r="L329" s="9">
        <v>325</v>
      </c>
      <c r="M329" s="11">
        <f t="shared" ca="1" si="61"/>
        <v>2.9515951325506707E-2</v>
      </c>
      <c r="N329" s="19">
        <f t="shared" ca="1" si="62"/>
        <v>1335.2297957331489</v>
      </c>
      <c r="O329" s="9">
        <f t="shared" ca="1" si="63"/>
        <v>1</v>
      </c>
      <c r="P329" s="9">
        <f t="shared" ca="1" si="64"/>
        <v>2</v>
      </c>
      <c r="Q329" s="11">
        <f t="shared" ca="1" si="65"/>
        <v>3.5810476815000638</v>
      </c>
      <c r="R329" s="11">
        <f t="shared" ca="1" si="66"/>
        <v>10.73649596959342</v>
      </c>
      <c r="S329" s="11">
        <f t="shared" ca="1" si="67"/>
        <v>0.1988992356503595</v>
      </c>
      <c r="T329" s="11">
        <f t="shared" ca="1" si="68"/>
        <v>14.683243929600019</v>
      </c>
      <c r="V329" s="11">
        <f t="shared" ca="1" si="69"/>
        <v>0.1988992356503595</v>
      </c>
      <c r="W329" s="11">
        <f t="shared" ca="1" si="69"/>
        <v>0.5515919483554288</v>
      </c>
      <c r="X329" s="11">
        <f t="shared" ca="1" si="69"/>
        <v>0.87740616911726632</v>
      </c>
    </row>
    <row r="330" spans="12:24" x14ac:dyDescent="0.45">
      <c r="L330" s="9">
        <v>326</v>
      </c>
      <c r="M330" s="11">
        <f t="shared" ca="1" si="61"/>
        <v>7.4321068810718165</v>
      </c>
      <c r="N330" s="19">
        <f t="shared" ca="1" si="62"/>
        <v>547.08300668606137</v>
      </c>
      <c r="O330" s="9">
        <f t="shared" ca="1" si="63"/>
        <v>1</v>
      </c>
      <c r="P330" s="9">
        <f t="shared" ca="1" si="64"/>
        <v>4</v>
      </c>
      <c r="Q330" s="11">
        <f t="shared" ca="1" si="65"/>
        <v>5.2109168547986426</v>
      </c>
      <c r="R330" s="11">
        <f t="shared" ca="1" si="66"/>
        <v>6.4974275595918716</v>
      </c>
      <c r="S330" s="11">
        <f t="shared" ca="1" si="67"/>
        <v>0.16706479644010397</v>
      </c>
      <c r="T330" s="11">
        <f t="shared" ca="1" si="68"/>
        <v>1.1801852770102848</v>
      </c>
      <c r="V330" s="11">
        <f t="shared" ca="1" si="69"/>
        <v>0.16706479644010397</v>
      </c>
      <c r="W330" s="11">
        <f t="shared" ca="1" si="69"/>
        <v>1.372067706927893E-2</v>
      </c>
      <c r="X330" s="11">
        <f t="shared" ca="1" si="69"/>
        <v>0.14977477343017276</v>
      </c>
    </row>
    <row r="331" spans="12:24" x14ac:dyDescent="0.45">
      <c r="L331" s="9">
        <v>327</v>
      </c>
      <c r="M331" s="11">
        <f t="shared" ca="1" si="61"/>
        <v>5.7415048363358006</v>
      </c>
      <c r="N331" s="19">
        <f t="shared" ca="1" si="62"/>
        <v>837.45232375051137</v>
      </c>
      <c r="O331" s="9">
        <f t="shared" ca="1" si="63"/>
        <v>2</v>
      </c>
      <c r="P331" s="9">
        <f t="shared" ca="1" si="64"/>
        <v>3</v>
      </c>
      <c r="Q331" s="11">
        <f t="shared" ca="1" si="65"/>
        <v>2.5372193175337356</v>
      </c>
      <c r="R331" s="11">
        <f t="shared" ca="1" si="66"/>
        <v>6.6588618266874615</v>
      </c>
      <c r="S331" s="11">
        <f t="shared" ca="1" si="67"/>
        <v>0.71479993330495417</v>
      </c>
      <c r="T331" s="11">
        <f t="shared" ca="1" si="68"/>
        <v>6.5909841779403946</v>
      </c>
      <c r="V331" s="11">
        <f t="shared" ca="1" si="69"/>
        <v>0.71479993330495417</v>
      </c>
      <c r="W331" s="11">
        <f t="shared" ca="1" si="69"/>
        <v>0.11830243626055159</v>
      </c>
      <c r="X331" s="11">
        <f t="shared" ca="1" si="69"/>
        <v>0.80408282716934731</v>
      </c>
    </row>
    <row r="332" spans="12:24" x14ac:dyDescent="0.45">
      <c r="L332" s="9">
        <v>328</v>
      </c>
      <c r="M332" s="11">
        <f t="shared" ca="1" si="61"/>
        <v>7.9880054678590806</v>
      </c>
      <c r="N332" s="19">
        <f t="shared" ca="1" si="62"/>
        <v>117.25283061435178</v>
      </c>
      <c r="O332" s="9">
        <f t="shared" ca="1" si="63"/>
        <v>2</v>
      </c>
      <c r="P332" s="9">
        <f t="shared" ca="1" si="64"/>
        <v>2</v>
      </c>
      <c r="Q332" s="11">
        <f t="shared" ca="1" si="65"/>
        <v>15.689671064864379</v>
      </c>
      <c r="R332" s="11">
        <f t="shared" ca="1" si="66"/>
        <v>8.8500180562878636</v>
      </c>
      <c r="S332" s="11">
        <f t="shared" ca="1" si="67"/>
        <v>0.19670669791751128</v>
      </c>
      <c r="T332" s="11">
        <f t="shared" ca="1" si="68"/>
        <v>2.4071826129600575</v>
      </c>
      <c r="V332" s="11">
        <f t="shared" ca="1" si="69"/>
        <v>0.19670669791751128</v>
      </c>
      <c r="W332" s="11">
        <f t="shared" ca="1" si="69"/>
        <v>0.4125625986064887</v>
      </c>
      <c r="X332" s="11">
        <f t="shared" ca="1" si="69"/>
        <v>0.55214494689293248</v>
      </c>
    </row>
    <row r="333" spans="12:24" x14ac:dyDescent="0.45">
      <c r="L333" s="9">
        <v>329</v>
      </c>
      <c r="M333" s="11">
        <f t="shared" ca="1" si="61"/>
        <v>4.1634511081001451</v>
      </c>
      <c r="N333" s="19">
        <f t="shared" ca="1" si="62"/>
        <v>135.16376571503258</v>
      </c>
      <c r="O333" s="9">
        <f t="shared" ca="1" si="63"/>
        <v>2</v>
      </c>
      <c r="P333" s="9">
        <f t="shared" ca="1" si="64"/>
        <v>0</v>
      </c>
      <c r="Q333" s="11">
        <f t="shared" ca="1" si="65"/>
        <v>1.8592619512238888</v>
      </c>
      <c r="R333" s="11">
        <f t="shared" ca="1" si="66"/>
        <v>13.058181021900031</v>
      </c>
      <c r="S333" s="11">
        <f t="shared" ca="1" si="67"/>
        <v>0.89979863790752546</v>
      </c>
      <c r="T333" s="11">
        <f t="shared" ca="1" si="68"/>
        <v>1.453355220864706</v>
      </c>
      <c r="V333" s="11">
        <f t="shared" ca="1" si="69"/>
        <v>0.89979863790752546</v>
      </c>
      <c r="W333" s="11">
        <f t="shared" ca="1" si="69"/>
        <v>0.11140295968293479</v>
      </c>
      <c r="X333" s="11">
        <f t="shared" ca="1" si="69"/>
        <v>0.65791839660526996</v>
      </c>
    </row>
    <row r="334" spans="12:24" x14ac:dyDescent="0.45">
      <c r="L334" s="9">
        <v>330</v>
      </c>
      <c r="M334" s="11">
        <f t="shared" ca="1" si="61"/>
        <v>6.1971165879762413</v>
      </c>
      <c r="N334" s="19">
        <f t="shared" ca="1" si="62"/>
        <v>1367.5851009702458</v>
      </c>
      <c r="O334" s="9">
        <f t="shared" ca="1" si="63"/>
        <v>1</v>
      </c>
      <c r="P334" s="9">
        <f t="shared" ca="1" si="64"/>
        <v>5</v>
      </c>
      <c r="Q334" s="11">
        <f t="shared" ca="1" si="65"/>
        <v>6.5466790638558683</v>
      </c>
      <c r="R334" s="11">
        <f t="shared" ca="1" si="66"/>
        <v>8.9851602908418151</v>
      </c>
      <c r="S334" s="11">
        <f t="shared" ca="1" si="67"/>
        <v>0.87444352727978403</v>
      </c>
      <c r="T334" s="11">
        <f t="shared" ca="1" si="68"/>
        <v>1.9033963596214714</v>
      </c>
      <c r="V334" s="11">
        <f t="shared" ca="1" si="69"/>
        <v>0.87444352727978403</v>
      </c>
      <c r="W334" s="11">
        <f t="shared" ca="1" si="69"/>
        <v>0.28295008085190387</v>
      </c>
      <c r="X334" s="11">
        <f t="shared" ca="1" si="69"/>
        <v>0.14019008917386055</v>
      </c>
    </row>
    <row r="335" spans="12:24" x14ac:dyDescent="0.45">
      <c r="L335" s="9">
        <v>331</v>
      </c>
      <c r="M335" s="11">
        <f t="shared" ca="1" si="61"/>
        <v>3.1170150159512562</v>
      </c>
      <c r="N335" s="19">
        <f t="shared" ca="1" si="62"/>
        <v>1085.0991092620322</v>
      </c>
      <c r="O335" s="9">
        <f t="shared" ca="1" si="63"/>
        <v>3</v>
      </c>
      <c r="P335" s="9">
        <f t="shared" ca="1" si="64"/>
        <v>5</v>
      </c>
      <c r="Q335" s="11">
        <f t="shared" ca="1" si="65"/>
        <v>3.0145052335060845</v>
      </c>
      <c r="R335" s="11">
        <f t="shared" ca="1" si="66"/>
        <v>11.480141134977858</v>
      </c>
      <c r="S335" s="11">
        <f t="shared" ca="1" si="67"/>
        <v>0.36705706649879588</v>
      </c>
      <c r="T335" s="11">
        <f t="shared" ca="1" si="68"/>
        <v>3.3602363782910234</v>
      </c>
      <c r="V335" s="11">
        <f t="shared" ca="1" si="69"/>
        <v>0.36705706649879588</v>
      </c>
      <c r="W335" s="11">
        <f t="shared" ca="1" si="69"/>
        <v>0.5112231173630748</v>
      </c>
      <c r="X335" s="11">
        <f t="shared" ca="1" si="69"/>
        <v>0.96282843005391661</v>
      </c>
    </row>
    <row r="336" spans="12:24" x14ac:dyDescent="0.45">
      <c r="L336" s="9">
        <v>332</v>
      </c>
      <c r="M336" s="11">
        <f t="shared" ca="1" si="61"/>
        <v>1.9019341188926577</v>
      </c>
      <c r="N336" s="19">
        <f t="shared" ca="1" si="62"/>
        <v>394.99426927556885</v>
      </c>
      <c r="O336" s="9">
        <f t="shared" ca="1" si="63"/>
        <v>1</v>
      </c>
      <c r="P336" s="9">
        <f t="shared" ca="1" si="64"/>
        <v>3</v>
      </c>
      <c r="Q336" s="11">
        <f t="shared" ca="1" si="65"/>
        <v>8.5538292042025912</v>
      </c>
      <c r="R336" s="11">
        <f t="shared" ca="1" si="66"/>
        <v>7.541577862508861</v>
      </c>
      <c r="S336" s="11">
        <f t="shared" ca="1" si="67"/>
        <v>0.47141764233095629</v>
      </c>
      <c r="T336" s="11">
        <f t="shared" ca="1" si="68"/>
        <v>2.3504136242970834</v>
      </c>
      <c r="V336" s="11">
        <f t="shared" ca="1" si="69"/>
        <v>0.47141764233095629</v>
      </c>
      <c r="W336" s="11">
        <f t="shared" ca="1" si="69"/>
        <v>0.84003521185513474</v>
      </c>
      <c r="X336" s="11">
        <f t="shared" ca="1" si="69"/>
        <v>0.34732267076286127</v>
      </c>
    </row>
    <row r="337" spans="12:24" x14ac:dyDescent="0.45">
      <c r="L337" s="9">
        <v>333</v>
      </c>
      <c r="M337" s="11">
        <f t="shared" ca="1" si="61"/>
        <v>0.19896785935512426</v>
      </c>
      <c r="N337" s="19">
        <f t="shared" ca="1" si="62"/>
        <v>347.81135291741242</v>
      </c>
      <c r="O337" s="9">
        <f t="shared" ca="1" si="63"/>
        <v>1</v>
      </c>
      <c r="P337" s="9">
        <f t="shared" ca="1" si="64"/>
        <v>5</v>
      </c>
      <c r="Q337" s="11">
        <f t="shared" ca="1" si="65"/>
        <v>9.0841916888185974</v>
      </c>
      <c r="R337" s="11">
        <f t="shared" ca="1" si="66"/>
        <v>11.249046515871393</v>
      </c>
      <c r="S337" s="11">
        <f t="shared" ca="1" si="67"/>
        <v>0.78436182460777548</v>
      </c>
      <c r="T337" s="11">
        <f t="shared" ca="1" si="68"/>
        <v>6.6685499493360583</v>
      </c>
      <c r="V337" s="11">
        <f t="shared" ca="1" si="69"/>
        <v>0.78436182460777548</v>
      </c>
      <c r="W337" s="11">
        <f t="shared" ca="1" si="69"/>
        <v>9.8648726664755659E-2</v>
      </c>
      <c r="X337" s="11">
        <f t="shared" ca="1" si="69"/>
        <v>0.69494850932176067</v>
      </c>
    </row>
    <row r="338" spans="12:24" x14ac:dyDescent="0.45">
      <c r="L338" s="9">
        <v>334</v>
      </c>
      <c r="M338" s="11">
        <f t="shared" ca="1" si="61"/>
        <v>1.8571744596645769</v>
      </c>
      <c r="N338" s="19">
        <f t="shared" ca="1" si="62"/>
        <v>234.28902911825361</v>
      </c>
      <c r="O338" s="9">
        <f t="shared" ca="1" si="63"/>
        <v>1</v>
      </c>
      <c r="P338" s="9">
        <f t="shared" ca="1" si="64"/>
        <v>3</v>
      </c>
      <c r="Q338" s="11">
        <f t="shared" ca="1" si="65"/>
        <v>6.0044101083202488</v>
      </c>
      <c r="R338" s="11">
        <f t="shared" ca="1" si="66"/>
        <v>9.1381026005169232</v>
      </c>
      <c r="S338" s="11">
        <f t="shared" ca="1" si="67"/>
        <v>0.20860635502142122</v>
      </c>
      <c r="T338" s="11">
        <f t="shared" ca="1" si="68"/>
        <v>2.2003273761719586</v>
      </c>
      <c r="V338" s="11">
        <f t="shared" ca="1" si="69"/>
        <v>0.20860635502142122</v>
      </c>
      <c r="W338" s="11">
        <f t="shared" ca="1" si="69"/>
        <v>0.30008592853485572</v>
      </c>
      <c r="X338" s="11">
        <f t="shared" ca="1" si="69"/>
        <v>9.4552360441155225E-2</v>
      </c>
    </row>
    <row r="339" spans="12:24" x14ac:dyDescent="0.45">
      <c r="L339" s="9">
        <v>335</v>
      </c>
      <c r="M339" s="11">
        <f t="shared" ca="1" si="61"/>
        <v>2.9055166524114018</v>
      </c>
      <c r="N339" s="19">
        <f t="shared" ca="1" si="62"/>
        <v>1133.4526439913914</v>
      </c>
      <c r="O339" s="9">
        <f t="shared" ca="1" si="63"/>
        <v>1</v>
      </c>
      <c r="P339" s="9">
        <f t="shared" ca="1" si="64"/>
        <v>1</v>
      </c>
      <c r="Q339" s="11">
        <f t="shared" ca="1" si="65"/>
        <v>8.0482219321658004</v>
      </c>
      <c r="R339" s="11">
        <f t="shared" ca="1" si="66"/>
        <v>8.9189457369405964</v>
      </c>
      <c r="S339" s="11">
        <f t="shared" ca="1" si="67"/>
        <v>0.28254459451215053</v>
      </c>
      <c r="T339" s="11">
        <f t="shared" ca="1" si="68"/>
        <v>0.88184877330956624</v>
      </c>
      <c r="V339" s="11">
        <f t="shared" ca="1" si="69"/>
        <v>0.28254459451215053</v>
      </c>
      <c r="W339" s="11">
        <f t="shared" ca="1" si="69"/>
        <v>0.56396551598208444</v>
      </c>
      <c r="X339" s="11">
        <f t="shared" ca="1" si="69"/>
        <v>0.61416108536637215</v>
      </c>
    </row>
    <row r="340" spans="12:24" x14ac:dyDescent="0.45">
      <c r="L340" s="9">
        <v>336</v>
      </c>
      <c r="M340" s="11">
        <f t="shared" ca="1" si="61"/>
        <v>6.6734100843251778E-2</v>
      </c>
      <c r="N340" s="19">
        <f t="shared" ca="1" si="62"/>
        <v>626.50230251755795</v>
      </c>
      <c r="O340" s="9">
        <f t="shared" ca="1" si="63"/>
        <v>1</v>
      </c>
      <c r="P340" s="9">
        <f t="shared" ca="1" si="64"/>
        <v>3</v>
      </c>
      <c r="Q340" s="11">
        <f t="shared" ca="1" si="65"/>
        <v>2.2297924963280842</v>
      </c>
      <c r="R340" s="11">
        <f t="shared" ca="1" si="66"/>
        <v>12.931528070524344</v>
      </c>
      <c r="S340" s="11">
        <f t="shared" ca="1" si="67"/>
        <v>0.31784200821682052</v>
      </c>
      <c r="T340" s="11">
        <f t="shared" ca="1" si="68"/>
        <v>30.340464703374348</v>
      </c>
      <c r="V340" s="11">
        <f t="shared" ca="1" si="69"/>
        <v>0.31784200821682052</v>
      </c>
      <c r="W340" s="11">
        <f t="shared" ca="1" si="69"/>
        <v>0.45392205869306479</v>
      </c>
      <c r="X340" s="11">
        <f t="shared" ca="1" si="69"/>
        <v>0.83880906123886678</v>
      </c>
    </row>
    <row r="341" spans="12:24" x14ac:dyDescent="0.45">
      <c r="L341" s="9">
        <v>337</v>
      </c>
      <c r="M341" s="11">
        <f t="shared" ca="1" si="61"/>
        <v>0.32057723114965969</v>
      </c>
      <c r="N341" s="19">
        <f t="shared" ca="1" si="62"/>
        <v>208.03613387497245</v>
      </c>
      <c r="O341" s="9">
        <f t="shared" ca="1" si="63"/>
        <v>1</v>
      </c>
      <c r="P341" s="9">
        <f t="shared" ca="1" si="64"/>
        <v>1</v>
      </c>
      <c r="Q341" s="11">
        <f t="shared" ca="1" si="65"/>
        <v>8.8536223449077998</v>
      </c>
      <c r="R341" s="11">
        <f t="shared" ca="1" si="66"/>
        <v>8.5574108249309919</v>
      </c>
      <c r="S341" s="11" t="str">
        <f t="shared" ca="1" si="67"/>
        <v/>
      </c>
      <c r="T341" s="11">
        <f t="shared" ca="1" si="68"/>
        <v>2.0271515478723541</v>
      </c>
      <c r="V341" s="11">
        <f t="shared" ca="1" si="69"/>
        <v>0.10042219731264357</v>
      </c>
      <c r="W341" s="11">
        <f t="shared" ca="1" si="69"/>
        <v>0.38668727853082108</v>
      </c>
      <c r="X341" s="11">
        <f t="shared" ca="1" si="69"/>
        <v>0.4156712694475434</v>
      </c>
    </row>
    <row r="342" spans="12:24" x14ac:dyDescent="0.45">
      <c r="L342" s="9">
        <v>338</v>
      </c>
      <c r="M342" s="11">
        <f t="shared" ca="1" si="61"/>
        <v>12.848982807884344</v>
      </c>
      <c r="N342" s="19">
        <f t="shared" ca="1" si="62"/>
        <v>210.95072708648968</v>
      </c>
      <c r="O342" s="9">
        <f t="shared" ca="1" si="63"/>
        <v>2</v>
      </c>
      <c r="P342" s="9">
        <f t="shared" ca="1" si="64"/>
        <v>7</v>
      </c>
      <c r="Q342" s="11">
        <f t="shared" ca="1" si="65"/>
        <v>7.2342518825938198</v>
      </c>
      <c r="R342" s="11">
        <f t="shared" ca="1" si="66"/>
        <v>8.2117528042350436</v>
      </c>
      <c r="S342" s="11">
        <f t="shared" ca="1" si="67"/>
        <v>9.82133916743404E-2</v>
      </c>
      <c r="T342" s="11">
        <f t="shared" ca="1" si="68"/>
        <v>1.2439910242716459</v>
      </c>
      <c r="V342" s="11">
        <f t="shared" ca="1" si="69"/>
        <v>9.82133916743404E-2</v>
      </c>
      <c r="W342" s="11">
        <f t="shared" ca="1" si="69"/>
        <v>0.18000699968811595</v>
      </c>
      <c r="X342" s="11">
        <f t="shared" ca="1" si="69"/>
        <v>0.24446755182721436</v>
      </c>
    </row>
    <row r="343" spans="12:24" x14ac:dyDescent="0.45">
      <c r="L343" s="9">
        <v>339</v>
      </c>
      <c r="M343" s="11">
        <f t="shared" ca="1" si="61"/>
        <v>2.2479717694613011</v>
      </c>
      <c r="N343" s="19">
        <f t="shared" ca="1" si="62"/>
        <v>744.07552083114149</v>
      </c>
      <c r="O343" s="9">
        <f t="shared" ca="1" si="63"/>
        <v>2</v>
      </c>
      <c r="P343" s="9">
        <f t="shared" ca="1" si="64"/>
        <v>3</v>
      </c>
      <c r="Q343" s="11">
        <f t="shared" ca="1" si="65"/>
        <v>5.1514445418995338</v>
      </c>
      <c r="R343" s="11">
        <f t="shared" ca="1" si="66"/>
        <v>7.9731344322700668</v>
      </c>
      <c r="S343" s="11">
        <f t="shared" ca="1" si="67"/>
        <v>0.76870734265959828</v>
      </c>
      <c r="T343" s="11">
        <f t="shared" ca="1" si="68"/>
        <v>2.7094695998478313</v>
      </c>
      <c r="V343" s="11">
        <f t="shared" ca="1" si="69"/>
        <v>0.76870734265959828</v>
      </c>
      <c r="W343" s="11">
        <f t="shared" ca="1" si="69"/>
        <v>0.68781847150313502</v>
      </c>
      <c r="X343" s="11">
        <f t="shared" ca="1" si="69"/>
        <v>0.9961149915008044</v>
      </c>
    </row>
    <row r="344" spans="12:24" x14ac:dyDescent="0.45">
      <c r="L344" s="9">
        <v>340</v>
      </c>
      <c r="M344" s="11">
        <f t="shared" ca="1" si="61"/>
        <v>2.7820939482264726</v>
      </c>
      <c r="N344" s="19">
        <f t="shared" ca="1" si="62"/>
        <v>314.66473478039859</v>
      </c>
      <c r="O344" s="9">
        <f t="shared" ca="1" si="63"/>
        <v>1</v>
      </c>
      <c r="P344" s="9">
        <f t="shared" ca="1" si="64"/>
        <v>3</v>
      </c>
      <c r="Q344" s="11">
        <f t="shared" ca="1" si="65"/>
        <v>5.9460840094778362</v>
      </c>
      <c r="R344" s="11">
        <f t="shared" ca="1" si="66"/>
        <v>9.9152877011768865</v>
      </c>
      <c r="S344" s="11" t="str">
        <f t="shared" ca="1" si="67"/>
        <v/>
      </c>
      <c r="T344" s="11">
        <f t="shared" ca="1" si="68"/>
        <v>11.393781729404465</v>
      </c>
      <c r="V344" s="11">
        <f t="shared" ca="1" si="69"/>
        <v>4.5708631931936639E-2</v>
      </c>
      <c r="W344" s="11">
        <f t="shared" ca="1" si="69"/>
        <v>0.47650890738344132</v>
      </c>
      <c r="X344" s="11">
        <f t="shared" ca="1" si="69"/>
        <v>0.70566509511591791</v>
      </c>
    </row>
    <row r="345" spans="12:24" x14ac:dyDescent="0.45">
      <c r="L345" s="9">
        <v>341</v>
      </c>
      <c r="M345" s="11">
        <f t="shared" ca="1" si="61"/>
        <v>0.43617537819579144</v>
      </c>
      <c r="N345" s="19">
        <f t="shared" ca="1" si="62"/>
        <v>1708.1152034454772</v>
      </c>
      <c r="O345" s="9">
        <f t="shared" ca="1" si="63"/>
        <v>4</v>
      </c>
      <c r="P345" s="9">
        <f t="shared" ca="1" si="64"/>
        <v>4</v>
      </c>
      <c r="Q345" s="11">
        <f t="shared" ca="1" si="65"/>
        <v>2.4970571426045609</v>
      </c>
      <c r="R345" s="11">
        <f t="shared" ca="1" si="66"/>
        <v>11.517494669809716</v>
      </c>
      <c r="S345" s="11">
        <f t="shared" ca="1" si="67"/>
        <v>0.809473775945034</v>
      </c>
      <c r="T345" s="11">
        <f t="shared" ca="1" si="68"/>
        <v>19.279294375269654</v>
      </c>
      <c r="V345" s="11">
        <f t="shared" ref="V345:X364" ca="1" si="70">RAND()</f>
        <v>0.809473775945034</v>
      </c>
      <c r="W345" s="11">
        <f t="shared" ca="1" si="70"/>
        <v>0.55443343585497162</v>
      </c>
      <c r="X345" s="11">
        <f t="shared" ca="1" si="70"/>
        <v>0.78144823999994806</v>
      </c>
    </row>
    <row r="346" spans="12:24" x14ac:dyDescent="0.45">
      <c r="L346" s="9">
        <v>342</v>
      </c>
      <c r="M346" s="11">
        <f t="shared" ca="1" si="61"/>
        <v>1.9626073367628136</v>
      </c>
      <c r="N346" s="19">
        <f t="shared" ca="1" si="62"/>
        <v>404.8601086662357</v>
      </c>
      <c r="O346" s="9">
        <f t="shared" ca="1" si="63"/>
        <v>1</v>
      </c>
      <c r="P346" s="9">
        <f t="shared" ca="1" si="64"/>
        <v>6</v>
      </c>
      <c r="Q346" s="11">
        <f t="shared" ca="1" si="65"/>
        <v>4.067108179347537</v>
      </c>
      <c r="R346" s="11">
        <f t="shared" ca="1" si="66"/>
        <v>6.5673573116941721</v>
      </c>
      <c r="S346" s="11">
        <f t="shared" ca="1" si="67"/>
        <v>0.11802327717724925</v>
      </c>
      <c r="T346" s="11">
        <f t="shared" ca="1" si="68"/>
        <v>1.8395740381227543</v>
      </c>
      <c r="V346" s="11">
        <f t="shared" ca="1" si="70"/>
        <v>0.11802327717724925</v>
      </c>
      <c r="W346" s="11">
        <f t="shared" ca="1" si="70"/>
        <v>0.33308972540477344</v>
      </c>
      <c r="X346" s="11">
        <f t="shared" ca="1" si="70"/>
        <v>0.13631260293532355</v>
      </c>
    </row>
    <row r="347" spans="12:24" x14ac:dyDescent="0.45">
      <c r="L347" s="9">
        <v>343</v>
      </c>
      <c r="M347" s="11">
        <f t="shared" ca="1" si="61"/>
        <v>4.0810827360756692</v>
      </c>
      <c r="N347" s="19">
        <f t="shared" ca="1" si="62"/>
        <v>251.84611467293468</v>
      </c>
      <c r="O347" s="9">
        <f t="shared" ca="1" si="63"/>
        <v>2</v>
      </c>
      <c r="P347" s="9">
        <f t="shared" ca="1" si="64"/>
        <v>2</v>
      </c>
      <c r="Q347" s="11">
        <f t="shared" ca="1" si="65"/>
        <v>8.2248384151008125</v>
      </c>
      <c r="R347" s="11">
        <f t="shared" ca="1" si="66"/>
        <v>8.5907227243768123</v>
      </c>
      <c r="S347" s="11">
        <f t="shared" ca="1" si="67"/>
        <v>0.51802483143258715</v>
      </c>
      <c r="T347" s="11">
        <f t="shared" ca="1" si="68"/>
        <v>1.0770990850967059</v>
      </c>
      <c r="V347" s="11">
        <f t="shared" ca="1" si="70"/>
        <v>0.51802483143258715</v>
      </c>
      <c r="W347" s="11">
        <f t="shared" ca="1" si="70"/>
        <v>0.50200455686030909</v>
      </c>
      <c r="X347" s="11">
        <f t="shared" ca="1" si="70"/>
        <v>0.15293681804938974</v>
      </c>
    </row>
    <row r="348" spans="12:24" x14ac:dyDescent="0.45">
      <c r="L348" s="9">
        <v>344</v>
      </c>
      <c r="M348" s="11">
        <f t="shared" ca="1" si="61"/>
        <v>0.59829962885000887</v>
      </c>
      <c r="N348" s="19">
        <f t="shared" ca="1" si="62"/>
        <v>432.00196788965155</v>
      </c>
      <c r="O348" s="9">
        <f t="shared" ca="1" si="63"/>
        <v>2</v>
      </c>
      <c r="P348" s="9">
        <f t="shared" ca="1" si="64"/>
        <v>2</v>
      </c>
      <c r="Q348" s="11">
        <f t="shared" ca="1" si="65"/>
        <v>7.8049297696760584</v>
      </c>
      <c r="R348" s="11">
        <f t="shared" ca="1" si="66"/>
        <v>9.2872930015154651</v>
      </c>
      <c r="S348" s="11">
        <f t="shared" ca="1" si="67"/>
        <v>0.35527078614179852</v>
      </c>
      <c r="T348" s="11">
        <f t="shared" ca="1" si="68"/>
        <v>1.2257868537554286</v>
      </c>
      <c r="V348" s="11">
        <f t="shared" ca="1" si="70"/>
        <v>0.35527078614179852</v>
      </c>
      <c r="W348" s="11">
        <f t="shared" ca="1" si="70"/>
        <v>0.5346884518906142</v>
      </c>
      <c r="X348" s="11">
        <f t="shared" ca="1" si="70"/>
        <v>0.42375270540275156</v>
      </c>
    </row>
    <row r="349" spans="12:24" x14ac:dyDescent="0.45">
      <c r="L349" s="9">
        <v>345</v>
      </c>
      <c r="M349" s="11">
        <f t="shared" ca="1" si="61"/>
        <v>3.5158528416185733</v>
      </c>
      <c r="N349" s="19">
        <f t="shared" ca="1" si="62"/>
        <v>652.69599585211722</v>
      </c>
      <c r="O349" s="9">
        <f t="shared" ca="1" si="63"/>
        <v>2</v>
      </c>
      <c r="P349" s="9">
        <f t="shared" ca="1" si="64"/>
        <v>5</v>
      </c>
      <c r="Q349" s="11">
        <f t="shared" ca="1" si="65"/>
        <v>3.7687315236559873</v>
      </c>
      <c r="R349" s="11">
        <f t="shared" ca="1" si="66"/>
        <v>8.1323895054729807</v>
      </c>
      <c r="S349" s="11">
        <f t="shared" ca="1" si="67"/>
        <v>0.58281958321094496</v>
      </c>
      <c r="T349" s="11">
        <f t="shared" ca="1" si="68"/>
        <v>12.675287799439033</v>
      </c>
      <c r="V349" s="11">
        <f t="shared" ca="1" si="70"/>
        <v>0.58281958321094496</v>
      </c>
      <c r="W349" s="11">
        <f t="shared" ca="1" si="70"/>
        <v>8.2905123463352437E-2</v>
      </c>
      <c r="X349" s="11">
        <f t="shared" ca="1" si="70"/>
        <v>0.19567675242960114</v>
      </c>
    </row>
    <row r="350" spans="12:24" x14ac:dyDescent="0.45">
      <c r="L350" s="9">
        <v>346</v>
      </c>
      <c r="M350" s="11">
        <f t="shared" ca="1" si="61"/>
        <v>5.3701287476131601</v>
      </c>
      <c r="N350" s="19">
        <f t="shared" ca="1" si="62"/>
        <v>371.78714942731699</v>
      </c>
      <c r="O350" s="9">
        <f t="shared" ca="1" si="63"/>
        <v>1</v>
      </c>
      <c r="P350" s="9">
        <f t="shared" ca="1" si="64"/>
        <v>3</v>
      </c>
      <c r="Q350" s="11">
        <f t="shared" ca="1" si="65"/>
        <v>4.2577390398007315</v>
      </c>
      <c r="R350" s="11">
        <f t="shared" ca="1" si="66"/>
        <v>11.781071310529761</v>
      </c>
      <c r="S350" s="11">
        <f t="shared" ca="1" si="67"/>
        <v>0.30942718902589317</v>
      </c>
      <c r="T350" s="11">
        <f t="shared" ca="1" si="68"/>
        <v>11.039028659654079</v>
      </c>
      <c r="V350" s="11">
        <f t="shared" ca="1" si="70"/>
        <v>0.30942718902589317</v>
      </c>
      <c r="W350" s="11">
        <f t="shared" ca="1" si="70"/>
        <v>0.51239275923523497</v>
      </c>
      <c r="X350" s="11">
        <f t="shared" ca="1" si="70"/>
        <v>0.72050759210999482</v>
      </c>
    </row>
    <row r="351" spans="12:24" x14ac:dyDescent="0.45">
      <c r="L351" s="9">
        <v>347</v>
      </c>
      <c r="M351" s="11">
        <f t="shared" ca="1" si="61"/>
        <v>12.403852936486492</v>
      </c>
      <c r="N351" s="19">
        <f t="shared" ca="1" si="62"/>
        <v>433.28627100663653</v>
      </c>
      <c r="O351" s="9">
        <f t="shared" ca="1" si="63"/>
        <v>1</v>
      </c>
      <c r="P351" s="9">
        <f t="shared" ca="1" si="64"/>
        <v>7</v>
      </c>
      <c r="Q351" s="11">
        <f t="shared" ca="1" si="65"/>
        <v>12.917382842467784</v>
      </c>
      <c r="R351" s="11">
        <f t="shared" ca="1" si="66"/>
        <v>6.9439587649460179</v>
      </c>
      <c r="S351" s="11" t="str">
        <f t="shared" ca="1" si="67"/>
        <v/>
      </c>
      <c r="T351" s="11">
        <f t="shared" ca="1" si="68"/>
        <v>0.16514073295042778</v>
      </c>
      <c r="V351" s="11">
        <f t="shared" ca="1" si="70"/>
        <v>0.97184162463333545</v>
      </c>
      <c r="W351" s="11">
        <f t="shared" ca="1" si="70"/>
        <v>0.25765652194889244</v>
      </c>
      <c r="X351" s="11">
        <f t="shared" ca="1" si="70"/>
        <v>0.24654496945472371</v>
      </c>
    </row>
    <row r="352" spans="12:24" x14ac:dyDescent="0.45">
      <c r="L352" s="9">
        <v>348</v>
      </c>
      <c r="M352" s="11">
        <f t="shared" ca="1" si="61"/>
        <v>2.2861008268944416</v>
      </c>
      <c r="N352" s="19">
        <f t="shared" ca="1" si="62"/>
        <v>194.30844451947198</v>
      </c>
      <c r="O352" s="9">
        <f t="shared" ca="1" si="63"/>
        <v>3</v>
      </c>
      <c r="P352" s="9">
        <f t="shared" ca="1" si="64"/>
        <v>2</v>
      </c>
      <c r="Q352" s="11">
        <f t="shared" ca="1" si="65"/>
        <v>3.7554052378316225</v>
      </c>
      <c r="R352" s="11">
        <f t="shared" ca="1" si="66"/>
        <v>12.049835283263191</v>
      </c>
      <c r="S352" s="11">
        <f t="shared" ca="1" si="67"/>
        <v>0.39651231152971311</v>
      </c>
      <c r="T352" s="11">
        <f t="shared" ca="1" si="68"/>
        <v>2.021853058753021E-2</v>
      </c>
      <c r="V352" s="11">
        <f t="shared" ca="1" si="70"/>
        <v>0.39651231152971311</v>
      </c>
      <c r="W352" s="11">
        <f t="shared" ca="1" si="70"/>
        <v>6.0220965377597024E-2</v>
      </c>
      <c r="X352" s="11">
        <f t="shared" ca="1" si="70"/>
        <v>0.4036690200965245</v>
      </c>
    </row>
    <row r="353" spans="12:24" x14ac:dyDescent="0.45">
      <c r="L353" s="9">
        <v>349</v>
      </c>
      <c r="M353" s="11">
        <f t="shared" ca="1" si="61"/>
        <v>4.9353958486435614</v>
      </c>
      <c r="N353" s="19">
        <f t="shared" ca="1" si="62"/>
        <v>784.28830882734019</v>
      </c>
      <c r="O353" s="9">
        <f t="shared" ca="1" si="63"/>
        <v>1</v>
      </c>
      <c r="P353" s="9">
        <f t="shared" ca="1" si="64"/>
        <v>7</v>
      </c>
      <c r="Q353" s="11">
        <f t="shared" ca="1" si="65"/>
        <v>11.32212789412061</v>
      </c>
      <c r="R353" s="11">
        <f t="shared" ca="1" si="66"/>
        <v>11.48101798330968</v>
      </c>
      <c r="S353" s="11">
        <f t="shared" ca="1" si="67"/>
        <v>0.47448232096166232</v>
      </c>
      <c r="T353" s="11">
        <f t="shared" ca="1" si="68"/>
        <v>11.386006540942615</v>
      </c>
      <c r="V353" s="11">
        <f t="shared" ca="1" si="70"/>
        <v>0.47448232096166232</v>
      </c>
      <c r="W353" s="11">
        <f t="shared" ca="1" si="70"/>
        <v>0.39606771876560098</v>
      </c>
      <c r="X353" s="11">
        <f t="shared" ca="1" si="70"/>
        <v>0.80509410333350073</v>
      </c>
    </row>
    <row r="354" spans="12:24" x14ac:dyDescent="0.45">
      <c r="L354" s="9">
        <v>350</v>
      </c>
      <c r="M354" s="11">
        <f t="shared" ca="1" si="61"/>
        <v>0.11058700437510106</v>
      </c>
      <c r="N354" s="19">
        <f t="shared" ca="1" si="62"/>
        <v>1051.2298171655798</v>
      </c>
      <c r="O354" s="9">
        <f t="shared" ca="1" si="63"/>
        <v>1</v>
      </c>
      <c r="P354" s="9">
        <f t="shared" ca="1" si="64"/>
        <v>1</v>
      </c>
      <c r="Q354" s="11">
        <f t="shared" ca="1" si="65"/>
        <v>12.407766594303515</v>
      </c>
      <c r="R354" s="11">
        <f t="shared" ca="1" si="66"/>
        <v>11.585248584261571</v>
      </c>
      <c r="S354" s="11">
        <f t="shared" ca="1" si="67"/>
        <v>0.9255478902734251</v>
      </c>
      <c r="T354" s="11">
        <f t="shared" ca="1" si="68"/>
        <v>2.3064879986052067</v>
      </c>
      <c r="V354" s="11">
        <f t="shared" ca="1" si="70"/>
        <v>0.9255478902734251</v>
      </c>
      <c r="W354" s="11">
        <f t="shared" ca="1" si="70"/>
        <v>0.12666063348746037</v>
      </c>
      <c r="X354" s="11">
        <f t="shared" ca="1" si="70"/>
        <v>0.64834126895157773</v>
      </c>
    </row>
    <row r="355" spans="12:24" x14ac:dyDescent="0.45">
      <c r="L355" s="9">
        <v>351</v>
      </c>
      <c r="M355" s="11">
        <f t="shared" ca="1" si="61"/>
        <v>8.6903332527609454</v>
      </c>
      <c r="N355" s="19">
        <f t="shared" ca="1" si="62"/>
        <v>301.540098634326</v>
      </c>
      <c r="O355" s="9">
        <f t="shared" ca="1" si="63"/>
        <v>1</v>
      </c>
      <c r="P355" s="9">
        <f t="shared" ca="1" si="64"/>
        <v>4</v>
      </c>
      <c r="Q355" s="11">
        <f t="shared" ca="1" si="65"/>
        <v>7.1204551787770978</v>
      </c>
      <c r="R355" s="11">
        <f t="shared" ca="1" si="66"/>
        <v>7.593089215924234</v>
      </c>
      <c r="S355" s="11">
        <f t="shared" ca="1" si="67"/>
        <v>0.66732456479536106</v>
      </c>
      <c r="T355" s="11">
        <f t="shared" ca="1" si="68"/>
        <v>5.0204138604533677</v>
      </c>
      <c r="V355" s="11">
        <f t="shared" ca="1" si="70"/>
        <v>0.66732456479536106</v>
      </c>
      <c r="W355" s="11">
        <f t="shared" ca="1" si="70"/>
        <v>0.13052753487064406</v>
      </c>
      <c r="X355" s="11">
        <f t="shared" ca="1" si="70"/>
        <v>0.35584722101649013</v>
      </c>
    </row>
    <row r="356" spans="12:24" x14ac:dyDescent="0.45">
      <c r="L356" s="9">
        <v>352</v>
      </c>
      <c r="M356" s="11">
        <f t="shared" ca="1" si="61"/>
        <v>2.7280037677537554</v>
      </c>
      <c r="N356" s="19">
        <f t="shared" ca="1" si="62"/>
        <v>570.74059078086066</v>
      </c>
      <c r="O356" s="9">
        <f t="shared" ca="1" si="63"/>
        <v>2</v>
      </c>
      <c r="P356" s="9">
        <f t="shared" ca="1" si="64"/>
        <v>1</v>
      </c>
      <c r="Q356" s="11">
        <f t="shared" ca="1" si="65"/>
        <v>8.0712328146743832</v>
      </c>
      <c r="R356" s="11">
        <f t="shared" ca="1" si="66"/>
        <v>11.448486714029565</v>
      </c>
      <c r="S356" s="11" t="str">
        <f t="shared" ca="1" si="67"/>
        <v/>
      </c>
      <c r="T356" s="11">
        <f t="shared" ca="1" si="68"/>
        <v>0.67983950515412439</v>
      </c>
      <c r="V356" s="11">
        <f t="shared" ca="1" si="70"/>
        <v>0.77873403548708364</v>
      </c>
      <c r="W356" s="11">
        <f t="shared" ca="1" si="70"/>
        <v>0.96965740942142065</v>
      </c>
      <c r="X356" s="11">
        <f t="shared" ca="1" si="70"/>
        <v>0.43911885507584203</v>
      </c>
    </row>
    <row r="357" spans="12:24" x14ac:dyDescent="0.45">
      <c r="L357" s="9">
        <v>353</v>
      </c>
      <c r="M357" s="11">
        <f t="shared" ca="1" si="61"/>
        <v>4.6442367430414544</v>
      </c>
      <c r="N357" s="19">
        <f t="shared" ca="1" si="62"/>
        <v>1223.1245330242784</v>
      </c>
      <c r="O357" s="9">
        <f t="shared" ca="1" si="63"/>
        <v>3</v>
      </c>
      <c r="P357" s="9">
        <f t="shared" ca="1" si="64"/>
        <v>1</v>
      </c>
      <c r="Q357" s="11">
        <f t="shared" ca="1" si="65"/>
        <v>4.7958518991613435</v>
      </c>
      <c r="R357" s="11">
        <f t="shared" ca="1" si="66"/>
        <v>10.675651193799109</v>
      </c>
      <c r="S357" s="11">
        <f t="shared" ca="1" si="67"/>
        <v>0.22458836381642322</v>
      </c>
      <c r="T357" s="11">
        <f t="shared" ca="1" si="68"/>
        <v>0.22682342520242868</v>
      </c>
      <c r="V357" s="11">
        <f t="shared" ca="1" si="70"/>
        <v>0.22458836381642322</v>
      </c>
      <c r="W357" s="11">
        <f t="shared" ca="1" si="70"/>
        <v>0.69308039881280437</v>
      </c>
      <c r="X357" s="11">
        <f t="shared" ca="1" si="70"/>
        <v>0.47290843462070142</v>
      </c>
    </row>
    <row r="358" spans="12:24" x14ac:dyDescent="0.45">
      <c r="L358" s="9">
        <v>354</v>
      </c>
      <c r="M358" s="11">
        <f t="shared" ca="1" si="61"/>
        <v>2.2905481245524282</v>
      </c>
      <c r="N358" s="19">
        <f t="shared" ca="1" si="62"/>
        <v>720.12023324857103</v>
      </c>
      <c r="O358" s="9">
        <f t="shared" ca="1" si="63"/>
        <v>1</v>
      </c>
      <c r="P358" s="9">
        <f t="shared" ca="1" si="64"/>
        <v>4</v>
      </c>
      <c r="Q358" s="11">
        <f t="shared" ca="1" si="65"/>
        <v>6.6344461655528182</v>
      </c>
      <c r="R358" s="11">
        <f t="shared" ca="1" si="66"/>
        <v>10.005687998693418</v>
      </c>
      <c r="S358" s="11" t="str">
        <f t="shared" ca="1" si="67"/>
        <v/>
      </c>
      <c r="T358" s="11">
        <f t="shared" ca="1" si="68"/>
        <v>5.3837164247613307</v>
      </c>
      <c r="V358" s="11">
        <f t="shared" ca="1" si="70"/>
        <v>0.89545543384464832</v>
      </c>
      <c r="W358" s="11">
        <f t="shared" ca="1" si="70"/>
        <v>0.77873647922535849</v>
      </c>
      <c r="X358" s="11">
        <f t="shared" ca="1" si="70"/>
        <v>0.36272544256497685</v>
      </c>
    </row>
    <row r="359" spans="12:24" x14ac:dyDescent="0.45">
      <c r="L359" s="9">
        <v>355</v>
      </c>
      <c r="M359" s="11">
        <f t="shared" ca="1" si="61"/>
        <v>19.514806059708683</v>
      </c>
      <c r="N359" s="19">
        <f t="shared" ca="1" si="62"/>
        <v>256.59192683697103</v>
      </c>
      <c r="O359" s="9">
        <f t="shared" ca="1" si="63"/>
        <v>1</v>
      </c>
      <c r="P359" s="9">
        <f t="shared" ca="1" si="64"/>
        <v>0</v>
      </c>
      <c r="Q359" s="11">
        <f t="shared" ca="1" si="65"/>
        <v>3.2400072875616535</v>
      </c>
      <c r="R359" s="11">
        <f t="shared" ca="1" si="66"/>
        <v>9.8855903749711587</v>
      </c>
      <c r="S359" s="11">
        <f t="shared" ca="1" si="67"/>
        <v>0.42193929360779359</v>
      </c>
      <c r="T359" s="11">
        <f t="shared" ca="1" si="68"/>
        <v>8.2995933742723604</v>
      </c>
      <c r="V359" s="11">
        <f t="shared" ca="1" si="70"/>
        <v>0.42193929360779359</v>
      </c>
      <c r="W359" s="11">
        <f t="shared" ca="1" si="70"/>
        <v>0.8413215499734753</v>
      </c>
      <c r="X359" s="11">
        <f t="shared" ca="1" si="70"/>
        <v>0.94169853849486207</v>
      </c>
    </row>
    <row r="360" spans="12:24" x14ac:dyDescent="0.45">
      <c r="L360" s="9">
        <v>356</v>
      </c>
      <c r="M360" s="11">
        <f t="shared" ca="1" si="61"/>
        <v>1.1399643062967244</v>
      </c>
      <c r="N360" s="19">
        <f t="shared" ca="1" si="62"/>
        <v>495.6663313376975</v>
      </c>
      <c r="O360" s="9">
        <f t="shared" ca="1" si="63"/>
        <v>2</v>
      </c>
      <c r="P360" s="9">
        <f t="shared" ca="1" si="64"/>
        <v>2</v>
      </c>
      <c r="Q360" s="11">
        <f t="shared" ca="1" si="65"/>
        <v>3.5590772042188559</v>
      </c>
      <c r="R360" s="11">
        <f t="shared" ca="1" si="66"/>
        <v>9.1638716189818759</v>
      </c>
      <c r="S360" s="11">
        <f t="shared" ca="1" si="67"/>
        <v>0.89064237829303916</v>
      </c>
      <c r="T360" s="11">
        <f t="shared" ca="1" si="68"/>
        <v>12.217321598907953</v>
      </c>
      <c r="V360" s="11">
        <f t="shared" ca="1" si="70"/>
        <v>0.89064237829303916</v>
      </c>
      <c r="W360" s="11">
        <f t="shared" ca="1" si="70"/>
        <v>0.33070193111135204</v>
      </c>
      <c r="X360" s="11">
        <f t="shared" ca="1" si="70"/>
        <v>0.8676153295418777</v>
      </c>
    </row>
    <row r="361" spans="12:24" x14ac:dyDescent="0.45">
      <c r="L361" s="9">
        <v>357</v>
      </c>
      <c r="M361" s="11">
        <f t="shared" ca="1" si="61"/>
        <v>5.6601419626514318</v>
      </c>
      <c r="N361" s="19">
        <f t="shared" ca="1" si="62"/>
        <v>182.4352661092091</v>
      </c>
      <c r="O361" s="9">
        <f t="shared" ca="1" si="63"/>
        <v>2</v>
      </c>
      <c r="P361" s="9">
        <f t="shared" ca="1" si="64"/>
        <v>4</v>
      </c>
      <c r="Q361" s="11">
        <f t="shared" ca="1" si="65"/>
        <v>3.0947940878699249</v>
      </c>
      <c r="R361" s="11">
        <f t="shared" ca="1" si="66"/>
        <v>14.206460491415076</v>
      </c>
      <c r="S361" s="11">
        <f t="shared" ca="1" si="67"/>
        <v>0.89576535928489376</v>
      </c>
      <c r="T361" s="11">
        <f t="shared" ca="1" si="68"/>
        <v>26.69152609092033</v>
      </c>
      <c r="V361" s="11">
        <f t="shared" ca="1" si="70"/>
        <v>0.89576535928489376</v>
      </c>
      <c r="W361" s="11">
        <f t="shared" ca="1" si="70"/>
        <v>0.25048401701941569</v>
      </c>
      <c r="X361" s="11">
        <f t="shared" ca="1" si="70"/>
        <v>0.88816090895133881</v>
      </c>
    </row>
    <row r="362" spans="12:24" x14ac:dyDescent="0.45">
      <c r="L362" s="9">
        <v>358</v>
      </c>
      <c r="M362" s="11">
        <f t="shared" ca="1" si="61"/>
        <v>0.93934728517867727</v>
      </c>
      <c r="N362" s="19">
        <f t="shared" ca="1" si="62"/>
        <v>334.4538364236796</v>
      </c>
      <c r="O362" s="9">
        <f t="shared" ca="1" si="63"/>
        <v>8</v>
      </c>
      <c r="P362" s="9">
        <f t="shared" ca="1" si="64"/>
        <v>6</v>
      </c>
      <c r="Q362" s="11">
        <f t="shared" ca="1" si="65"/>
        <v>5.1407341029597928</v>
      </c>
      <c r="R362" s="11">
        <f t="shared" ca="1" si="66"/>
        <v>5.7318087935628217</v>
      </c>
      <c r="S362" s="11">
        <f t="shared" ca="1" si="67"/>
        <v>0.70020505003665534</v>
      </c>
      <c r="T362" s="11">
        <f t="shared" ca="1" si="68"/>
        <v>6.1374375568155477</v>
      </c>
      <c r="V362" s="11">
        <f t="shared" ca="1" si="70"/>
        <v>0.70020505003665534</v>
      </c>
      <c r="W362" s="11">
        <f t="shared" ca="1" si="70"/>
        <v>5.8261463748566888E-2</v>
      </c>
      <c r="X362" s="11">
        <f t="shared" ca="1" si="70"/>
        <v>0.76867092824700578</v>
      </c>
    </row>
    <row r="363" spans="12:24" x14ac:dyDescent="0.45">
      <c r="L363" s="9">
        <v>359</v>
      </c>
      <c r="M363" s="11">
        <f t="shared" ca="1" si="61"/>
        <v>2.3938972075153204</v>
      </c>
      <c r="N363" s="19">
        <f t="shared" ca="1" si="62"/>
        <v>115.90442615909426</v>
      </c>
      <c r="O363" s="9">
        <f t="shared" ca="1" si="63"/>
        <v>7</v>
      </c>
      <c r="P363" s="9">
        <f t="shared" ca="1" si="64"/>
        <v>2</v>
      </c>
      <c r="Q363" s="11">
        <f t="shared" ca="1" si="65"/>
        <v>16.037724156818999</v>
      </c>
      <c r="R363" s="11">
        <f t="shared" ca="1" si="66"/>
        <v>11.702637356326317</v>
      </c>
      <c r="S363" s="11" t="str">
        <f t="shared" ca="1" si="67"/>
        <v/>
      </c>
      <c r="T363" s="11">
        <f t="shared" ca="1" si="68"/>
        <v>2.0345139376064232</v>
      </c>
      <c r="V363" s="11">
        <f t="shared" ca="1" si="70"/>
        <v>0.93950135068128904</v>
      </c>
      <c r="W363" s="11">
        <f t="shared" ca="1" si="70"/>
        <v>0.59980123097179672</v>
      </c>
      <c r="X363" s="11">
        <f t="shared" ca="1" si="70"/>
        <v>0.31203257036639775</v>
      </c>
    </row>
    <row r="364" spans="12:24" x14ac:dyDescent="0.45">
      <c r="L364" s="9">
        <v>360</v>
      </c>
      <c r="M364" s="11">
        <f t="shared" ca="1" si="61"/>
        <v>6.2656974088201176</v>
      </c>
      <c r="N364" s="19">
        <f t="shared" ca="1" si="62"/>
        <v>591.8406182411436</v>
      </c>
      <c r="O364" s="9">
        <f t="shared" ca="1" si="63"/>
        <v>5</v>
      </c>
      <c r="P364" s="9">
        <f t="shared" ca="1" si="64"/>
        <v>3</v>
      </c>
      <c r="Q364" s="11">
        <f t="shared" ca="1" si="65"/>
        <v>16.447447009119305</v>
      </c>
      <c r="R364" s="11">
        <f t="shared" ca="1" si="66"/>
        <v>11.031721689550148</v>
      </c>
      <c r="S364" s="11" t="str">
        <f t="shared" ca="1" si="67"/>
        <v/>
      </c>
      <c r="T364" s="11">
        <f t="shared" ca="1" si="68"/>
        <v>1.5213663495819871</v>
      </c>
      <c r="V364" s="11">
        <f t="shared" ca="1" si="70"/>
        <v>0.81750920277086159</v>
      </c>
      <c r="W364" s="11">
        <f t="shared" ca="1" si="70"/>
        <v>0.61235607630785571</v>
      </c>
      <c r="X364" s="11">
        <f t="shared" ca="1" si="70"/>
        <v>0.71527932571143837</v>
      </c>
    </row>
    <row r="365" spans="12:24" x14ac:dyDescent="0.45">
      <c r="L365" s="9">
        <v>361</v>
      </c>
      <c r="M365" s="11">
        <f t="shared" ca="1" si="61"/>
        <v>4.6168119815561139</v>
      </c>
      <c r="N365" s="19">
        <f t="shared" ca="1" si="62"/>
        <v>1080.6351986715847</v>
      </c>
      <c r="O365" s="9">
        <f t="shared" ca="1" si="63"/>
        <v>1</v>
      </c>
      <c r="P365" s="9">
        <f t="shared" ca="1" si="64"/>
        <v>1</v>
      </c>
      <c r="Q365" s="11">
        <f t="shared" ca="1" si="65"/>
        <v>3.5924559955581108</v>
      </c>
      <c r="R365" s="11">
        <f t="shared" ca="1" si="66"/>
        <v>11.553809563332381</v>
      </c>
      <c r="S365" s="11" t="str">
        <f t="shared" ca="1" si="67"/>
        <v/>
      </c>
      <c r="T365" s="11">
        <f t="shared" ca="1" si="68"/>
        <v>0.4033925630158402</v>
      </c>
      <c r="V365" s="11">
        <f t="shared" ref="V365:X384" ca="1" si="71">RAND()</f>
        <v>0.93783869079853432</v>
      </c>
      <c r="W365" s="11">
        <f t="shared" ca="1" si="71"/>
        <v>0.85484733323876816</v>
      </c>
      <c r="X365" s="11">
        <f t="shared" ca="1" si="71"/>
        <v>0.61637163671568307</v>
      </c>
    </row>
    <row r="366" spans="12:24" x14ac:dyDescent="0.45">
      <c r="L366" s="9">
        <v>362</v>
      </c>
      <c r="M366" s="11">
        <f t="shared" ca="1" si="61"/>
        <v>2.3831410344037751</v>
      </c>
      <c r="N366" s="19">
        <f t="shared" ca="1" si="62"/>
        <v>478.29579021832859</v>
      </c>
      <c r="O366" s="9">
        <f t="shared" ca="1" si="63"/>
        <v>2</v>
      </c>
      <c r="P366" s="9">
        <f t="shared" ca="1" si="64"/>
        <v>1</v>
      </c>
      <c r="Q366" s="11">
        <f t="shared" ca="1" si="65"/>
        <v>8.1796879923331218</v>
      </c>
      <c r="R366" s="11">
        <f t="shared" ca="1" si="66"/>
        <v>12.776728704306578</v>
      </c>
      <c r="S366" s="11">
        <f t="shared" ca="1" si="67"/>
        <v>0.57172353598688341</v>
      </c>
      <c r="T366" s="11">
        <f t="shared" ca="1" si="68"/>
        <v>0.81830597519408765</v>
      </c>
      <c r="V366" s="11">
        <f t="shared" ca="1" si="71"/>
        <v>0.57172353598688341</v>
      </c>
      <c r="W366" s="11">
        <f t="shared" ca="1" si="71"/>
        <v>0.17995437203762044</v>
      </c>
      <c r="X366" s="11">
        <f t="shared" ca="1" si="71"/>
        <v>3.22866891313488E-2</v>
      </c>
    </row>
    <row r="367" spans="12:24" x14ac:dyDescent="0.45">
      <c r="L367" s="9">
        <v>363</v>
      </c>
      <c r="M367" s="11">
        <f t="shared" ca="1" si="61"/>
        <v>1.0151023534833421</v>
      </c>
      <c r="N367" s="19">
        <f t="shared" ca="1" si="62"/>
        <v>585.78154808684735</v>
      </c>
      <c r="O367" s="9">
        <f t="shared" ca="1" si="63"/>
        <v>1</v>
      </c>
      <c r="P367" s="9">
        <f t="shared" ca="1" si="64"/>
        <v>1</v>
      </c>
      <c r="Q367" s="11">
        <f t="shared" ca="1" si="65"/>
        <v>8.9978868952122699</v>
      </c>
      <c r="R367" s="11">
        <f t="shared" ca="1" si="66"/>
        <v>11.710181846265568</v>
      </c>
      <c r="S367" s="11">
        <f t="shared" ca="1" si="67"/>
        <v>0.25165967623780916</v>
      </c>
      <c r="T367" s="11">
        <f t="shared" ca="1" si="68"/>
        <v>8.0273170372862115</v>
      </c>
      <c r="V367" s="11">
        <f t="shared" ca="1" si="71"/>
        <v>0.25165967623780916</v>
      </c>
      <c r="W367" s="11">
        <f t="shared" ca="1" si="71"/>
        <v>0.23585148204902773</v>
      </c>
      <c r="X367" s="11">
        <f t="shared" ca="1" si="71"/>
        <v>0.83181367055899069</v>
      </c>
    </row>
    <row r="368" spans="12:24" x14ac:dyDescent="0.45">
      <c r="L368" s="9">
        <v>364</v>
      </c>
      <c r="M368" s="11">
        <f t="shared" ca="1" si="61"/>
        <v>4.0372750360251279</v>
      </c>
      <c r="N368" s="19">
        <f t="shared" ca="1" si="62"/>
        <v>6.5531899732029686</v>
      </c>
      <c r="O368" s="9">
        <f t="shared" ca="1" si="63"/>
        <v>1</v>
      </c>
      <c r="P368" s="9">
        <f t="shared" ca="1" si="64"/>
        <v>2</v>
      </c>
      <c r="Q368" s="11">
        <f t="shared" ca="1" si="65"/>
        <v>7.3067748514760087</v>
      </c>
      <c r="R368" s="11">
        <f t="shared" ca="1" si="66"/>
        <v>10.452446690987903</v>
      </c>
      <c r="S368" s="11">
        <f t="shared" ca="1" si="67"/>
        <v>0.10403336655263085</v>
      </c>
      <c r="T368" s="11">
        <f t="shared" ca="1" si="68"/>
        <v>6.0048081699067186</v>
      </c>
      <c r="V368" s="11">
        <f t="shared" ca="1" si="71"/>
        <v>0.10403336655263085</v>
      </c>
      <c r="W368" s="11">
        <f t="shared" ca="1" si="71"/>
        <v>0.17056221709701158</v>
      </c>
      <c r="X368" s="11">
        <f t="shared" ca="1" si="71"/>
        <v>8.8005540055040687E-2</v>
      </c>
    </row>
    <row r="369" spans="12:24" x14ac:dyDescent="0.45">
      <c r="L369" s="9">
        <v>365</v>
      </c>
      <c r="M369" s="11">
        <f t="shared" ca="1" si="61"/>
        <v>10.612583831005882</v>
      </c>
      <c r="N369" s="19">
        <f t="shared" ca="1" si="62"/>
        <v>452.7878811086556</v>
      </c>
      <c r="O369" s="9">
        <f t="shared" ca="1" si="63"/>
        <v>1</v>
      </c>
      <c r="P369" s="9">
        <f t="shared" ca="1" si="64"/>
        <v>7</v>
      </c>
      <c r="Q369" s="11">
        <f t="shared" ca="1" si="65"/>
        <v>9.4366943536713954</v>
      </c>
      <c r="R369" s="11">
        <f t="shared" ca="1" si="66"/>
        <v>11.794671206214913</v>
      </c>
      <c r="S369" s="11">
        <f t="shared" ca="1" si="67"/>
        <v>0.25433364920353307</v>
      </c>
      <c r="T369" s="11">
        <f t="shared" ca="1" si="68"/>
        <v>0.59426519349237827</v>
      </c>
      <c r="V369" s="11">
        <f t="shared" ca="1" si="71"/>
        <v>0.25433364920353307</v>
      </c>
      <c r="W369" s="11">
        <f t="shared" ca="1" si="71"/>
        <v>0.72282918581398214</v>
      </c>
      <c r="X369" s="11">
        <f t="shared" ca="1" si="71"/>
        <v>0.51570424831256445</v>
      </c>
    </row>
    <row r="370" spans="12:24" x14ac:dyDescent="0.45">
      <c r="L370" s="9">
        <v>366</v>
      </c>
      <c r="M370" s="11">
        <f t="shared" ca="1" si="61"/>
        <v>0.37757045067525274</v>
      </c>
      <c r="N370" s="19">
        <f t="shared" ca="1" si="62"/>
        <v>565.32549379077841</v>
      </c>
      <c r="O370" s="9">
        <f t="shared" ca="1" si="63"/>
        <v>1</v>
      </c>
      <c r="P370" s="9">
        <f t="shared" ca="1" si="64"/>
        <v>4</v>
      </c>
      <c r="Q370" s="11">
        <f t="shared" ca="1" si="65"/>
        <v>10.665181675642426</v>
      </c>
      <c r="R370" s="11">
        <f t="shared" ca="1" si="66"/>
        <v>10.310095461111159</v>
      </c>
      <c r="S370" s="11">
        <f t="shared" ca="1" si="67"/>
        <v>0.11440295114274535</v>
      </c>
      <c r="T370" s="11">
        <f t="shared" ca="1" si="68"/>
        <v>2.6464964680001684</v>
      </c>
      <c r="V370" s="11">
        <f t="shared" ca="1" si="71"/>
        <v>0.11440295114274535</v>
      </c>
      <c r="W370" s="11">
        <f t="shared" ca="1" si="71"/>
        <v>0.2354638289260591</v>
      </c>
      <c r="X370" s="11">
        <f t="shared" ca="1" si="71"/>
        <v>2.7498900401759729E-2</v>
      </c>
    </row>
    <row r="371" spans="12:24" x14ac:dyDescent="0.45">
      <c r="L371" s="9">
        <v>367</v>
      </c>
      <c r="M371" s="11">
        <f t="shared" ca="1" si="61"/>
        <v>6.8912190455634441</v>
      </c>
      <c r="N371" s="19">
        <f t="shared" ca="1" si="62"/>
        <v>172.3004405266656</v>
      </c>
      <c r="O371" s="9">
        <f t="shared" ca="1" si="63"/>
        <v>1</v>
      </c>
      <c r="P371" s="9">
        <f t="shared" ca="1" si="64"/>
        <v>1</v>
      </c>
      <c r="Q371" s="11">
        <f t="shared" ca="1" si="65"/>
        <v>4.4950562181588607</v>
      </c>
      <c r="R371" s="11">
        <f t="shared" ca="1" si="66"/>
        <v>7.8349613852400779</v>
      </c>
      <c r="S371" s="11">
        <f t="shared" ca="1" si="67"/>
        <v>0.98550018346741086</v>
      </c>
      <c r="T371" s="11">
        <f t="shared" ca="1" si="68"/>
        <v>5.3952855164791931</v>
      </c>
      <c r="V371" s="11">
        <f t="shared" ca="1" si="71"/>
        <v>0.98550018346741086</v>
      </c>
      <c r="W371" s="11">
        <f t="shared" ca="1" si="71"/>
        <v>2.9326687971710896E-2</v>
      </c>
      <c r="X371" s="11">
        <f t="shared" ca="1" si="71"/>
        <v>0.3361779121065519</v>
      </c>
    </row>
    <row r="372" spans="12:24" x14ac:dyDescent="0.45">
      <c r="L372" s="9">
        <v>368</v>
      </c>
      <c r="M372" s="11">
        <f t="shared" ca="1" si="61"/>
        <v>6.9866803756697653</v>
      </c>
      <c r="N372" s="19">
        <f t="shared" ca="1" si="62"/>
        <v>1396.9198622642482</v>
      </c>
      <c r="O372" s="9">
        <f t="shared" ca="1" si="63"/>
        <v>1</v>
      </c>
      <c r="P372" s="9">
        <f t="shared" ca="1" si="64"/>
        <v>5</v>
      </c>
      <c r="Q372" s="11">
        <f t="shared" ca="1" si="65"/>
        <v>6.6193618541566046</v>
      </c>
      <c r="R372" s="11">
        <f t="shared" ca="1" si="66"/>
        <v>7.4474938676400448</v>
      </c>
      <c r="S372" s="11">
        <f t="shared" ca="1" si="67"/>
        <v>0.44250984998365039</v>
      </c>
      <c r="T372" s="11">
        <f t="shared" ca="1" si="68"/>
        <v>2.0211373933571301E-2</v>
      </c>
      <c r="V372" s="11">
        <f t="shared" ca="1" si="71"/>
        <v>0.44250984998365039</v>
      </c>
      <c r="W372" s="11">
        <f t="shared" ca="1" si="71"/>
        <v>0.26918534927332782</v>
      </c>
      <c r="X372" s="11">
        <f t="shared" ca="1" si="71"/>
        <v>0.42922515745233381</v>
      </c>
    </row>
    <row r="373" spans="12:24" x14ac:dyDescent="0.45">
      <c r="L373" s="9">
        <v>369</v>
      </c>
      <c r="M373" s="11">
        <f t="shared" ca="1" si="61"/>
        <v>10.349322902219418</v>
      </c>
      <c r="N373" s="19">
        <f t="shared" ca="1" si="62"/>
        <v>1275.5827861888195</v>
      </c>
      <c r="O373" s="9">
        <f t="shared" ca="1" si="63"/>
        <v>6</v>
      </c>
      <c r="P373" s="9">
        <f t="shared" ca="1" si="64"/>
        <v>3</v>
      </c>
      <c r="Q373" s="11">
        <f t="shared" ca="1" si="65"/>
        <v>5.9462055423869025</v>
      </c>
      <c r="R373" s="11">
        <f t="shared" ca="1" si="66"/>
        <v>7.9724253304180941</v>
      </c>
      <c r="S373" s="11">
        <f t="shared" ca="1" si="67"/>
        <v>0.5357354525719662</v>
      </c>
      <c r="T373" s="11">
        <f t="shared" ca="1" si="68"/>
        <v>1.129394361679501</v>
      </c>
      <c r="V373" s="11">
        <f t="shared" ca="1" si="71"/>
        <v>0.5357354525719662</v>
      </c>
      <c r="W373" s="11">
        <f t="shared" ca="1" si="71"/>
        <v>0.7523071161760061</v>
      </c>
      <c r="X373" s="11">
        <f t="shared" ca="1" si="71"/>
        <v>0.96317745817138833</v>
      </c>
    </row>
    <row r="374" spans="12:24" x14ac:dyDescent="0.45">
      <c r="L374" s="9">
        <v>370</v>
      </c>
      <c r="M374" s="11">
        <f t="shared" ca="1" si="61"/>
        <v>0.78616446970290366</v>
      </c>
      <c r="N374" s="19">
        <f t="shared" ca="1" si="62"/>
        <v>645.14467014614161</v>
      </c>
      <c r="O374" s="9">
        <f t="shared" ca="1" si="63"/>
        <v>1</v>
      </c>
      <c r="P374" s="9">
        <f t="shared" ca="1" si="64"/>
        <v>3</v>
      </c>
      <c r="Q374" s="11">
        <f t="shared" ca="1" si="65"/>
        <v>1.0269146196092342</v>
      </c>
      <c r="R374" s="11">
        <f t="shared" ca="1" si="66"/>
        <v>13.175452195341846</v>
      </c>
      <c r="S374" s="11" t="str">
        <f t="shared" ca="1" si="67"/>
        <v/>
      </c>
      <c r="T374" s="11">
        <f t="shared" ca="1" si="68"/>
        <v>2.3080557659405714</v>
      </c>
      <c r="V374" s="11">
        <f t="shared" ca="1" si="71"/>
        <v>0.98644740758554161</v>
      </c>
      <c r="W374" s="11">
        <f t="shared" ca="1" si="71"/>
        <v>0.43203253471792924</v>
      </c>
      <c r="X374" s="11">
        <f t="shared" ca="1" si="71"/>
        <v>1.5138951374205512E-2</v>
      </c>
    </row>
    <row r="375" spans="12:24" x14ac:dyDescent="0.45">
      <c r="L375" s="9">
        <v>371</v>
      </c>
      <c r="M375" s="11">
        <f t="shared" ca="1" si="61"/>
        <v>5.0544843463327442</v>
      </c>
      <c r="N375" s="19">
        <f t="shared" ca="1" si="62"/>
        <v>661.24975883396451</v>
      </c>
      <c r="O375" s="9">
        <f t="shared" ca="1" si="63"/>
        <v>1</v>
      </c>
      <c r="P375" s="9">
        <f t="shared" ca="1" si="64"/>
        <v>3</v>
      </c>
      <c r="Q375" s="11">
        <f t="shared" ca="1" si="65"/>
        <v>7.499509048674601</v>
      </c>
      <c r="R375" s="11">
        <f t="shared" ca="1" si="66"/>
        <v>9.7119259133374758</v>
      </c>
      <c r="S375" s="11">
        <f t="shared" ca="1" si="67"/>
        <v>0.68541662015646965</v>
      </c>
      <c r="T375" s="11">
        <f t="shared" ca="1" si="68"/>
        <v>1.1384983757974387</v>
      </c>
      <c r="V375" s="11">
        <f t="shared" ca="1" si="71"/>
        <v>0.68541662015646965</v>
      </c>
      <c r="W375" s="11">
        <f t="shared" ca="1" si="71"/>
        <v>0.50095727954483638</v>
      </c>
      <c r="X375" s="11">
        <f t="shared" ca="1" si="71"/>
        <v>0.59755627499840136</v>
      </c>
    </row>
    <row r="376" spans="12:24" x14ac:dyDescent="0.45">
      <c r="L376" s="9">
        <v>372</v>
      </c>
      <c r="M376" s="11">
        <f t="shared" ca="1" si="61"/>
        <v>6.5514291465789132</v>
      </c>
      <c r="N376" s="19">
        <f t="shared" ca="1" si="62"/>
        <v>1512.5465153401265</v>
      </c>
      <c r="O376" s="9">
        <f t="shared" ca="1" si="63"/>
        <v>1</v>
      </c>
      <c r="P376" s="9">
        <f t="shared" ca="1" si="64"/>
        <v>7</v>
      </c>
      <c r="Q376" s="11">
        <f t="shared" ca="1" si="65"/>
        <v>4.0530620479287798</v>
      </c>
      <c r="R376" s="11">
        <f t="shared" ca="1" si="66"/>
        <v>7.7503960720967626</v>
      </c>
      <c r="S376" s="11" t="str">
        <f t="shared" ca="1" si="67"/>
        <v/>
      </c>
      <c r="T376" s="11">
        <f t="shared" ca="1" si="68"/>
        <v>0.30323065047742342</v>
      </c>
      <c r="V376" s="11">
        <f t="shared" ca="1" si="71"/>
        <v>1.8798646967788435E-2</v>
      </c>
      <c r="W376" s="11">
        <f t="shared" ca="1" si="71"/>
        <v>0.36800399549557306</v>
      </c>
      <c r="X376" s="11">
        <f t="shared" ca="1" si="71"/>
        <v>0.71311241751125654</v>
      </c>
    </row>
    <row r="377" spans="12:24" x14ac:dyDescent="0.45">
      <c r="L377" s="9">
        <v>373</v>
      </c>
      <c r="M377" s="11">
        <f t="shared" ca="1" si="61"/>
        <v>5.2591684866056712</v>
      </c>
      <c r="N377" s="19">
        <f t="shared" ca="1" si="62"/>
        <v>1097.1455209581252</v>
      </c>
      <c r="O377" s="9">
        <f t="shared" ca="1" si="63"/>
        <v>2</v>
      </c>
      <c r="P377" s="9">
        <f t="shared" ca="1" si="64"/>
        <v>2</v>
      </c>
      <c r="Q377" s="11">
        <f t="shared" ca="1" si="65"/>
        <v>14.343426674215472</v>
      </c>
      <c r="R377" s="11">
        <f t="shared" ca="1" si="66"/>
        <v>8.3649469491835831</v>
      </c>
      <c r="S377" s="11">
        <f t="shared" ca="1" si="67"/>
        <v>0.4524781340825994</v>
      </c>
      <c r="T377" s="11">
        <f t="shared" ca="1" si="68"/>
        <v>0.44810621708454368</v>
      </c>
      <c r="V377" s="11">
        <f t="shared" ca="1" si="71"/>
        <v>0.4524781340825994</v>
      </c>
      <c r="W377" s="11">
        <f t="shared" ca="1" si="71"/>
        <v>0.24194116883134609</v>
      </c>
      <c r="X377" s="11">
        <f t="shared" ca="1" si="71"/>
        <v>0.56217085361408092</v>
      </c>
    </row>
    <row r="378" spans="12:24" x14ac:dyDescent="0.45">
      <c r="L378" s="9">
        <v>374</v>
      </c>
      <c r="M378" s="11">
        <f t="shared" ca="1" si="61"/>
        <v>1.119752144893563</v>
      </c>
      <c r="N378" s="19">
        <f t="shared" ca="1" si="62"/>
        <v>602.86250543222184</v>
      </c>
      <c r="O378" s="9">
        <f t="shared" ca="1" si="63"/>
        <v>3</v>
      </c>
      <c r="P378" s="9">
        <f t="shared" ca="1" si="64"/>
        <v>2</v>
      </c>
      <c r="Q378" s="11">
        <f t="shared" ca="1" si="65"/>
        <v>12.648049436221157</v>
      </c>
      <c r="R378" s="11">
        <f t="shared" ca="1" si="66"/>
        <v>8.2323032274119257</v>
      </c>
      <c r="S378" s="11" t="str">
        <f t="shared" ca="1" si="67"/>
        <v/>
      </c>
      <c r="T378" s="11">
        <f t="shared" ca="1" si="68"/>
        <v>4.6889745119128028</v>
      </c>
      <c r="V378" s="11">
        <f t="shared" ca="1" si="71"/>
        <v>0.83225387190863187</v>
      </c>
      <c r="W378" s="11">
        <f t="shared" ca="1" si="71"/>
        <v>0.94903307106666857</v>
      </c>
      <c r="X378" s="11">
        <f t="shared" ca="1" si="71"/>
        <v>0.48521049700637886</v>
      </c>
    </row>
    <row r="379" spans="12:24" x14ac:dyDescent="0.45">
      <c r="L379" s="9">
        <v>375</v>
      </c>
      <c r="M379" s="11">
        <f t="shared" ca="1" si="61"/>
        <v>2.7267408150521319</v>
      </c>
      <c r="N379" s="19">
        <f t="shared" ca="1" si="62"/>
        <v>1552.7056855424062</v>
      </c>
      <c r="O379" s="9">
        <f t="shared" ca="1" si="63"/>
        <v>1</v>
      </c>
      <c r="P379" s="9">
        <f t="shared" ca="1" si="64"/>
        <v>5</v>
      </c>
      <c r="Q379" s="11">
        <f t="shared" ca="1" si="65"/>
        <v>1.7057996286407502</v>
      </c>
      <c r="R379" s="11">
        <f t="shared" ca="1" si="66"/>
        <v>4.7712252467121985</v>
      </c>
      <c r="S379" s="11" t="str">
        <f t="shared" ca="1" si="67"/>
        <v/>
      </c>
      <c r="T379" s="11">
        <f t="shared" ca="1" si="68"/>
        <v>0.9717210137865061</v>
      </c>
      <c r="V379" s="11">
        <f t="shared" ca="1" si="71"/>
        <v>0.89287577011447961</v>
      </c>
      <c r="W379" s="11">
        <f t="shared" ca="1" si="71"/>
        <v>0.63101257240312758</v>
      </c>
      <c r="X379" s="11">
        <f t="shared" ca="1" si="71"/>
        <v>0.51012424118602462</v>
      </c>
    </row>
    <row r="380" spans="12:24" x14ac:dyDescent="0.45">
      <c r="L380" s="9">
        <v>376</v>
      </c>
      <c r="M380" s="11">
        <f t="shared" ca="1" si="61"/>
        <v>13.980849203363373</v>
      </c>
      <c r="N380" s="19">
        <f t="shared" ca="1" si="62"/>
        <v>185.66446720492181</v>
      </c>
      <c r="O380" s="9">
        <f t="shared" ca="1" si="63"/>
        <v>1</v>
      </c>
      <c r="P380" s="9">
        <f t="shared" ca="1" si="64"/>
        <v>3</v>
      </c>
      <c r="Q380" s="11">
        <f t="shared" ca="1" si="65"/>
        <v>0.7415944657307032</v>
      </c>
      <c r="R380" s="11">
        <f t="shared" ca="1" si="66"/>
        <v>12.637623330151916</v>
      </c>
      <c r="S380" s="11">
        <f t="shared" ca="1" si="67"/>
        <v>0.68870637493268116</v>
      </c>
      <c r="T380" s="11">
        <f t="shared" ca="1" si="68"/>
        <v>1.4716944080914189</v>
      </c>
      <c r="V380" s="11">
        <f t="shared" ca="1" si="71"/>
        <v>0.68870637493268116</v>
      </c>
      <c r="W380" s="11">
        <f t="shared" ca="1" si="71"/>
        <v>0.19637490644649258</v>
      </c>
      <c r="X380" s="11">
        <f t="shared" ca="1" si="71"/>
        <v>0.88963046113018573</v>
      </c>
    </row>
    <row r="381" spans="12:24" x14ac:dyDescent="0.45">
      <c r="L381" s="9">
        <v>377</v>
      </c>
      <c r="M381" s="11">
        <f t="shared" ca="1" si="61"/>
        <v>9.8181536327551768</v>
      </c>
      <c r="N381" s="19">
        <f t="shared" ca="1" si="62"/>
        <v>697.3636660129373</v>
      </c>
      <c r="O381" s="9">
        <f t="shared" ca="1" si="63"/>
        <v>5</v>
      </c>
      <c r="P381" s="9">
        <f t="shared" ca="1" si="64"/>
        <v>2</v>
      </c>
      <c r="Q381" s="11">
        <f t="shared" ca="1" si="65"/>
        <v>8.7892223042371604</v>
      </c>
      <c r="R381" s="11">
        <f t="shared" ca="1" si="66"/>
        <v>8.7713412144182552</v>
      </c>
      <c r="S381" s="11">
        <f t="shared" ca="1" si="67"/>
        <v>0.84584930951915482</v>
      </c>
      <c r="T381" s="11">
        <f t="shared" ca="1" si="68"/>
        <v>0.63464130066773483</v>
      </c>
      <c r="V381" s="11">
        <f t="shared" ca="1" si="71"/>
        <v>0.84584930951915482</v>
      </c>
      <c r="W381" s="11">
        <f t="shared" ca="1" si="71"/>
        <v>0.37420719704013994</v>
      </c>
      <c r="X381" s="11">
        <f t="shared" ca="1" si="71"/>
        <v>0.21308722953570891</v>
      </c>
    </row>
    <row r="382" spans="12:24" x14ac:dyDescent="0.45">
      <c r="L382" s="9">
        <v>378</v>
      </c>
      <c r="M382" s="11">
        <f t="shared" ca="1" si="61"/>
        <v>3.4009616511951848E-2</v>
      </c>
      <c r="N382" s="19">
        <f t="shared" ca="1" si="62"/>
        <v>1197.5763223319818</v>
      </c>
      <c r="O382" s="9">
        <f t="shared" ca="1" si="63"/>
        <v>2</v>
      </c>
      <c r="P382" s="9">
        <f t="shared" ca="1" si="64"/>
        <v>2</v>
      </c>
      <c r="Q382" s="11">
        <f t="shared" ca="1" si="65"/>
        <v>5.5257102201244876</v>
      </c>
      <c r="R382" s="11">
        <f t="shared" ca="1" si="66"/>
        <v>7.3433104119456463</v>
      </c>
      <c r="S382" s="11" t="str">
        <f t="shared" ca="1" si="67"/>
        <v/>
      </c>
      <c r="T382" s="11">
        <f t="shared" ca="1" si="68"/>
        <v>0.21429432112990301</v>
      </c>
      <c r="V382" s="11">
        <f t="shared" ca="1" si="71"/>
        <v>0.98384119775243817</v>
      </c>
      <c r="W382" s="11">
        <f t="shared" ca="1" si="71"/>
        <v>0.71073820339243854</v>
      </c>
      <c r="X382" s="11">
        <f t="shared" ca="1" si="71"/>
        <v>0.14992925641425936</v>
      </c>
    </row>
    <row r="383" spans="12:24" x14ac:dyDescent="0.45">
      <c r="L383" s="9">
        <v>379</v>
      </c>
      <c r="M383" s="11">
        <f t="shared" ca="1" si="61"/>
        <v>2.3077555729421322</v>
      </c>
      <c r="N383" s="19">
        <f t="shared" ca="1" si="62"/>
        <v>1442.2968193112467</v>
      </c>
      <c r="O383" s="9">
        <f t="shared" ca="1" si="63"/>
        <v>1</v>
      </c>
      <c r="P383" s="9">
        <f t="shared" ca="1" si="64"/>
        <v>2</v>
      </c>
      <c r="Q383" s="11">
        <f t="shared" ca="1" si="65"/>
        <v>5.9153219367956593</v>
      </c>
      <c r="R383" s="11">
        <f t="shared" ca="1" si="66"/>
        <v>10.755266903781576</v>
      </c>
      <c r="S383" s="11">
        <f t="shared" ca="1" si="67"/>
        <v>0.46527061792923197</v>
      </c>
      <c r="T383" s="11">
        <f t="shared" ca="1" si="68"/>
        <v>8.4798319987333155</v>
      </c>
      <c r="V383" s="11">
        <f t="shared" ca="1" si="71"/>
        <v>0.46527061792923197</v>
      </c>
      <c r="W383" s="11">
        <f t="shared" ca="1" si="71"/>
        <v>0.98749747956804046</v>
      </c>
      <c r="X383" s="11">
        <f t="shared" ca="1" si="71"/>
        <v>0.96526513745882236</v>
      </c>
    </row>
    <row r="384" spans="12:24" x14ac:dyDescent="0.45">
      <c r="L384" s="9">
        <v>380</v>
      </c>
      <c r="M384" s="11">
        <f t="shared" ca="1" si="61"/>
        <v>2.5168095545578946</v>
      </c>
      <c r="N384" s="19">
        <f t="shared" ca="1" si="62"/>
        <v>925.45272680379446</v>
      </c>
      <c r="O384" s="9">
        <f t="shared" ca="1" si="63"/>
        <v>2</v>
      </c>
      <c r="P384" s="9">
        <f t="shared" ca="1" si="64"/>
        <v>0</v>
      </c>
      <c r="Q384" s="11">
        <f t="shared" ca="1" si="65"/>
        <v>12.344821724684127</v>
      </c>
      <c r="R384" s="11">
        <f t="shared" ca="1" si="66"/>
        <v>6.1861999481475198</v>
      </c>
      <c r="S384" s="11">
        <f t="shared" ca="1" si="67"/>
        <v>0.57388060774431682</v>
      </c>
      <c r="T384" s="11">
        <f t="shared" ca="1" si="68"/>
        <v>9.2052292411739227</v>
      </c>
      <c r="V384" s="11">
        <f t="shared" ca="1" si="71"/>
        <v>0.57388060774431682</v>
      </c>
      <c r="W384" s="11">
        <f t="shared" ca="1" si="71"/>
        <v>0.11767940918308617</v>
      </c>
      <c r="X384" s="11">
        <f t="shared" ca="1" si="71"/>
        <v>0.78517262728844139</v>
      </c>
    </row>
    <row r="385" spans="12:24" x14ac:dyDescent="0.45">
      <c r="L385" s="9">
        <v>381</v>
      </c>
      <c r="M385" s="11">
        <f t="shared" ca="1" si="61"/>
        <v>0.60095987071979617</v>
      </c>
      <c r="N385" s="19">
        <f t="shared" ca="1" si="62"/>
        <v>1498.5955960688536</v>
      </c>
      <c r="O385" s="9">
        <f t="shared" ca="1" si="63"/>
        <v>1</v>
      </c>
      <c r="P385" s="9">
        <f t="shared" ca="1" si="64"/>
        <v>3</v>
      </c>
      <c r="Q385" s="11">
        <f t="shared" ca="1" si="65"/>
        <v>8.3870503303902897</v>
      </c>
      <c r="R385" s="11">
        <f t="shared" ca="1" si="66"/>
        <v>11.507713888424503</v>
      </c>
      <c r="S385" s="11">
        <f t="shared" ca="1" si="67"/>
        <v>0.84534280916817561</v>
      </c>
      <c r="T385" s="11">
        <f t="shared" ca="1" si="68"/>
        <v>9.6759011025990799E-2</v>
      </c>
      <c r="V385" s="11">
        <f t="shared" ref="V385:X404" ca="1" si="72">RAND()</f>
        <v>0.84534280916817561</v>
      </c>
      <c r="W385" s="11">
        <f t="shared" ca="1" si="72"/>
        <v>0.39369036237048438</v>
      </c>
      <c r="X385" s="11">
        <f t="shared" ca="1" si="72"/>
        <v>6.3843004789738589E-2</v>
      </c>
    </row>
    <row r="386" spans="12:24" x14ac:dyDescent="0.45">
      <c r="L386" s="9">
        <v>382</v>
      </c>
      <c r="M386" s="11">
        <f t="shared" ca="1" si="61"/>
        <v>9.7147153664827286</v>
      </c>
      <c r="N386" s="19">
        <f t="shared" ca="1" si="62"/>
        <v>404.43026014700507</v>
      </c>
      <c r="O386" s="9">
        <f t="shared" ca="1" si="63"/>
        <v>1</v>
      </c>
      <c r="P386" s="9">
        <f t="shared" ca="1" si="64"/>
        <v>0</v>
      </c>
      <c r="Q386" s="11">
        <f t="shared" ca="1" si="65"/>
        <v>4.4242169501210151</v>
      </c>
      <c r="R386" s="11">
        <f t="shared" ca="1" si="66"/>
        <v>14.248218143210494</v>
      </c>
      <c r="S386" s="11">
        <f t="shared" ca="1" si="67"/>
        <v>0.23512813792839149</v>
      </c>
      <c r="T386" s="11">
        <f t="shared" ca="1" si="68"/>
        <v>7.9624079586150591</v>
      </c>
      <c r="V386" s="11">
        <f t="shared" ca="1" si="72"/>
        <v>0.23512813792839149</v>
      </c>
      <c r="W386" s="11">
        <f t="shared" ca="1" si="72"/>
        <v>0.26373113276883986</v>
      </c>
      <c r="X386" s="11">
        <f t="shared" ca="1" si="72"/>
        <v>0.5808632372908078</v>
      </c>
    </row>
    <row r="387" spans="12:24" x14ac:dyDescent="0.45">
      <c r="L387" s="9">
        <v>383</v>
      </c>
      <c r="M387" s="11">
        <f t="shared" ca="1" si="61"/>
        <v>3.0006032501064601E-2</v>
      </c>
      <c r="N387" s="19">
        <f t="shared" ca="1" si="62"/>
        <v>522.02441277568801</v>
      </c>
      <c r="O387" s="9">
        <f t="shared" ca="1" si="63"/>
        <v>1</v>
      </c>
      <c r="P387" s="9">
        <f t="shared" ca="1" si="64"/>
        <v>4</v>
      </c>
      <c r="Q387" s="11">
        <f t="shared" ca="1" si="65"/>
        <v>3.2507004879227885</v>
      </c>
      <c r="R387" s="11">
        <f t="shared" ca="1" si="66"/>
        <v>14.135531966476336</v>
      </c>
      <c r="S387" s="11" t="str">
        <f t="shared" ca="1" si="67"/>
        <v/>
      </c>
      <c r="T387" s="11">
        <f t="shared" ca="1" si="68"/>
        <v>4.252163963668095</v>
      </c>
      <c r="V387" s="11">
        <f t="shared" ca="1" si="72"/>
        <v>0.2605629855579259</v>
      </c>
      <c r="W387" s="11">
        <f t="shared" ca="1" si="72"/>
        <v>0.81806816974957353</v>
      </c>
      <c r="X387" s="11">
        <f t="shared" ca="1" si="72"/>
        <v>0.68116585067611191</v>
      </c>
    </row>
    <row r="388" spans="12:24" x14ac:dyDescent="0.45">
      <c r="L388" s="9">
        <v>384</v>
      </c>
      <c r="M388" s="11">
        <f t="shared" ca="1" si="61"/>
        <v>7.8662190565341179</v>
      </c>
      <c r="N388" s="19">
        <f t="shared" ca="1" si="62"/>
        <v>736.27089957447333</v>
      </c>
      <c r="O388" s="9">
        <f t="shared" ca="1" si="63"/>
        <v>4</v>
      </c>
      <c r="P388" s="9">
        <f t="shared" ca="1" si="64"/>
        <v>4</v>
      </c>
      <c r="Q388" s="11">
        <f t="shared" ca="1" si="65"/>
        <v>2.4124539066677553</v>
      </c>
      <c r="R388" s="11">
        <f t="shared" ca="1" si="66"/>
        <v>11.497829463406015</v>
      </c>
      <c r="S388" s="11">
        <f t="shared" ca="1" si="67"/>
        <v>0.40249180414466634</v>
      </c>
      <c r="T388" s="11">
        <f t="shared" ca="1" si="68"/>
        <v>1.0989214200904582</v>
      </c>
      <c r="V388" s="11">
        <f t="shared" ca="1" si="72"/>
        <v>0.40249180414466634</v>
      </c>
      <c r="W388" s="11">
        <f t="shared" ca="1" si="72"/>
        <v>0.18142377106572638</v>
      </c>
      <c r="X388" s="11">
        <f t="shared" ca="1" si="72"/>
        <v>0.27931455241112224</v>
      </c>
    </row>
    <row r="389" spans="12:24" x14ac:dyDescent="0.45">
      <c r="L389" s="9">
        <v>385</v>
      </c>
      <c r="M389" s="11">
        <f t="shared" ref="M389:M452" ca="1" si="73">-$C$10*LN(1-RAND())</f>
        <v>0.99390661665944269</v>
      </c>
      <c r="N389" s="19">
        <f t="shared" ref="N389:N452" ca="1" si="74">$C$12*(-LN(1-RAND()))^(1/$C$11)</f>
        <v>986.53579174412164</v>
      </c>
      <c r="O389" s="9">
        <f t="shared" ref="O389:O452" ca="1" si="75">MAX(1,ROUNDUP(LN(1-RAND())/LN(1-$C$13),0))</f>
        <v>1</v>
      </c>
      <c r="P389" s="9">
        <f t="shared" ref="P389:P452" ca="1" si="76">INDEX($B$24:$B$44,MATCH(RAND(),$C$24:$C$44,1))</f>
        <v>1</v>
      </c>
      <c r="Q389" s="11">
        <f t="shared" ref="Q389:Q452" ca="1" si="77">-($C$16/$C$15)*LN(RAND()*RAND()*RAND())</f>
        <v>7.9770001567552766</v>
      </c>
      <c r="R389" s="11">
        <f t="shared" ref="R389:R452" ca="1" si="78">$C$17+$C$18*(RAND()+RAND()+RAND()+RAND()+RAND()+RAND()+RAND()+RAND()+RAND()+RAND()+RAND()+RAND()-6)</f>
        <v>6.9051715263818849</v>
      </c>
      <c r="S389" s="11">
        <f t="shared" ref="S389:S452" ca="1" si="79">IF(1.5*W389&lt;=6*V389*(1-V389),V389,"")</f>
        <v>0.33136307705183976</v>
      </c>
      <c r="T389" s="11">
        <f t="shared" ref="T389:T452" ca="1" si="80">-IF(X389&lt;$C$19,$C$20,$C$21)*LN(1-RAND())</f>
        <v>2.1415807530717044</v>
      </c>
      <c r="V389" s="11">
        <f t="shared" ca="1" si="72"/>
        <v>0.33136307705183976</v>
      </c>
      <c r="W389" s="11">
        <f t="shared" ca="1" si="72"/>
        <v>0.47195730097900079</v>
      </c>
      <c r="X389" s="11">
        <f t="shared" ca="1" si="72"/>
        <v>0.3047911522250677</v>
      </c>
    </row>
    <row r="390" spans="12:24" x14ac:dyDescent="0.45">
      <c r="L390" s="9">
        <v>386</v>
      </c>
      <c r="M390" s="11">
        <f t="shared" ca="1" si="73"/>
        <v>2.7033117465678891</v>
      </c>
      <c r="N390" s="19">
        <f t="shared" ca="1" si="74"/>
        <v>109.51934715160219</v>
      </c>
      <c r="O390" s="9">
        <f t="shared" ca="1" si="75"/>
        <v>1</v>
      </c>
      <c r="P390" s="9">
        <f t="shared" ca="1" si="76"/>
        <v>3</v>
      </c>
      <c r="Q390" s="11">
        <f t="shared" ca="1" si="77"/>
        <v>1.3785835527653434</v>
      </c>
      <c r="R390" s="11">
        <f t="shared" ca="1" si="78"/>
        <v>9.9515131083721986</v>
      </c>
      <c r="S390" s="11">
        <f t="shared" ca="1" si="79"/>
        <v>0.47406256761195131</v>
      </c>
      <c r="T390" s="11">
        <f t="shared" ca="1" si="80"/>
        <v>3.2062489627630626</v>
      </c>
      <c r="V390" s="11">
        <f t="shared" ca="1" si="72"/>
        <v>0.47406256761195131</v>
      </c>
      <c r="W390" s="11">
        <f t="shared" ca="1" si="72"/>
        <v>1.705118173534359E-3</v>
      </c>
      <c r="X390" s="11">
        <f t="shared" ca="1" si="72"/>
        <v>8.0319672333381664E-2</v>
      </c>
    </row>
    <row r="391" spans="12:24" x14ac:dyDescent="0.45">
      <c r="L391" s="9">
        <v>387</v>
      </c>
      <c r="M391" s="11">
        <f t="shared" ca="1" si="73"/>
        <v>2.6042995208349873</v>
      </c>
      <c r="N391" s="19">
        <f t="shared" ca="1" si="74"/>
        <v>736.03126960776569</v>
      </c>
      <c r="O391" s="9">
        <f t="shared" ca="1" si="75"/>
        <v>5</v>
      </c>
      <c r="P391" s="9">
        <f t="shared" ca="1" si="76"/>
        <v>4</v>
      </c>
      <c r="Q391" s="11">
        <f t="shared" ca="1" si="77"/>
        <v>8.6636688988529826</v>
      </c>
      <c r="R391" s="11">
        <f t="shared" ca="1" si="78"/>
        <v>11.720451491416338</v>
      </c>
      <c r="S391" s="11">
        <f t="shared" ca="1" si="79"/>
        <v>0.69624723145107692</v>
      </c>
      <c r="T391" s="11">
        <f t="shared" ca="1" si="80"/>
        <v>1.4575165409261113</v>
      </c>
      <c r="V391" s="11">
        <f t="shared" ca="1" si="72"/>
        <v>0.69624723145107692</v>
      </c>
      <c r="W391" s="11">
        <f t="shared" ca="1" si="72"/>
        <v>0.41163664385569443</v>
      </c>
      <c r="X391" s="11">
        <f t="shared" ca="1" si="72"/>
        <v>8.6025440316381263E-2</v>
      </c>
    </row>
    <row r="392" spans="12:24" x14ac:dyDescent="0.45">
      <c r="L392" s="9">
        <v>388</v>
      </c>
      <c r="M392" s="11">
        <f t="shared" ca="1" si="73"/>
        <v>0.73271483179691854</v>
      </c>
      <c r="N392" s="19">
        <f t="shared" ca="1" si="74"/>
        <v>761.46973733625509</v>
      </c>
      <c r="O392" s="9">
        <f t="shared" ca="1" si="75"/>
        <v>1</v>
      </c>
      <c r="P392" s="9">
        <f t="shared" ca="1" si="76"/>
        <v>1</v>
      </c>
      <c r="Q392" s="11">
        <f t="shared" ca="1" si="77"/>
        <v>23.155218176260405</v>
      </c>
      <c r="R392" s="11">
        <f t="shared" ca="1" si="78"/>
        <v>7.2384126476551902</v>
      </c>
      <c r="S392" s="11">
        <f t="shared" ca="1" si="79"/>
        <v>0.21309159449117832</v>
      </c>
      <c r="T392" s="11">
        <f t="shared" ca="1" si="80"/>
        <v>0.3618134608650061</v>
      </c>
      <c r="V392" s="11">
        <f t="shared" ca="1" si="72"/>
        <v>0.21309159449117832</v>
      </c>
      <c r="W392" s="11">
        <f t="shared" ca="1" si="72"/>
        <v>0.1167587450777845</v>
      </c>
      <c r="X392" s="11">
        <f t="shared" ca="1" si="72"/>
        <v>0.46041286460410091</v>
      </c>
    </row>
    <row r="393" spans="12:24" x14ac:dyDescent="0.45">
      <c r="L393" s="9">
        <v>389</v>
      </c>
      <c r="M393" s="11">
        <f t="shared" ca="1" si="73"/>
        <v>1.5141798197177345</v>
      </c>
      <c r="N393" s="19">
        <f t="shared" ca="1" si="74"/>
        <v>779.73169919050997</v>
      </c>
      <c r="O393" s="9">
        <f t="shared" ca="1" si="75"/>
        <v>2</v>
      </c>
      <c r="P393" s="9">
        <f t="shared" ca="1" si="76"/>
        <v>1</v>
      </c>
      <c r="Q393" s="11">
        <f t="shared" ca="1" si="77"/>
        <v>5.9410111130381571</v>
      </c>
      <c r="R393" s="11">
        <f t="shared" ca="1" si="78"/>
        <v>11.463120990051285</v>
      </c>
      <c r="S393" s="11">
        <f t="shared" ca="1" si="79"/>
        <v>0.23211344847665027</v>
      </c>
      <c r="T393" s="11">
        <f t="shared" ca="1" si="80"/>
        <v>1.6286134183063237</v>
      </c>
      <c r="V393" s="11">
        <f t="shared" ca="1" si="72"/>
        <v>0.23211344847665027</v>
      </c>
      <c r="W393" s="11">
        <f t="shared" ca="1" si="72"/>
        <v>0.65749639817202721</v>
      </c>
      <c r="X393" s="11">
        <f t="shared" ca="1" si="72"/>
        <v>0.13144648409022319</v>
      </c>
    </row>
    <row r="394" spans="12:24" x14ac:dyDescent="0.45">
      <c r="L394" s="9">
        <v>390</v>
      </c>
      <c r="M394" s="11">
        <f t="shared" ca="1" si="73"/>
        <v>4.5953969435891988</v>
      </c>
      <c r="N394" s="19">
        <f t="shared" ca="1" si="74"/>
        <v>440.5164854033099</v>
      </c>
      <c r="O394" s="9">
        <f t="shared" ca="1" si="75"/>
        <v>1</v>
      </c>
      <c r="P394" s="9">
        <f t="shared" ca="1" si="76"/>
        <v>3</v>
      </c>
      <c r="Q394" s="11">
        <f t="shared" ca="1" si="77"/>
        <v>4.8777969646281676</v>
      </c>
      <c r="R394" s="11">
        <f t="shared" ca="1" si="78"/>
        <v>8.8471248750763465</v>
      </c>
      <c r="S394" s="11">
        <f t="shared" ca="1" si="79"/>
        <v>0.78002164408762653</v>
      </c>
      <c r="T394" s="11">
        <f t="shared" ca="1" si="80"/>
        <v>24.770164500013571</v>
      </c>
      <c r="V394" s="11">
        <f t="shared" ca="1" si="72"/>
        <v>0.78002164408762653</v>
      </c>
      <c r="W394" s="11">
        <f t="shared" ca="1" si="72"/>
        <v>0.60424693259312234</v>
      </c>
      <c r="X394" s="11">
        <f t="shared" ca="1" si="72"/>
        <v>0.96056386847280606</v>
      </c>
    </row>
    <row r="395" spans="12:24" x14ac:dyDescent="0.45">
      <c r="L395" s="9">
        <v>391</v>
      </c>
      <c r="M395" s="11">
        <f t="shared" ca="1" si="73"/>
        <v>0.86759110132212103</v>
      </c>
      <c r="N395" s="19">
        <f t="shared" ca="1" si="74"/>
        <v>922.54743299802703</v>
      </c>
      <c r="O395" s="9">
        <f t="shared" ca="1" si="75"/>
        <v>1</v>
      </c>
      <c r="P395" s="9">
        <f t="shared" ca="1" si="76"/>
        <v>2</v>
      </c>
      <c r="Q395" s="11">
        <f t="shared" ca="1" si="77"/>
        <v>5.1942756340632652</v>
      </c>
      <c r="R395" s="11">
        <f t="shared" ca="1" si="78"/>
        <v>13.35986657740764</v>
      </c>
      <c r="S395" s="11" t="str">
        <f t="shared" ca="1" si="79"/>
        <v/>
      </c>
      <c r="T395" s="11">
        <f t="shared" ca="1" si="80"/>
        <v>2.4696902208863785</v>
      </c>
      <c r="V395" s="11">
        <f t="shared" ca="1" si="72"/>
        <v>8.9309078372956652E-3</v>
      </c>
      <c r="W395" s="11">
        <f t="shared" ca="1" si="72"/>
        <v>0.11826833470006337</v>
      </c>
      <c r="X395" s="11">
        <f t="shared" ca="1" si="72"/>
        <v>0.66572753801055762</v>
      </c>
    </row>
    <row r="396" spans="12:24" x14ac:dyDescent="0.45">
      <c r="L396" s="9">
        <v>392</v>
      </c>
      <c r="M396" s="11">
        <f t="shared" ca="1" si="73"/>
        <v>5.3586304707860327E-2</v>
      </c>
      <c r="N396" s="19">
        <f t="shared" ca="1" si="74"/>
        <v>1003.2628178940987</v>
      </c>
      <c r="O396" s="9">
        <f t="shared" ca="1" si="75"/>
        <v>1</v>
      </c>
      <c r="P396" s="9">
        <f t="shared" ca="1" si="76"/>
        <v>5</v>
      </c>
      <c r="Q396" s="11">
        <f t="shared" ca="1" si="77"/>
        <v>2.7285113948794275</v>
      </c>
      <c r="R396" s="11">
        <f t="shared" ca="1" si="78"/>
        <v>5.9081224399914802</v>
      </c>
      <c r="S396" s="11">
        <f t="shared" ca="1" si="79"/>
        <v>0.34133947047061219</v>
      </c>
      <c r="T396" s="11">
        <f t="shared" ca="1" si="80"/>
        <v>10.162234932497466</v>
      </c>
      <c r="V396" s="11">
        <f t="shared" ca="1" si="72"/>
        <v>0.34133947047061219</v>
      </c>
      <c r="W396" s="11">
        <f t="shared" ca="1" si="72"/>
        <v>0.2741963019330772</v>
      </c>
      <c r="X396" s="11">
        <f t="shared" ca="1" si="72"/>
        <v>0.74809192590040763</v>
      </c>
    </row>
    <row r="397" spans="12:24" x14ac:dyDescent="0.45">
      <c r="L397" s="9">
        <v>393</v>
      </c>
      <c r="M397" s="11">
        <f t="shared" ca="1" si="73"/>
        <v>1.4895212107589522</v>
      </c>
      <c r="N397" s="19">
        <f t="shared" ca="1" si="74"/>
        <v>509.33243998964025</v>
      </c>
      <c r="O397" s="9">
        <f t="shared" ca="1" si="75"/>
        <v>1</v>
      </c>
      <c r="P397" s="9">
        <f t="shared" ca="1" si="76"/>
        <v>4</v>
      </c>
      <c r="Q397" s="11">
        <f t="shared" ca="1" si="77"/>
        <v>4.7225003324081856</v>
      </c>
      <c r="R397" s="11">
        <f t="shared" ca="1" si="78"/>
        <v>8.2919467618581084</v>
      </c>
      <c r="S397" s="11">
        <f t="shared" ca="1" si="79"/>
        <v>0.26331767974714415</v>
      </c>
      <c r="T397" s="11">
        <f t="shared" ca="1" si="80"/>
        <v>9.9830209745006169</v>
      </c>
      <c r="V397" s="11">
        <f t="shared" ca="1" si="72"/>
        <v>0.26331767974714415</v>
      </c>
      <c r="W397" s="11">
        <f t="shared" ca="1" si="72"/>
        <v>0.34852701370771855</v>
      </c>
      <c r="X397" s="11">
        <f t="shared" ca="1" si="72"/>
        <v>0.30409786273115491</v>
      </c>
    </row>
    <row r="398" spans="12:24" x14ac:dyDescent="0.45">
      <c r="L398" s="9">
        <v>394</v>
      </c>
      <c r="M398" s="11">
        <f t="shared" ca="1" si="73"/>
        <v>7.5747176168302426</v>
      </c>
      <c r="N398" s="19">
        <f t="shared" ca="1" si="74"/>
        <v>1253.9169346317806</v>
      </c>
      <c r="O398" s="9">
        <f t="shared" ca="1" si="75"/>
        <v>2</v>
      </c>
      <c r="P398" s="9">
        <f t="shared" ca="1" si="76"/>
        <v>3</v>
      </c>
      <c r="Q398" s="11">
        <f t="shared" ca="1" si="77"/>
        <v>6.6543846827109689</v>
      </c>
      <c r="R398" s="11">
        <f t="shared" ca="1" si="78"/>
        <v>11.184810174223298</v>
      </c>
      <c r="S398" s="11" t="str">
        <f t="shared" ca="1" si="79"/>
        <v/>
      </c>
      <c r="T398" s="11">
        <f t="shared" ca="1" si="80"/>
        <v>0.77072838436513258</v>
      </c>
      <c r="V398" s="11">
        <f t="shared" ca="1" si="72"/>
        <v>8.1057275412770968E-2</v>
      </c>
      <c r="W398" s="11">
        <f t="shared" ca="1" si="72"/>
        <v>0.98908426754081902</v>
      </c>
      <c r="X398" s="11">
        <f t="shared" ca="1" si="72"/>
        <v>0.21280234154935673</v>
      </c>
    </row>
    <row r="399" spans="12:24" x14ac:dyDescent="0.45">
      <c r="L399" s="9">
        <v>395</v>
      </c>
      <c r="M399" s="11">
        <f t="shared" ca="1" si="73"/>
        <v>4.0329498444944829E-2</v>
      </c>
      <c r="N399" s="19">
        <f t="shared" ca="1" si="74"/>
        <v>958.73110222710807</v>
      </c>
      <c r="O399" s="9">
        <f t="shared" ca="1" si="75"/>
        <v>2</v>
      </c>
      <c r="P399" s="9">
        <f t="shared" ca="1" si="76"/>
        <v>3</v>
      </c>
      <c r="Q399" s="11">
        <f t="shared" ca="1" si="77"/>
        <v>8.1498401010397732</v>
      </c>
      <c r="R399" s="11">
        <f t="shared" ca="1" si="78"/>
        <v>14.103406285205118</v>
      </c>
      <c r="S399" s="11" t="str">
        <f t="shared" ca="1" si="79"/>
        <v/>
      </c>
      <c r="T399" s="11">
        <f t="shared" ca="1" si="80"/>
        <v>1.51219674699552</v>
      </c>
      <c r="V399" s="11">
        <f t="shared" ca="1" si="72"/>
        <v>0.9183248413142876</v>
      </c>
      <c r="W399" s="11">
        <f t="shared" ca="1" si="72"/>
        <v>0.84154368330808815</v>
      </c>
      <c r="X399" s="11">
        <f t="shared" ca="1" si="72"/>
        <v>0.45015171449674829</v>
      </c>
    </row>
    <row r="400" spans="12:24" x14ac:dyDescent="0.45">
      <c r="L400" s="9">
        <v>396</v>
      </c>
      <c r="M400" s="11">
        <f t="shared" ca="1" si="73"/>
        <v>3.6774862424822818</v>
      </c>
      <c r="N400" s="19">
        <f t="shared" ca="1" si="74"/>
        <v>1694.2225700351978</v>
      </c>
      <c r="O400" s="9">
        <f t="shared" ca="1" si="75"/>
        <v>1</v>
      </c>
      <c r="P400" s="9">
        <f t="shared" ca="1" si="76"/>
        <v>5</v>
      </c>
      <c r="Q400" s="11">
        <f t="shared" ca="1" si="77"/>
        <v>4.2782255090267691</v>
      </c>
      <c r="R400" s="11">
        <f t="shared" ca="1" si="78"/>
        <v>8.4929290888839351</v>
      </c>
      <c r="S400" s="11" t="str">
        <f t="shared" ca="1" si="79"/>
        <v/>
      </c>
      <c r="T400" s="11">
        <f t="shared" ca="1" si="80"/>
        <v>0.3154294801598827</v>
      </c>
      <c r="V400" s="11">
        <f t="shared" ca="1" si="72"/>
        <v>7.1071870072273002E-2</v>
      </c>
      <c r="W400" s="11">
        <f t="shared" ca="1" si="72"/>
        <v>0.94908846398191438</v>
      </c>
      <c r="X400" s="11">
        <f t="shared" ca="1" si="72"/>
        <v>0.17068846861929254</v>
      </c>
    </row>
    <row r="401" spans="12:24" x14ac:dyDescent="0.45">
      <c r="L401" s="9">
        <v>397</v>
      </c>
      <c r="M401" s="11">
        <f t="shared" ca="1" si="73"/>
        <v>7.4832856110704125</v>
      </c>
      <c r="N401" s="19">
        <f t="shared" ca="1" si="74"/>
        <v>373.34886919196117</v>
      </c>
      <c r="O401" s="9">
        <f t="shared" ca="1" si="75"/>
        <v>2</v>
      </c>
      <c r="P401" s="9">
        <f t="shared" ca="1" si="76"/>
        <v>2</v>
      </c>
      <c r="Q401" s="11">
        <f t="shared" ca="1" si="77"/>
        <v>1.2443610600758721</v>
      </c>
      <c r="R401" s="11">
        <f t="shared" ca="1" si="78"/>
        <v>12.60941847611425</v>
      </c>
      <c r="S401" s="11">
        <f t="shared" ca="1" si="79"/>
        <v>0.61880027296446427</v>
      </c>
      <c r="T401" s="11">
        <f t="shared" ca="1" si="80"/>
        <v>0.15115582876174533</v>
      </c>
      <c r="V401" s="11">
        <f t="shared" ca="1" si="72"/>
        <v>0.61880027296446427</v>
      </c>
      <c r="W401" s="11">
        <f t="shared" ca="1" si="72"/>
        <v>0.50995925935295072</v>
      </c>
      <c r="X401" s="11">
        <f t="shared" ca="1" si="72"/>
        <v>0.4045092358600102</v>
      </c>
    </row>
    <row r="402" spans="12:24" x14ac:dyDescent="0.45">
      <c r="L402" s="9">
        <v>398</v>
      </c>
      <c r="M402" s="11">
        <f t="shared" ca="1" si="73"/>
        <v>1.1941756388183251E-2</v>
      </c>
      <c r="N402" s="19">
        <f t="shared" ca="1" si="74"/>
        <v>1073.9247187579961</v>
      </c>
      <c r="O402" s="9">
        <f t="shared" ca="1" si="75"/>
        <v>1</v>
      </c>
      <c r="P402" s="9">
        <f t="shared" ca="1" si="76"/>
        <v>3</v>
      </c>
      <c r="Q402" s="11">
        <f t="shared" ca="1" si="77"/>
        <v>3.607593395641091</v>
      </c>
      <c r="R402" s="11">
        <f t="shared" ca="1" si="78"/>
        <v>8.1006146472628284</v>
      </c>
      <c r="S402" s="11">
        <f t="shared" ca="1" si="79"/>
        <v>0.35890592875358596</v>
      </c>
      <c r="T402" s="11">
        <f t="shared" ca="1" si="80"/>
        <v>1.9979488848238924</v>
      </c>
      <c r="V402" s="11">
        <f t="shared" ca="1" si="72"/>
        <v>0.35890592875358596</v>
      </c>
      <c r="W402" s="11">
        <f t="shared" ca="1" si="72"/>
        <v>0.89797324575390325</v>
      </c>
      <c r="X402" s="11">
        <f t="shared" ca="1" si="72"/>
        <v>0.23367664176528413</v>
      </c>
    </row>
    <row r="403" spans="12:24" x14ac:dyDescent="0.45">
      <c r="L403" s="9">
        <v>399</v>
      </c>
      <c r="M403" s="11">
        <f t="shared" ca="1" si="73"/>
        <v>4.7170707392527786</v>
      </c>
      <c r="N403" s="19">
        <f t="shared" ca="1" si="74"/>
        <v>1652.5181943689252</v>
      </c>
      <c r="O403" s="9">
        <f t="shared" ca="1" si="75"/>
        <v>1</v>
      </c>
      <c r="P403" s="9">
        <f t="shared" ca="1" si="76"/>
        <v>7</v>
      </c>
      <c r="Q403" s="11">
        <f t="shared" ca="1" si="77"/>
        <v>8.7110061968180812</v>
      </c>
      <c r="R403" s="11">
        <f t="shared" ca="1" si="78"/>
        <v>11.285082610253617</v>
      </c>
      <c r="S403" s="11">
        <f t="shared" ca="1" si="79"/>
        <v>0.68726282792041626</v>
      </c>
      <c r="T403" s="11">
        <f t="shared" ca="1" si="80"/>
        <v>1.5406180614852067</v>
      </c>
      <c r="V403" s="11">
        <f t="shared" ca="1" si="72"/>
        <v>0.68726282792041626</v>
      </c>
      <c r="W403" s="11">
        <f t="shared" ca="1" si="72"/>
        <v>0.83971374304516933</v>
      </c>
      <c r="X403" s="11">
        <f t="shared" ca="1" si="72"/>
        <v>0.35691547548927305</v>
      </c>
    </row>
    <row r="404" spans="12:24" x14ac:dyDescent="0.45">
      <c r="L404" s="9">
        <v>400</v>
      </c>
      <c r="M404" s="11">
        <f t="shared" ca="1" si="73"/>
        <v>3.4875627301798446</v>
      </c>
      <c r="N404" s="19">
        <f t="shared" ca="1" si="74"/>
        <v>457.82902006313486</v>
      </c>
      <c r="O404" s="9">
        <f t="shared" ca="1" si="75"/>
        <v>1</v>
      </c>
      <c r="P404" s="9">
        <f t="shared" ca="1" si="76"/>
        <v>2</v>
      </c>
      <c r="Q404" s="11">
        <f t="shared" ca="1" si="77"/>
        <v>3.5030894954523197</v>
      </c>
      <c r="R404" s="11">
        <f t="shared" ca="1" si="78"/>
        <v>14.465719588926007</v>
      </c>
      <c r="S404" s="11" t="str">
        <f t="shared" ca="1" si="79"/>
        <v/>
      </c>
      <c r="T404" s="11">
        <f t="shared" ca="1" si="80"/>
        <v>5.663146725644669</v>
      </c>
      <c r="V404" s="11">
        <f t="shared" ca="1" si="72"/>
        <v>0.94416071113685041</v>
      </c>
      <c r="W404" s="11">
        <f t="shared" ca="1" si="72"/>
        <v>0.70172921009240108</v>
      </c>
      <c r="X404" s="11">
        <f t="shared" ca="1" si="72"/>
        <v>0.23770842996062469</v>
      </c>
    </row>
    <row r="405" spans="12:24" x14ac:dyDescent="0.45">
      <c r="L405" s="9">
        <v>401</v>
      </c>
      <c r="M405" s="11">
        <f t="shared" ca="1" si="73"/>
        <v>5.646063896480868</v>
      </c>
      <c r="N405" s="19">
        <f t="shared" ca="1" si="74"/>
        <v>176.1482287755594</v>
      </c>
      <c r="O405" s="9">
        <f t="shared" ca="1" si="75"/>
        <v>2</v>
      </c>
      <c r="P405" s="9">
        <f t="shared" ca="1" si="76"/>
        <v>5</v>
      </c>
      <c r="Q405" s="11">
        <f t="shared" ca="1" si="77"/>
        <v>8.4824702498517279</v>
      </c>
      <c r="R405" s="11">
        <f t="shared" ca="1" si="78"/>
        <v>7.9706209981336809</v>
      </c>
      <c r="S405" s="11" t="str">
        <f t="shared" ca="1" si="79"/>
        <v/>
      </c>
      <c r="T405" s="11">
        <f t="shared" ca="1" si="80"/>
        <v>9.2954810025257277</v>
      </c>
      <c r="V405" s="11">
        <f t="shared" ref="V405:X424" ca="1" si="81">RAND()</f>
        <v>0.87208242780737977</v>
      </c>
      <c r="W405" s="11">
        <f t="shared" ca="1" si="81"/>
        <v>0.60655246223457115</v>
      </c>
      <c r="X405" s="11">
        <f t="shared" ca="1" si="81"/>
        <v>0.29122734929168725</v>
      </c>
    </row>
    <row r="406" spans="12:24" x14ac:dyDescent="0.45">
      <c r="L406" s="9">
        <v>402</v>
      </c>
      <c r="M406" s="11">
        <f t="shared" ca="1" si="73"/>
        <v>3.1996892123089711</v>
      </c>
      <c r="N406" s="19">
        <f t="shared" ca="1" si="74"/>
        <v>1698.4587627635569</v>
      </c>
      <c r="O406" s="9">
        <f t="shared" ca="1" si="75"/>
        <v>1</v>
      </c>
      <c r="P406" s="9">
        <f t="shared" ca="1" si="76"/>
        <v>5</v>
      </c>
      <c r="Q406" s="11">
        <f t="shared" ca="1" si="77"/>
        <v>0.84455937832274341</v>
      </c>
      <c r="R406" s="11">
        <f t="shared" ca="1" si="78"/>
        <v>9.9694646405781349</v>
      </c>
      <c r="S406" s="11">
        <f t="shared" ca="1" si="79"/>
        <v>0.4209051878605945</v>
      </c>
      <c r="T406" s="11">
        <f t="shared" ca="1" si="80"/>
        <v>0.44342963546298997</v>
      </c>
      <c r="V406" s="11">
        <f t="shared" ca="1" si="81"/>
        <v>0.4209051878605945</v>
      </c>
      <c r="W406" s="11">
        <f t="shared" ca="1" si="81"/>
        <v>0.16336214766783708</v>
      </c>
      <c r="X406" s="11">
        <f t="shared" ca="1" si="81"/>
        <v>0.50103556621247447</v>
      </c>
    </row>
    <row r="407" spans="12:24" x14ac:dyDescent="0.45">
      <c r="L407" s="9">
        <v>403</v>
      </c>
      <c r="M407" s="11">
        <f t="shared" ca="1" si="73"/>
        <v>1.3350662031473657</v>
      </c>
      <c r="N407" s="19">
        <f t="shared" ca="1" si="74"/>
        <v>814.499732099423</v>
      </c>
      <c r="O407" s="9">
        <f t="shared" ca="1" si="75"/>
        <v>1</v>
      </c>
      <c r="P407" s="9">
        <f t="shared" ca="1" si="76"/>
        <v>1</v>
      </c>
      <c r="Q407" s="11">
        <f t="shared" ca="1" si="77"/>
        <v>4.0036586853322493</v>
      </c>
      <c r="R407" s="11">
        <f t="shared" ca="1" si="78"/>
        <v>6.6660967228547374</v>
      </c>
      <c r="S407" s="11" t="str">
        <f t="shared" ca="1" si="79"/>
        <v/>
      </c>
      <c r="T407" s="11">
        <f t="shared" ca="1" si="80"/>
        <v>4.0231617550316292</v>
      </c>
      <c r="V407" s="11">
        <f t="shared" ca="1" si="81"/>
        <v>2.522717285339493E-2</v>
      </c>
      <c r="W407" s="11">
        <f t="shared" ca="1" si="81"/>
        <v>0.79617165949881308</v>
      </c>
      <c r="X407" s="11">
        <f t="shared" ca="1" si="81"/>
        <v>0.42431356032449274</v>
      </c>
    </row>
    <row r="408" spans="12:24" x14ac:dyDescent="0.45">
      <c r="L408" s="9">
        <v>404</v>
      </c>
      <c r="M408" s="11">
        <f t="shared" ca="1" si="73"/>
        <v>4.1230107939114342</v>
      </c>
      <c r="N408" s="19">
        <f t="shared" ca="1" si="74"/>
        <v>1113.4053503791847</v>
      </c>
      <c r="O408" s="9">
        <f t="shared" ca="1" si="75"/>
        <v>2</v>
      </c>
      <c r="P408" s="9">
        <f t="shared" ca="1" si="76"/>
        <v>2</v>
      </c>
      <c r="Q408" s="11">
        <f t="shared" ca="1" si="77"/>
        <v>6.2578519359487457</v>
      </c>
      <c r="R408" s="11">
        <f t="shared" ca="1" si="78"/>
        <v>7.187182463817857</v>
      </c>
      <c r="S408" s="11" t="str">
        <f t="shared" ca="1" si="79"/>
        <v/>
      </c>
      <c r="T408" s="11">
        <f t="shared" ca="1" si="80"/>
        <v>1.6242664390234904</v>
      </c>
      <c r="V408" s="11">
        <f t="shared" ca="1" si="81"/>
        <v>0.84483161608964275</v>
      </c>
      <c r="W408" s="11">
        <f t="shared" ca="1" si="81"/>
        <v>0.99152177645104844</v>
      </c>
      <c r="X408" s="11">
        <f t="shared" ca="1" si="81"/>
        <v>0.61879221695049391</v>
      </c>
    </row>
    <row r="409" spans="12:24" x14ac:dyDescent="0.45">
      <c r="L409" s="9">
        <v>405</v>
      </c>
      <c r="M409" s="11">
        <f t="shared" ca="1" si="73"/>
        <v>1.3996200598963962</v>
      </c>
      <c r="N409" s="19">
        <f t="shared" ca="1" si="74"/>
        <v>819.448888183142</v>
      </c>
      <c r="O409" s="9">
        <f t="shared" ca="1" si="75"/>
        <v>2</v>
      </c>
      <c r="P409" s="9">
        <f t="shared" ca="1" si="76"/>
        <v>1</v>
      </c>
      <c r="Q409" s="11">
        <f t="shared" ca="1" si="77"/>
        <v>2.1654929750145104</v>
      </c>
      <c r="R409" s="11">
        <f t="shared" ca="1" si="78"/>
        <v>11.819432355075168</v>
      </c>
      <c r="S409" s="11">
        <f t="shared" ca="1" si="79"/>
        <v>0.65400328725511014</v>
      </c>
      <c r="T409" s="11">
        <f t="shared" ca="1" si="80"/>
        <v>0.90972772891545628</v>
      </c>
      <c r="V409" s="11">
        <f t="shared" ca="1" si="81"/>
        <v>0.65400328725511014</v>
      </c>
      <c r="W409" s="11">
        <f t="shared" ca="1" si="81"/>
        <v>0.57753624618220001</v>
      </c>
      <c r="X409" s="11">
        <f t="shared" ca="1" si="81"/>
        <v>0.54516671404921591</v>
      </c>
    </row>
    <row r="410" spans="12:24" x14ac:dyDescent="0.45">
      <c r="L410" s="9">
        <v>406</v>
      </c>
      <c r="M410" s="11">
        <f t="shared" ca="1" si="73"/>
        <v>1.5324760724426221</v>
      </c>
      <c r="N410" s="19">
        <f t="shared" ca="1" si="74"/>
        <v>963.52547854180511</v>
      </c>
      <c r="O410" s="9">
        <f t="shared" ca="1" si="75"/>
        <v>2</v>
      </c>
      <c r="P410" s="9">
        <f t="shared" ca="1" si="76"/>
        <v>1</v>
      </c>
      <c r="Q410" s="11">
        <f t="shared" ca="1" si="77"/>
        <v>3.7978927564016471</v>
      </c>
      <c r="R410" s="11">
        <f t="shared" ca="1" si="78"/>
        <v>12.003882308019504</v>
      </c>
      <c r="S410" s="11" t="str">
        <f t="shared" ca="1" si="79"/>
        <v/>
      </c>
      <c r="T410" s="11">
        <f t="shared" ca="1" si="80"/>
        <v>1.8181892818087007</v>
      </c>
      <c r="V410" s="11">
        <f t="shared" ca="1" si="81"/>
        <v>5.4090987984465211E-2</v>
      </c>
      <c r="W410" s="11">
        <f t="shared" ca="1" si="81"/>
        <v>0.43598091808588291</v>
      </c>
      <c r="X410" s="11">
        <f t="shared" ca="1" si="81"/>
        <v>9.7789624427477406E-2</v>
      </c>
    </row>
    <row r="411" spans="12:24" x14ac:dyDescent="0.45">
      <c r="L411" s="9">
        <v>407</v>
      </c>
      <c r="M411" s="11">
        <f t="shared" ca="1" si="73"/>
        <v>12.404764206137214</v>
      </c>
      <c r="N411" s="19">
        <f t="shared" ca="1" si="74"/>
        <v>186.9191862085822</v>
      </c>
      <c r="O411" s="9">
        <f t="shared" ca="1" si="75"/>
        <v>1</v>
      </c>
      <c r="P411" s="9">
        <f t="shared" ca="1" si="76"/>
        <v>2</v>
      </c>
      <c r="Q411" s="11">
        <f t="shared" ca="1" si="77"/>
        <v>2.6897033974250846</v>
      </c>
      <c r="R411" s="11">
        <f t="shared" ca="1" si="78"/>
        <v>8.6616762786467696</v>
      </c>
      <c r="S411" s="11">
        <f t="shared" ca="1" si="79"/>
        <v>0.71243410141347652</v>
      </c>
      <c r="T411" s="11">
        <f t="shared" ca="1" si="80"/>
        <v>3.5230597582473382</v>
      </c>
      <c r="V411" s="11">
        <f t="shared" ca="1" si="81"/>
        <v>0.71243410141347652</v>
      </c>
      <c r="W411" s="11">
        <f t="shared" ca="1" si="81"/>
        <v>0.57023839134625776</v>
      </c>
      <c r="X411" s="11">
        <f t="shared" ca="1" si="81"/>
        <v>0.84437561665331717</v>
      </c>
    </row>
    <row r="412" spans="12:24" x14ac:dyDescent="0.45">
      <c r="L412" s="9">
        <v>408</v>
      </c>
      <c r="M412" s="11">
        <f t="shared" ca="1" si="73"/>
        <v>1.9315095408589122</v>
      </c>
      <c r="N412" s="19">
        <f t="shared" ca="1" si="74"/>
        <v>623.81694924042858</v>
      </c>
      <c r="O412" s="9">
        <f t="shared" ca="1" si="75"/>
        <v>2</v>
      </c>
      <c r="P412" s="9">
        <f t="shared" ca="1" si="76"/>
        <v>3</v>
      </c>
      <c r="Q412" s="11">
        <f t="shared" ca="1" si="77"/>
        <v>10.167209527713869</v>
      </c>
      <c r="R412" s="11">
        <f t="shared" ca="1" si="78"/>
        <v>10.580286648876445</v>
      </c>
      <c r="S412" s="11" t="str">
        <f t="shared" ca="1" si="79"/>
        <v/>
      </c>
      <c r="T412" s="11">
        <f t="shared" ca="1" si="80"/>
        <v>2.0458866171840513</v>
      </c>
      <c r="V412" s="11">
        <f t="shared" ca="1" si="81"/>
        <v>0.34432477822013619</v>
      </c>
      <c r="W412" s="11">
        <f t="shared" ca="1" si="81"/>
        <v>0.94134609824061477</v>
      </c>
      <c r="X412" s="11">
        <f t="shared" ca="1" si="81"/>
        <v>0.17977590855496661</v>
      </c>
    </row>
    <row r="413" spans="12:24" x14ac:dyDescent="0.45">
      <c r="L413" s="9">
        <v>409</v>
      </c>
      <c r="M413" s="11">
        <f t="shared" ca="1" si="73"/>
        <v>4.7464619527855945</v>
      </c>
      <c r="N413" s="19">
        <f t="shared" ca="1" si="74"/>
        <v>592.87547312411607</v>
      </c>
      <c r="O413" s="9">
        <f t="shared" ca="1" si="75"/>
        <v>2</v>
      </c>
      <c r="P413" s="9">
        <f t="shared" ca="1" si="76"/>
        <v>2</v>
      </c>
      <c r="Q413" s="11">
        <f t="shared" ca="1" si="77"/>
        <v>3.8402827417857197</v>
      </c>
      <c r="R413" s="11">
        <f t="shared" ca="1" si="78"/>
        <v>11.055454808254831</v>
      </c>
      <c r="S413" s="11" t="str">
        <f t="shared" ca="1" si="79"/>
        <v/>
      </c>
      <c r="T413" s="11">
        <f t="shared" ca="1" si="80"/>
        <v>0.78751167543663991</v>
      </c>
      <c r="V413" s="11">
        <f t="shared" ca="1" si="81"/>
        <v>6.7008097892036544E-2</v>
      </c>
      <c r="W413" s="11">
        <f t="shared" ca="1" si="81"/>
        <v>0.39213263401376497</v>
      </c>
      <c r="X413" s="11">
        <f t="shared" ca="1" si="81"/>
        <v>0.99274460097028994</v>
      </c>
    </row>
    <row r="414" spans="12:24" x14ac:dyDescent="0.45">
      <c r="L414" s="9">
        <v>410</v>
      </c>
      <c r="M414" s="11">
        <f t="shared" ca="1" si="73"/>
        <v>7.157162971131946</v>
      </c>
      <c r="N414" s="19">
        <f t="shared" ca="1" si="74"/>
        <v>1162.8772194594421</v>
      </c>
      <c r="O414" s="9">
        <f t="shared" ca="1" si="75"/>
        <v>1</v>
      </c>
      <c r="P414" s="9">
        <f t="shared" ca="1" si="76"/>
        <v>3</v>
      </c>
      <c r="Q414" s="11">
        <f t="shared" ca="1" si="77"/>
        <v>2.3067647141413952</v>
      </c>
      <c r="R414" s="11">
        <f t="shared" ca="1" si="78"/>
        <v>11.031784958824222</v>
      </c>
      <c r="S414" s="11">
        <f t="shared" ca="1" si="79"/>
        <v>0.51086950440295387</v>
      </c>
      <c r="T414" s="11">
        <f t="shared" ca="1" si="80"/>
        <v>7.5297038929008367E-2</v>
      </c>
      <c r="V414" s="11">
        <f t="shared" ca="1" si="81"/>
        <v>0.51086950440295387</v>
      </c>
      <c r="W414" s="11">
        <f t="shared" ca="1" si="81"/>
        <v>0.60673725146455715</v>
      </c>
      <c r="X414" s="11">
        <f t="shared" ca="1" si="81"/>
        <v>0.35754398296590884</v>
      </c>
    </row>
    <row r="415" spans="12:24" x14ac:dyDescent="0.45">
      <c r="L415" s="9">
        <v>411</v>
      </c>
      <c r="M415" s="11">
        <f t="shared" ca="1" si="73"/>
        <v>1.2307391408956709</v>
      </c>
      <c r="N415" s="19">
        <f t="shared" ca="1" si="74"/>
        <v>1497.3655958117788</v>
      </c>
      <c r="O415" s="9">
        <f t="shared" ca="1" si="75"/>
        <v>2</v>
      </c>
      <c r="P415" s="9">
        <f t="shared" ca="1" si="76"/>
        <v>2</v>
      </c>
      <c r="Q415" s="11">
        <f t="shared" ca="1" si="77"/>
        <v>6.3507546692029972</v>
      </c>
      <c r="R415" s="11">
        <f t="shared" ca="1" si="78"/>
        <v>13.409956937314103</v>
      </c>
      <c r="S415" s="11">
        <f t="shared" ca="1" si="79"/>
        <v>0.69626375595031598</v>
      </c>
      <c r="T415" s="11">
        <f t="shared" ca="1" si="80"/>
        <v>0.77148930641502445</v>
      </c>
      <c r="V415" s="11">
        <f t="shared" ca="1" si="81"/>
        <v>0.69626375595031598</v>
      </c>
      <c r="W415" s="11">
        <f t="shared" ca="1" si="81"/>
        <v>0.2965487294211212</v>
      </c>
      <c r="X415" s="11">
        <f t="shared" ca="1" si="81"/>
        <v>0.42507621481557445</v>
      </c>
    </row>
    <row r="416" spans="12:24" x14ac:dyDescent="0.45">
      <c r="L416" s="9">
        <v>412</v>
      </c>
      <c r="M416" s="11">
        <f t="shared" ca="1" si="73"/>
        <v>6.7466232366821925</v>
      </c>
      <c r="N416" s="19">
        <f t="shared" ca="1" si="74"/>
        <v>1747.2826103219438</v>
      </c>
      <c r="O416" s="9">
        <f t="shared" ca="1" si="75"/>
        <v>1</v>
      </c>
      <c r="P416" s="9">
        <f t="shared" ca="1" si="76"/>
        <v>5</v>
      </c>
      <c r="Q416" s="11">
        <f t="shared" ca="1" si="77"/>
        <v>5.4926198312587609</v>
      </c>
      <c r="R416" s="11">
        <f t="shared" ca="1" si="78"/>
        <v>8.9155643502100013</v>
      </c>
      <c r="S416" s="11" t="str">
        <f t="shared" ca="1" si="79"/>
        <v/>
      </c>
      <c r="T416" s="11">
        <f t="shared" ca="1" si="80"/>
        <v>6.1199479848211755</v>
      </c>
      <c r="V416" s="11">
        <f t="shared" ca="1" si="81"/>
        <v>0.15859534483229165</v>
      </c>
      <c r="W416" s="11">
        <f t="shared" ca="1" si="81"/>
        <v>0.75920606970531734</v>
      </c>
      <c r="X416" s="11">
        <f t="shared" ca="1" si="81"/>
        <v>0.25209928543506555</v>
      </c>
    </row>
    <row r="417" spans="12:24" x14ac:dyDescent="0.45">
      <c r="L417" s="9">
        <v>413</v>
      </c>
      <c r="M417" s="11">
        <f t="shared" ca="1" si="73"/>
        <v>2.1425115699392356</v>
      </c>
      <c r="N417" s="19">
        <f t="shared" ca="1" si="74"/>
        <v>1109.8355170337761</v>
      </c>
      <c r="O417" s="9">
        <f t="shared" ca="1" si="75"/>
        <v>2</v>
      </c>
      <c r="P417" s="9">
        <f t="shared" ca="1" si="76"/>
        <v>4</v>
      </c>
      <c r="Q417" s="11">
        <f t="shared" ca="1" si="77"/>
        <v>6.3615796777762696</v>
      </c>
      <c r="R417" s="11">
        <f t="shared" ca="1" si="78"/>
        <v>14.09214737695201</v>
      </c>
      <c r="S417" s="11">
        <f t="shared" ca="1" si="79"/>
        <v>0.1784459546324042</v>
      </c>
      <c r="T417" s="11">
        <f t="shared" ca="1" si="80"/>
        <v>11.455580099529046</v>
      </c>
      <c r="V417" s="11">
        <f t="shared" ca="1" si="81"/>
        <v>0.1784459546324042</v>
      </c>
      <c r="W417" s="11">
        <f t="shared" ca="1" si="81"/>
        <v>0.49810123205641055</v>
      </c>
      <c r="X417" s="11">
        <f t="shared" ca="1" si="81"/>
        <v>0.85214904965602378</v>
      </c>
    </row>
    <row r="418" spans="12:24" x14ac:dyDescent="0.45">
      <c r="L418" s="9">
        <v>414</v>
      </c>
      <c r="M418" s="11">
        <f t="shared" ca="1" si="73"/>
        <v>7.1781449598291536</v>
      </c>
      <c r="N418" s="19">
        <f t="shared" ca="1" si="74"/>
        <v>974.31722048160248</v>
      </c>
      <c r="O418" s="9">
        <f t="shared" ca="1" si="75"/>
        <v>2</v>
      </c>
      <c r="P418" s="9">
        <f t="shared" ca="1" si="76"/>
        <v>4</v>
      </c>
      <c r="Q418" s="11">
        <f t="shared" ca="1" si="77"/>
        <v>5.8657536927260665</v>
      </c>
      <c r="R418" s="11">
        <f t="shared" ca="1" si="78"/>
        <v>8.8238406246167749</v>
      </c>
      <c r="S418" s="11">
        <f t="shared" ca="1" si="79"/>
        <v>0.51387845451532788</v>
      </c>
      <c r="T418" s="11">
        <f t="shared" ca="1" si="80"/>
        <v>5.6174960772175027</v>
      </c>
      <c r="V418" s="11">
        <f t="shared" ca="1" si="81"/>
        <v>0.51387845451532788</v>
      </c>
      <c r="W418" s="11">
        <f t="shared" ca="1" si="81"/>
        <v>0.64440878926940892</v>
      </c>
      <c r="X418" s="11">
        <f t="shared" ca="1" si="81"/>
        <v>0.96879097379040846</v>
      </c>
    </row>
    <row r="419" spans="12:24" x14ac:dyDescent="0.45">
      <c r="L419" s="9">
        <v>415</v>
      </c>
      <c r="M419" s="11">
        <f t="shared" ca="1" si="73"/>
        <v>4.2015498791579233</v>
      </c>
      <c r="N419" s="19">
        <f t="shared" ca="1" si="74"/>
        <v>230.43241852576006</v>
      </c>
      <c r="O419" s="9">
        <f t="shared" ca="1" si="75"/>
        <v>1</v>
      </c>
      <c r="P419" s="9">
        <f t="shared" ca="1" si="76"/>
        <v>4</v>
      </c>
      <c r="Q419" s="11">
        <f t="shared" ca="1" si="77"/>
        <v>2.0689136800950871</v>
      </c>
      <c r="R419" s="11">
        <f t="shared" ca="1" si="78"/>
        <v>13.895229643547468</v>
      </c>
      <c r="S419" s="11">
        <f t="shared" ca="1" si="79"/>
        <v>0.27825425143629756</v>
      </c>
      <c r="T419" s="11">
        <f t="shared" ca="1" si="80"/>
        <v>0.92097340741743783</v>
      </c>
      <c r="V419" s="11">
        <f t="shared" ca="1" si="81"/>
        <v>0.27825425143629756</v>
      </c>
      <c r="W419" s="11">
        <f t="shared" ca="1" si="81"/>
        <v>1.0635043624104057E-2</v>
      </c>
      <c r="X419" s="11">
        <f t="shared" ca="1" si="81"/>
        <v>3.5450762239045863E-2</v>
      </c>
    </row>
    <row r="420" spans="12:24" x14ac:dyDescent="0.45">
      <c r="L420" s="9">
        <v>416</v>
      </c>
      <c r="M420" s="11">
        <f t="shared" ca="1" si="73"/>
        <v>1.3933550837048085</v>
      </c>
      <c r="N420" s="19">
        <f t="shared" ca="1" si="74"/>
        <v>73.961587833637637</v>
      </c>
      <c r="O420" s="9">
        <f t="shared" ca="1" si="75"/>
        <v>1</v>
      </c>
      <c r="P420" s="9">
        <f t="shared" ca="1" si="76"/>
        <v>5</v>
      </c>
      <c r="Q420" s="11">
        <f t="shared" ca="1" si="77"/>
        <v>5.7355519234811938</v>
      </c>
      <c r="R420" s="11">
        <f t="shared" ca="1" si="78"/>
        <v>11.649661006909044</v>
      </c>
      <c r="S420" s="11">
        <f t="shared" ca="1" si="79"/>
        <v>0.80508001760616754</v>
      </c>
      <c r="T420" s="11">
        <f t="shared" ca="1" si="80"/>
        <v>0.39893411631395997</v>
      </c>
      <c r="V420" s="11">
        <f t="shared" ca="1" si="81"/>
        <v>0.80508001760616754</v>
      </c>
      <c r="W420" s="11">
        <f t="shared" ca="1" si="81"/>
        <v>0.43602901098778279</v>
      </c>
      <c r="X420" s="11">
        <f t="shared" ca="1" si="81"/>
        <v>0.5565163576239488</v>
      </c>
    </row>
    <row r="421" spans="12:24" x14ac:dyDescent="0.45">
      <c r="L421" s="9">
        <v>417</v>
      </c>
      <c r="M421" s="11">
        <f t="shared" ca="1" si="73"/>
        <v>2.8402210708070132</v>
      </c>
      <c r="N421" s="19">
        <f t="shared" ca="1" si="74"/>
        <v>1138.5466866195636</v>
      </c>
      <c r="O421" s="9">
        <f t="shared" ca="1" si="75"/>
        <v>4</v>
      </c>
      <c r="P421" s="9">
        <f t="shared" ca="1" si="76"/>
        <v>4</v>
      </c>
      <c r="Q421" s="11">
        <f t="shared" ca="1" si="77"/>
        <v>7.6643644228811603</v>
      </c>
      <c r="R421" s="11">
        <f t="shared" ca="1" si="78"/>
        <v>11.294386328645306</v>
      </c>
      <c r="S421" s="11">
        <f t="shared" ca="1" si="79"/>
        <v>6.4667849299457014E-2</v>
      </c>
      <c r="T421" s="11">
        <f t="shared" ca="1" si="80"/>
        <v>3.7537087655789412</v>
      </c>
      <c r="V421" s="11">
        <f t="shared" ca="1" si="81"/>
        <v>6.4667849299457014E-2</v>
      </c>
      <c r="W421" s="11">
        <f t="shared" ca="1" si="81"/>
        <v>0.14160892872568376</v>
      </c>
      <c r="X421" s="11">
        <f t="shared" ca="1" si="81"/>
        <v>0.51090064272064795</v>
      </c>
    </row>
    <row r="422" spans="12:24" x14ac:dyDescent="0.45">
      <c r="L422" s="9">
        <v>418</v>
      </c>
      <c r="M422" s="11">
        <f t="shared" ca="1" si="73"/>
        <v>1.0370596703431489</v>
      </c>
      <c r="N422" s="19">
        <f t="shared" ca="1" si="74"/>
        <v>1447.6089028830602</v>
      </c>
      <c r="O422" s="9">
        <f t="shared" ca="1" si="75"/>
        <v>1</v>
      </c>
      <c r="P422" s="9">
        <f t="shared" ca="1" si="76"/>
        <v>1</v>
      </c>
      <c r="Q422" s="11">
        <f t="shared" ca="1" si="77"/>
        <v>7.7967721251146571</v>
      </c>
      <c r="R422" s="11">
        <f t="shared" ca="1" si="78"/>
        <v>11.343646230212522</v>
      </c>
      <c r="S422" s="11" t="str">
        <f t="shared" ca="1" si="79"/>
        <v/>
      </c>
      <c r="T422" s="11">
        <f t="shared" ca="1" si="80"/>
        <v>0.85508649732631725</v>
      </c>
      <c r="V422" s="11">
        <f t="shared" ca="1" si="81"/>
        <v>0.11814164639105529</v>
      </c>
      <c r="W422" s="11">
        <f t="shared" ca="1" si="81"/>
        <v>0.90018242857650022</v>
      </c>
      <c r="X422" s="11">
        <f t="shared" ca="1" si="81"/>
        <v>0.55588240097686925</v>
      </c>
    </row>
    <row r="423" spans="12:24" x14ac:dyDescent="0.45">
      <c r="L423" s="9">
        <v>419</v>
      </c>
      <c r="M423" s="11">
        <f t="shared" ca="1" si="73"/>
        <v>5.9388706989411624</v>
      </c>
      <c r="N423" s="19">
        <f t="shared" ca="1" si="74"/>
        <v>98.22547777702259</v>
      </c>
      <c r="O423" s="9">
        <f t="shared" ca="1" si="75"/>
        <v>1</v>
      </c>
      <c r="P423" s="9">
        <f t="shared" ca="1" si="76"/>
        <v>2</v>
      </c>
      <c r="Q423" s="11">
        <f t="shared" ca="1" si="77"/>
        <v>3.6172436213439036</v>
      </c>
      <c r="R423" s="11">
        <f t="shared" ca="1" si="78"/>
        <v>11.026315394978068</v>
      </c>
      <c r="S423" s="11">
        <f t="shared" ca="1" si="79"/>
        <v>0.20987398730904505</v>
      </c>
      <c r="T423" s="11">
        <f t="shared" ca="1" si="80"/>
        <v>3.0640602425002275</v>
      </c>
      <c r="V423" s="11">
        <f t="shared" ca="1" si="81"/>
        <v>0.20987398730904505</v>
      </c>
      <c r="W423" s="11">
        <f t="shared" ca="1" si="81"/>
        <v>0.58801942584262801</v>
      </c>
      <c r="X423" s="11">
        <f t="shared" ca="1" si="81"/>
        <v>0.37254233930694491</v>
      </c>
    </row>
    <row r="424" spans="12:24" x14ac:dyDescent="0.45">
      <c r="L424" s="9">
        <v>420</v>
      </c>
      <c r="M424" s="11">
        <f t="shared" ca="1" si="73"/>
        <v>2.556841527188578</v>
      </c>
      <c r="N424" s="19">
        <f t="shared" ca="1" si="74"/>
        <v>774.8869980088283</v>
      </c>
      <c r="O424" s="9">
        <f t="shared" ca="1" si="75"/>
        <v>1</v>
      </c>
      <c r="P424" s="9">
        <f t="shared" ca="1" si="76"/>
        <v>3</v>
      </c>
      <c r="Q424" s="11">
        <f t="shared" ca="1" si="77"/>
        <v>11.284023227244642</v>
      </c>
      <c r="R424" s="11">
        <f t="shared" ca="1" si="78"/>
        <v>7.8641630413226409</v>
      </c>
      <c r="S424" s="11">
        <f t="shared" ca="1" si="79"/>
        <v>0.46252502929419903</v>
      </c>
      <c r="T424" s="11">
        <f t="shared" ca="1" si="80"/>
        <v>7.0218797515014613</v>
      </c>
      <c r="V424" s="11">
        <f t="shared" ca="1" si="81"/>
        <v>0.46252502929419903</v>
      </c>
      <c r="W424" s="11">
        <f t="shared" ca="1" si="81"/>
        <v>0.61595669673467091</v>
      </c>
      <c r="X424" s="11">
        <f t="shared" ca="1" si="81"/>
        <v>0.87224369496155763</v>
      </c>
    </row>
    <row r="425" spans="12:24" x14ac:dyDescent="0.45">
      <c r="L425" s="9">
        <v>421</v>
      </c>
      <c r="M425" s="11">
        <f t="shared" ca="1" si="73"/>
        <v>3.5691152455042001</v>
      </c>
      <c r="N425" s="19">
        <f t="shared" ca="1" si="74"/>
        <v>921.17985532540615</v>
      </c>
      <c r="O425" s="9">
        <f t="shared" ca="1" si="75"/>
        <v>1</v>
      </c>
      <c r="P425" s="9">
        <f t="shared" ca="1" si="76"/>
        <v>4</v>
      </c>
      <c r="Q425" s="11">
        <f t="shared" ca="1" si="77"/>
        <v>4.1739351933944286</v>
      </c>
      <c r="R425" s="11">
        <f t="shared" ca="1" si="78"/>
        <v>13.15835190976266</v>
      </c>
      <c r="S425" s="11">
        <f t="shared" ca="1" si="79"/>
        <v>0.15506637001000878</v>
      </c>
      <c r="T425" s="11">
        <f t="shared" ca="1" si="80"/>
        <v>2.5075151108713918</v>
      </c>
      <c r="V425" s="11">
        <f t="shared" ref="V425:X444" ca="1" si="82">RAND()</f>
        <v>0.15506637001000878</v>
      </c>
      <c r="W425" s="11">
        <f t="shared" ca="1" si="82"/>
        <v>0.40609812451218597</v>
      </c>
      <c r="X425" s="11">
        <f t="shared" ca="1" si="82"/>
        <v>0.83964303135659446</v>
      </c>
    </row>
    <row r="426" spans="12:24" x14ac:dyDescent="0.45">
      <c r="L426" s="9">
        <v>422</v>
      </c>
      <c r="M426" s="11">
        <f t="shared" ca="1" si="73"/>
        <v>3.6430204096807062</v>
      </c>
      <c r="N426" s="19">
        <f t="shared" ca="1" si="74"/>
        <v>1016.4396794614997</v>
      </c>
      <c r="O426" s="9">
        <f t="shared" ca="1" si="75"/>
        <v>2</v>
      </c>
      <c r="P426" s="9">
        <f t="shared" ca="1" si="76"/>
        <v>6</v>
      </c>
      <c r="Q426" s="11">
        <f t="shared" ca="1" si="77"/>
        <v>2.2135640446200888</v>
      </c>
      <c r="R426" s="11">
        <f t="shared" ca="1" si="78"/>
        <v>10.835227586316627</v>
      </c>
      <c r="S426" s="11" t="str">
        <f t="shared" ca="1" si="79"/>
        <v/>
      </c>
      <c r="T426" s="11">
        <f t="shared" ca="1" si="80"/>
        <v>2.1938921095800445</v>
      </c>
      <c r="V426" s="11">
        <f t="shared" ca="1" si="82"/>
        <v>0.93793292387596061</v>
      </c>
      <c r="W426" s="11">
        <f t="shared" ca="1" si="82"/>
        <v>0.41381144970574346</v>
      </c>
      <c r="X426" s="11">
        <f t="shared" ca="1" si="82"/>
        <v>0.17600348714036107</v>
      </c>
    </row>
    <row r="427" spans="12:24" x14ac:dyDescent="0.45">
      <c r="L427" s="9">
        <v>423</v>
      </c>
      <c r="M427" s="11">
        <f t="shared" ca="1" si="73"/>
        <v>0.13304931058291547</v>
      </c>
      <c r="N427" s="19">
        <f t="shared" ca="1" si="74"/>
        <v>1382.0407930449808</v>
      </c>
      <c r="O427" s="9">
        <f t="shared" ca="1" si="75"/>
        <v>1</v>
      </c>
      <c r="P427" s="9">
        <f t="shared" ca="1" si="76"/>
        <v>2</v>
      </c>
      <c r="Q427" s="11">
        <f t="shared" ca="1" si="77"/>
        <v>5.6094903980942368</v>
      </c>
      <c r="R427" s="11">
        <f t="shared" ca="1" si="78"/>
        <v>11.890768460244368</v>
      </c>
      <c r="S427" s="11">
        <f t="shared" ca="1" si="79"/>
        <v>0.42648627017602336</v>
      </c>
      <c r="T427" s="11">
        <f t="shared" ca="1" si="80"/>
        <v>11.653570831872775</v>
      </c>
      <c r="V427" s="11">
        <f t="shared" ca="1" si="82"/>
        <v>0.42648627017602336</v>
      </c>
      <c r="W427" s="11">
        <f t="shared" ca="1" si="82"/>
        <v>0.58211060244738044</v>
      </c>
      <c r="X427" s="11">
        <f t="shared" ca="1" si="82"/>
        <v>0.28631347168805032</v>
      </c>
    </row>
    <row r="428" spans="12:24" x14ac:dyDescent="0.45">
      <c r="L428" s="9">
        <v>424</v>
      </c>
      <c r="M428" s="11">
        <f t="shared" ca="1" si="73"/>
        <v>2.8663607654943312E-2</v>
      </c>
      <c r="N428" s="19">
        <f t="shared" ca="1" si="74"/>
        <v>1737.8791734686226</v>
      </c>
      <c r="O428" s="9">
        <f t="shared" ca="1" si="75"/>
        <v>3</v>
      </c>
      <c r="P428" s="9">
        <f t="shared" ca="1" si="76"/>
        <v>5</v>
      </c>
      <c r="Q428" s="11">
        <f t="shared" ca="1" si="77"/>
        <v>7.8693579063668473</v>
      </c>
      <c r="R428" s="11">
        <f t="shared" ca="1" si="78"/>
        <v>12.209496560111642</v>
      </c>
      <c r="S428" s="11">
        <f t="shared" ca="1" si="79"/>
        <v>0.16496369383659892</v>
      </c>
      <c r="T428" s="11">
        <f t="shared" ca="1" si="80"/>
        <v>9.8152584678113612</v>
      </c>
      <c r="V428" s="11">
        <f t="shared" ca="1" si="82"/>
        <v>0.16496369383659892</v>
      </c>
      <c r="W428" s="11">
        <f t="shared" ca="1" si="82"/>
        <v>0.27871298344788564</v>
      </c>
      <c r="X428" s="11">
        <f t="shared" ca="1" si="82"/>
        <v>0.8847313687675179</v>
      </c>
    </row>
    <row r="429" spans="12:24" x14ac:dyDescent="0.45">
      <c r="L429" s="9">
        <v>425</v>
      </c>
      <c r="M429" s="11">
        <f t="shared" ca="1" si="73"/>
        <v>4.0074304372003589</v>
      </c>
      <c r="N429" s="19">
        <f t="shared" ca="1" si="74"/>
        <v>1400.5554418479301</v>
      </c>
      <c r="O429" s="9">
        <f t="shared" ca="1" si="75"/>
        <v>2</v>
      </c>
      <c r="P429" s="9">
        <f t="shared" ca="1" si="76"/>
        <v>1</v>
      </c>
      <c r="Q429" s="11">
        <f t="shared" ca="1" si="77"/>
        <v>0.83950188621111999</v>
      </c>
      <c r="R429" s="11">
        <f t="shared" ca="1" si="78"/>
        <v>9.7293209427947627</v>
      </c>
      <c r="S429" s="11" t="str">
        <f t="shared" ca="1" si="79"/>
        <v/>
      </c>
      <c r="T429" s="11">
        <f t="shared" ca="1" si="80"/>
        <v>9.0974600387240923</v>
      </c>
      <c r="V429" s="11">
        <f t="shared" ca="1" si="82"/>
        <v>0.90353612460095734</v>
      </c>
      <c r="W429" s="11">
        <f t="shared" ca="1" si="82"/>
        <v>0.54301993412537419</v>
      </c>
      <c r="X429" s="11">
        <f t="shared" ca="1" si="82"/>
        <v>0.92334122267687213</v>
      </c>
    </row>
    <row r="430" spans="12:24" x14ac:dyDescent="0.45">
      <c r="L430" s="9">
        <v>426</v>
      </c>
      <c r="M430" s="11">
        <f t="shared" ca="1" si="73"/>
        <v>1.5645560631929345</v>
      </c>
      <c r="N430" s="19">
        <f t="shared" ca="1" si="74"/>
        <v>685.12044835239396</v>
      </c>
      <c r="O430" s="9">
        <f t="shared" ca="1" si="75"/>
        <v>1</v>
      </c>
      <c r="P430" s="9">
        <f t="shared" ca="1" si="76"/>
        <v>4</v>
      </c>
      <c r="Q430" s="11">
        <f t="shared" ca="1" si="77"/>
        <v>10.102995825877803</v>
      </c>
      <c r="R430" s="11">
        <f t="shared" ca="1" si="78"/>
        <v>8.0810983515105548</v>
      </c>
      <c r="S430" s="11" t="str">
        <f t="shared" ca="1" si="79"/>
        <v/>
      </c>
      <c r="T430" s="11">
        <f t="shared" ca="1" si="80"/>
        <v>1.4024804885994917</v>
      </c>
      <c r="V430" s="11">
        <f t="shared" ca="1" si="82"/>
        <v>0.32659511542922104</v>
      </c>
      <c r="W430" s="11">
        <f t="shared" ca="1" si="82"/>
        <v>0.97110844893683301</v>
      </c>
      <c r="X430" s="11">
        <f t="shared" ca="1" si="82"/>
        <v>0.28684776699312187</v>
      </c>
    </row>
    <row r="431" spans="12:24" x14ac:dyDescent="0.45">
      <c r="L431" s="9">
        <v>427</v>
      </c>
      <c r="M431" s="11">
        <f t="shared" ca="1" si="73"/>
        <v>1.509893315362115</v>
      </c>
      <c r="N431" s="19">
        <f t="shared" ca="1" si="74"/>
        <v>260.48837936453918</v>
      </c>
      <c r="O431" s="9">
        <f t="shared" ca="1" si="75"/>
        <v>1</v>
      </c>
      <c r="P431" s="9">
        <f t="shared" ca="1" si="76"/>
        <v>4</v>
      </c>
      <c r="Q431" s="11">
        <f t="shared" ca="1" si="77"/>
        <v>1.3299021244153255</v>
      </c>
      <c r="R431" s="11">
        <f t="shared" ca="1" si="78"/>
        <v>9.4596988277943481</v>
      </c>
      <c r="S431" s="11">
        <f t="shared" ca="1" si="79"/>
        <v>0.63078162173956598</v>
      </c>
      <c r="T431" s="11">
        <f t="shared" ca="1" si="80"/>
        <v>0.62064323123949505</v>
      </c>
      <c r="V431" s="11">
        <f t="shared" ca="1" si="82"/>
        <v>0.63078162173956598</v>
      </c>
      <c r="W431" s="11">
        <f t="shared" ca="1" si="82"/>
        <v>0.69460315789308635</v>
      </c>
      <c r="X431" s="11">
        <f t="shared" ca="1" si="82"/>
        <v>0.11218244114038345</v>
      </c>
    </row>
    <row r="432" spans="12:24" x14ac:dyDescent="0.45">
      <c r="L432" s="9">
        <v>428</v>
      </c>
      <c r="M432" s="11">
        <f t="shared" ca="1" si="73"/>
        <v>4.1332309797595226</v>
      </c>
      <c r="N432" s="19">
        <f t="shared" ca="1" si="74"/>
        <v>963.02689770859206</v>
      </c>
      <c r="O432" s="9">
        <f t="shared" ca="1" si="75"/>
        <v>1</v>
      </c>
      <c r="P432" s="9">
        <f t="shared" ca="1" si="76"/>
        <v>4</v>
      </c>
      <c r="Q432" s="11">
        <f t="shared" ca="1" si="77"/>
        <v>9.2114101160545054</v>
      </c>
      <c r="R432" s="11">
        <f t="shared" ca="1" si="78"/>
        <v>9.4855320764279547</v>
      </c>
      <c r="S432" s="11" t="str">
        <f t="shared" ca="1" si="79"/>
        <v/>
      </c>
      <c r="T432" s="11">
        <f t="shared" ca="1" si="80"/>
        <v>0.50466005091878274</v>
      </c>
      <c r="V432" s="11">
        <f t="shared" ca="1" si="82"/>
        <v>4.3624523795967374E-2</v>
      </c>
      <c r="W432" s="11">
        <f t="shared" ca="1" si="82"/>
        <v>0.5765355177070367</v>
      </c>
      <c r="X432" s="11">
        <f t="shared" ca="1" si="82"/>
        <v>0.26582904013341457</v>
      </c>
    </row>
    <row r="433" spans="12:24" x14ac:dyDescent="0.45">
      <c r="L433" s="9">
        <v>429</v>
      </c>
      <c r="M433" s="11">
        <f t="shared" ca="1" si="73"/>
        <v>4.8502102348568066</v>
      </c>
      <c r="N433" s="19">
        <f t="shared" ca="1" si="74"/>
        <v>989.8696250836141</v>
      </c>
      <c r="O433" s="9">
        <f t="shared" ca="1" si="75"/>
        <v>2</v>
      </c>
      <c r="P433" s="9">
        <f t="shared" ca="1" si="76"/>
        <v>2</v>
      </c>
      <c r="Q433" s="11">
        <f t="shared" ca="1" si="77"/>
        <v>2.1598246769759974</v>
      </c>
      <c r="R433" s="11">
        <f t="shared" ca="1" si="78"/>
        <v>8.9621551509527571</v>
      </c>
      <c r="S433" s="11">
        <f t="shared" ca="1" si="79"/>
        <v>0.43929119111832604</v>
      </c>
      <c r="T433" s="11">
        <f t="shared" ca="1" si="80"/>
        <v>4.0925984457264777</v>
      </c>
      <c r="V433" s="11">
        <f t="shared" ca="1" si="82"/>
        <v>0.43929119111832604</v>
      </c>
      <c r="W433" s="11">
        <f t="shared" ca="1" si="82"/>
        <v>0.27982580293600656</v>
      </c>
      <c r="X433" s="11">
        <f t="shared" ca="1" si="82"/>
        <v>0.35192516708301091</v>
      </c>
    </row>
    <row r="434" spans="12:24" x14ac:dyDescent="0.45">
      <c r="L434" s="9">
        <v>430</v>
      </c>
      <c r="M434" s="11">
        <f t="shared" ca="1" si="73"/>
        <v>4.2430719341910379</v>
      </c>
      <c r="N434" s="19">
        <f t="shared" ca="1" si="74"/>
        <v>570.07574518570209</v>
      </c>
      <c r="O434" s="9">
        <f t="shared" ca="1" si="75"/>
        <v>1</v>
      </c>
      <c r="P434" s="9">
        <f t="shared" ca="1" si="76"/>
        <v>1</v>
      </c>
      <c r="Q434" s="11">
        <f t="shared" ca="1" si="77"/>
        <v>13.098931994637427</v>
      </c>
      <c r="R434" s="11">
        <f t="shared" ca="1" si="78"/>
        <v>11.984740053062588</v>
      </c>
      <c r="S434" s="11">
        <f t="shared" ca="1" si="79"/>
        <v>0.37188837990255619</v>
      </c>
      <c r="T434" s="11">
        <f t="shared" ca="1" si="80"/>
        <v>3.7944811381416463</v>
      </c>
      <c r="V434" s="11">
        <f t="shared" ca="1" si="82"/>
        <v>0.37188837990255619</v>
      </c>
      <c r="W434" s="11">
        <f t="shared" ca="1" si="82"/>
        <v>0.56417692084512694</v>
      </c>
      <c r="X434" s="11">
        <f t="shared" ca="1" si="82"/>
        <v>0.45998028665655755</v>
      </c>
    </row>
    <row r="435" spans="12:24" x14ac:dyDescent="0.45">
      <c r="L435" s="9">
        <v>431</v>
      </c>
      <c r="M435" s="11">
        <f t="shared" ca="1" si="73"/>
        <v>1.0755820572098678</v>
      </c>
      <c r="N435" s="19">
        <f t="shared" ca="1" si="74"/>
        <v>1177.507879488134</v>
      </c>
      <c r="O435" s="9">
        <f t="shared" ca="1" si="75"/>
        <v>2</v>
      </c>
      <c r="P435" s="9">
        <f t="shared" ca="1" si="76"/>
        <v>3</v>
      </c>
      <c r="Q435" s="11">
        <f t="shared" ca="1" si="77"/>
        <v>7.1608251971639065</v>
      </c>
      <c r="R435" s="11">
        <f t="shared" ca="1" si="78"/>
        <v>12.445417125713586</v>
      </c>
      <c r="S435" s="11">
        <f t="shared" ca="1" si="79"/>
        <v>0.31576892123633415</v>
      </c>
      <c r="T435" s="11">
        <f t="shared" ca="1" si="80"/>
        <v>1.8601233240171668</v>
      </c>
      <c r="V435" s="11">
        <f t="shared" ca="1" si="82"/>
        <v>0.31576892123633415</v>
      </c>
      <c r="W435" s="11">
        <f t="shared" ca="1" si="82"/>
        <v>9.6375509371485202E-2</v>
      </c>
      <c r="X435" s="11">
        <f t="shared" ca="1" si="82"/>
        <v>5.2876900862721121E-2</v>
      </c>
    </row>
    <row r="436" spans="12:24" x14ac:dyDescent="0.45">
      <c r="L436" s="9">
        <v>432</v>
      </c>
      <c r="M436" s="11">
        <f t="shared" ca="1" si="73"/>
        <v>6.8292595140197214</v>
      </c>
      <c r="N436" s="19">
        <f t="shared" ca="1" si="74"/>
        <v>376.91387015672689</v>
      </c>
      <c r="O436" s="9">
        <f t="shared" ca="1" si="75"/>
        <v>2</v>
      </c>
      <c r="P436" s="9">
        <f t="shared" ca="1" si="76"/>
        <v>2</v>
      </c>
      <c r="Q436" s="11">
        <f t="shared" ca="1" si="77"/>
        <v>5.7646945370465374</v>
      </c>
      <c r="R436" s="11">
        <f t="shared" ca="1" si="78"/>
        <v>9.3054573201769273</v>
      </c>
      <c r="S436" s="11">
        <f t="shared" ca="1" si="79"/>
        <v>0.58359222105889097</v>
      </c>
      <c r="T436" s="11">
        <f t="shared" ca="1" si="80"/>
        <v>8.2302341572926693E-2</v>
      </c>
      <c r="V436" s="11">
        <f t="shared" ca="1" si="82"/>
        <v>0.58359222105889097</v>
      </c>
      <c r="W436" s="11">
        <f t="shared" ca="1" si="82"/>
        <v>0.52438086642057913</v>
      </c>
      <c r="X436" s="11">
        <f t="shared" ca="1" si="82"/>
        <v>0.15294880145521439</v>
      </c>
    </row>
    <row r="437" spans="12:24" x14ac:dyDescent="0.45">
      <c r="L437" s="9">
        <v>433</v>
      </c>
      <c r="M437" s="11">
        <f t="shared" ca="1" si="73"/>
        <v>2.4551599196672802</v>
      </c>
      <c r="N437" s="19">
        <f t="shared" ca="1" si="74"/>
        <v>1405.2032792131743</v>
      </c>
      <c r="O437" s="9">
        <f t="shared" ca="1" si="75"/>
        <v>3</v>
      </c>
      <c r="P437" s="9">
        <f t="shared" ca="1" si="76"/>
        <v>3</v>
      </c>
      <c r="Q437" s="11">
        <f t="shared" ca="1" si="77"/>
        <v>12.532646934309806</v>
      </c>
      <c r="R437" s="11">
        <f t="shared" ca="1" si="78"/>
        <v>14.417333001215582</v>
      </c>
      <c r="S437" s="11">
        <f t="shared" ca="1" si="79"/>
        <v>0.31298340501728217</v>
      </c>
      <c r="T437" s="11">
        <f t="shared" ca="1" si="80"/>
        <v>12.472162484873065</v>
      </c>
      <c r="V437" s="11">
        <f t="shared" ca="1" si="82"/>
        <v>0.31298340501728217</v>
      </c>
      <c r="W437" s="11">
        <f t="shared" ca="1" si="82"/>
        <v>0.27605502564780715</v>
      </c>
      <c r="X437" s="11">
        <f t="shared" ca="1" si="82"/>
        <v>0.73802650193821395</v>
      </c>
    </row>
    <row r="438" spans="12:24" x14ac:dyDescent="0.45">
      <c r="L438" s="9">
        <v>434</v>
      </c>
      <c r="M438" s="11">
        <f t="shared" ca="1" si="73"/>
        <v>9.9506858415187285</v>
      </c>
      <c r="N438" s="19">
        <f t="shared" ca="1" si="74"/>
        <v>199.51977016547266</v>
      </c>
      <c r="O438" s="9">
        <f t="shared" ca="1" si="75"/>
        <v>3</v>
      </c>
      <c r="P438" s="9">
        <f t="shared" ca="1" si="76"/>
        <v>0</v>
      </c>
      <c r="Q438" s="11">
        <f t="shared" ca="1" si="77"/>
        <v>4.8147541779440477</v>
      </c>
      <c r="R438" s="11">
        <f t="shared" ca="1" si="78"/>
        <v>11.338238091929593</v>
      </c>
      <c r="S438" s="11">
        <f t="shared" ca="1" si="79"/>
        <v>0.44248045007751113</v>
      </c>
      <c r="T438" s="11">
        <f t="shared" ca="1" si="80"/>
        <v>1.0267656054645347</v>
      </c>
      <c r="V438" s="11">
        <f t="shared" ca="1" si="82"/>
        <v>0.44248045007751113</v>
      </c>
      <c r="W438" s="11">
        <f t="shared" ca="1" si="82"/>
        <v>0.45759320228699496</v>
      </c>
      <c r="X438" s="11">
        <f t="shared" ca="1" si="82"/>
        <v>0.48098617031377411</v>
      </c>
    </row>
    <row r="439" spans="12:24" x14ac:dyDescent="0.45">
      <c r="L439" s="9">
        <v>435</v>
      </c>
      <c r="M439" s="11">
        <f t="shared" ca="1" si="73"/>
        <v>6.9833173034313285</v>
      </c>
      <c r="N439" s="19">
        <f t="shared" ca="1" si="74"/>
        <v>967.52554359948533</v>
      </c>
      <c r="O439" s="9">
        <f t="shared" ca="1" si="75"/>
        <v>2</v>
      </c>
      <c r="P439" s="9">
        <f t="shared" ca="1" si="76"/>
        <v>3</v>
      </c>
      <c r="Q439" s="11">
        <f t="shared" ca="1" si="77"/>
        <v>1.7144162963934917</v>
      </c>
      <c r="R439" s="11">
        <f t="shared" ca="1" si="78"/>
        <v>9.2042139325889138</v>
      </c>
      <c r="S439" s="11">
        <f t="shared" ca="1" si="79"/>
        <v>0.45432620903905618</v>
      </c>
      <c r="T439" s="11">
        <f t="shared" ca="1" si="80"/>
        <v>2.9169469778074357</v>
      </c>
      <c r="V439" s="11">
        <f t="shared" ca="1" si="82"/>
        <v>0.45432620903905618</v>
      </c>
      <c r="W439" s="11">
        <f t="shared" ca="1" si="82"/>
        <v>0.11479418608265224</v>
      </c>
      <c r="X439" s="11">
        <f t="shared" ca="1" si="82"/>
        <v>0.88891800962865086</v>
      </c>
    </row>
    <row r="440" spans="12:24" x14ac:dyDescent="0.45">
      <c r="L440" s="9">
        <v>436</v>
      </c>
      <c r="M440" s="11">
        <f t="shared" ca="1" si="73"/>
        <v>5.7541923660177927</v>
      </c>
      <c r="N440" s="19">
        <f t="shared" ca="1" si="74"/>
        <v>883.89050694822754</v>
      </c>
      <c r="O440" s="9">
        <f t="shared" ca="1" si="75"/>
        <v>2</v>
      </c>
      <c r="P440" s="9">
        <f t="shared" ca="1" si="76"/>
        <v>3</v>
      </c>
      <c r="Q440" s="11">
        <f t="shared" ca="1" si="77"/>
        <v>3.7245237045693709</v>
      </c>
      <c r="R440" s="11">
        <f t="shared" ca="1" si="78"/>
        <v>8.8731397002236356</v>
      </c>
      <c r="S440" s="11" t="str">
        <f t="shared" ca="1" si="79"/>
        <v/>
      </c>
      <c r="T440" s="11">
        <f t="shared" ca="1" si="80"/>
        <v>2.1961366401799927</v>
      </c>
      <c r="V440" s="11">
        <f t="shared" ca="1" si="82"/>
        <v>0.88471130607383031</v>
      </c>
      <c r="W440" s="11">
        <f t="shared" ca="1" si="82"/>
        <v>0.70370540798262904</v>
      </c>
      <c r="X440" s="11">
        <f t="shared" ca="1" si="82"/>
        <v>0.6630797413162165</v>
      </c>
    </row>
    <row r="441" spans="12:24" x14ac:dyDescent="0.45">
      <c r="L441" s="9">
        <v>437</v>
      </c>
      <c r="M441" s="11">
        <f t="shared" ca="1" si="73"/>
        <v>1.4749274304073885</v>
      </c>
      <c r="N441" s="19">
        <f t="shared" ca="1" si="74"/>
        <v>828.15129508649898</v>
      </c>
      <c r="O441" s="9">
        <f t="shared" ca="1" si="75"/>
        <v>3</v>
      </c>
      <c r="P441" s="9">
        <f t="shared" ca="1" si="76"/>
        <v>2</v>
      </c>
      <c r="Q441" s="11">
        <f t="shared" ca="1" si="77"/>
        <v>2.4054686417111184</v>
      </c>
      <c r="R441" s="11">
        <f t="shared" ca="1" si="78"/>
        <v>6.5076677792489726</v>
      </c>
      <c r="S441" s="11" t="str">
        <f t="shared" ca="1" si="79"/>
        <v/>
      </c>
      <c r="T441" s="11">
        <f t="shared" ca="1" si="80"/>
        <v>2.2987382439212225</v>
      </c>
      <c r="V441" s="11">
        <f t="shared" ca="1" si="82"/>
        <v>0.52516816035079861</v>
      </c>
      <c r="W441" s="11">
        <f t="shared" ca="1" si="82"/>
        <v>0.99815117825322641</v>
      </c>
      <c r="X441" s="11">
        <f t="shared" ca="1" si="82"/>
        <v>0.63018622226044141</v>
      </c>
    </row>
    <row r="442" spans="12:24" x14ac:dyDescent="0.45">
      <c r="L442" s="9">
        <v>438</v>
      </c>
      <c r="M442" s="11">
        <f t="shared" ca="1" si="73"/>
        <v>0.56272772030065588</v>
      </c>
      <c r="N442" s="19">
        <f t="shared" ca="1" si="74"/>
        <v>411.67035427470529</v>
      </c>
      <c r="O442" s="9">
        <f t="shared" ca="1" si="75"/>
        <v>1</v>
      </c>
      <c r="P442" s="9">
        <f t="shared" ca="1" si="76"/>
        <v>4</v>
      </c>
      <c r="Q442" s="11">
        <f t="shared" ca="1" si="77"/>
        <v>5.8054590441773151</v>
      </c>
      <c r="R442" s="11">
        <f t="shared" ca="1" si="78"/>
        <v>6.4312900519656679</v>
      </c>
      <c r="S442" s="11" t="str">
        <f t="shared" ca="1" si="79"/>
        <v/>
      </c>
      <c r="T442" s="11">
        <f t="shared" ca="1" si="80"/>
        <v>2.2618292857915803</v>
      </c>
      <c r="V442" s="11">
        <f t="shared" ca="1" si="82"/>
        <v>0.85827420937193177</v>
      </c>
      <c r="W442" s="11">
        <f t="shared" ca="1" si="82"/>
        <v>0.95822152732191324</v>
      </c>
      <c r="X442" s="11">
        <f t="shared" ca="1" si="82"/>
        <v>0.81866189470835693</v>
      </c>
    </row>
    <row r="443" spans="12:24" x14ac:dyDescent="0.45">
      <c r="L443" s="9">
        <v>439</v>
      </c>
      <c r="M443" s="11">
        <f t="shared" ca="1" si="73"/>
        <v>0.16841510364344456</v>
      </c>
      <c r="N443" s="19">
        <f t="shared" ca="1" si="74"/>
        <v>403.16564517881091</v>
      </c>
      <c r="O443" s="9">
        <f t="shared" ca="1" si="75"/>
        <v>1</v>
      </c>
      <c r="P443" s="9">
        <f t="shared" ca="1" si="76"/>
        <v>3</v>
      </c>
      <c r="Q443" s="11">
        <f t="shared" ca="1" si="77"/>
        <v>4.3443161124416392</v>
      </c>
      <c r="R443" s="11">
        <f t="shared" ca="1" si="78"/>
        <v>9.9790060081796064</v>
      </c>
      <c r="S443" s="11">
        <f t="shared" ca="1" si="79"/>
        <v>0.21968286469775167</v>
      </c>
      <c r="T443" s="11">
        <f t="shared" ca="1" si="80"/>
        <v>6.9846713877996054</v>
      </c>
      <c r="V443" s="11">
        <f t="shared" ca="1" si="82"/>
        <v>0.21968286469775167</v>
      </c>
      <c r="W443" s="11">
        <f t="shared" ca="1" si="82"/>
        <v>0.24217153720321727</v>
      </c>
      <c r="X443" s="11">
        <f t="shared" ca="1" si="82"/>
        <v>0.85267467170266775</v>
      </c>
    </row>
    <row r="444" spans="12:24" x14ac:dyDescent="0.45">
      <c r="L444" s="9">
        <v>440</v>
      </c>
      <c r="M444" s="11">
        <f t="shared" ca="1" si="73"/>
        <v>5.9289060782639638</v>
      </c>
      <c r="N444" s="19">
        <f t="shared" ca="1" si="74"/>
        <v>315.190326152225</v>
      </c>
      <c r="O444" s="9">
        <f t="shared" ca="1" si="75"/>
        <v>1</v>
      </c>
      <c r="P444" s="9">
        <f t="shared" ca="1" si="76"/>
        <v>1</v>
      </c>
      <c r="Q444" s="11">
        <f t="shared" ca="1" si="77"/>
        <v>3.2615153593837145</v>
      </c>
      <c r="R444" s="11">
        <f t="shared" ca="1" si="78"/>
        <v>11.092176740119054</v>
      </c>
      <c r="S444" s="11" t="str">
        <f t="shared" ca="1" si="79"/>
        <v/>
      </c>
      <c r="T444" s="11">
        <f t="shared" ca="1" si="80"/>
        <v>0.34288050337734605</v>
      </c>
      <c r="V444" s="11">
        <f t="shared" ca="1" si="82"/>
        <v>0.17955999177872939</v>
      </c>
      <c r="W444" s="11">
        <f t="shared" ca="1" si="82"/>
        <v>0.6335480635032158</v>
      </c>
      <c r="X444" s="11">
        <f t="shared" ca="1" si="82"/>
        <v>0.20223114381580032</v>
      </c>
    </row>
    <row r="445" spans="12:24" x14ac:dyDescent="0.45">
      <c r="L445" s="9">
        <v>441</v>
      </c>
      <c r="M445" s="11">
        <f t="shared" ca="1" si="73"/>
        <v>1.97611423277092</v>
      </c>
      <c r="N445" s="19">
        <f t="shared" ca="1" si="74"/>
        <v>913.54097943318629</v>
      </c>
      <c r="O445" s="9">
        <f t="shared" ca="1" si="75"/>
        <v>1</v>
      </c>
      <c r="P445" s="9">
        <f t="shared" ca="1" si="76"/>
        <v>1</v>
      </c>
      <c r="Q445" s="11">
        <f t="shared" ca="1" si="77"/>
        <v>7.8138832301322481</v>
      </c>
      <c r="R445" s="11">
        <f t="shared" ca="1" si="78"/>
        <v>9.3350075134651824</v>
      </c>
      <c r="S445" s="11">
        <f t="shared" ca="1" si="79"/>
        <v>0.19902497158719723</v>
      </c>
      <c r="T445" s="11">
        <f t="shared" ca="1" si="80"/>
        <v>44.351941694362715</v>
      </c>
      <c r="V445" s="11">
        <f t="shared" ref="V445:X464" ca="1" si="83">RAND()</f>
        <v>0.19902497158719723</v>
      </c>
      <c r="W445" s="11">
        <f t="shared" ca="1" si="83"/>
        <v>0.33469349646614988</v>
      </c>
      <c r="X445" s="11">
        <f t="shared" ca="1" si="83"/>
        <v>0.78656293476908123</v>
      </c>
    </row>
    <row r="446" spans="12:24" x14ac:dyDescent="0.45">
      <c r="L446" s="9">
        <v>442</v>
      </c>
      <c r="M446" s="11">
        <f t="shared" ca="1" si="73"/>
        <v>4.6578265427691603</v>
      </c>
      <c r="N446" s="19">
        <f t="shared" ca="1" si="74"/>
        <v>1041.8237380521214</v>
      </c>
      <c r="O446" s="9">
        <f t="shared" ca="1" si="75"/>
        <v>1</v>
      </c>
      <c r="P446" s="9">
        <f t="shared" ca="1" si="76"/>
        <v>4</v>
      </c>
      <c r="Q446" s="11">
        <f t="shared" ca="1" si="77"/>
        <v>11.899402990952247</v>
      </c>
      <c r="R446" s="11">
        <f t="shared" ca="1" si="78"/>
        <v>11.143652923155994</v>
      </c>
      <c r="S446" s="11" t="str">
        <f t="shared" ca="1" si="79"/>
        <v/>
      </c>
      <c r="T446" s="11">
        <f t="shared" ca="1" si="80"/>
        <v>17.811367587790766</v>
      </c>
      <c r="V446" s="11">
        <f t="shared" ca="1" si="83"/>
        <v>0.63756441120010199</v>
      </c>
      <c r="W446" s="11">
        <f t="shared" ca="1" si="83"/>
        <v>0.9589196739215502</v>
      </c>
      <c r="X446" s="11">
        <f t="shared" ca="1" si="83"/>
        <v>0.87623549792136879</v>
      </c>
    </row>
    <row r="447" spans="12:24" x14ac:dyDescent="0.45">
      <c r="L447" s="9">
        <v>443</v>
      </c>
      <c r="M447" s="11">
        <f t="shared" ca="1" si="73"/>
        <v>2.3057714074456843</v>
      </c>
      <c r="N447" s="19">
        <f t="shared" ca="1" si="74"/>
        <v>895.12677045168914</v>
      </c>
      <c r="O447" s="9">
        <f t="shared" ca="1" si="75"/>
        <v>1</v>
      </c>
      <c r="P447" s="9">
        <f t="shared" ca="1" si="76"/>
        <v>2</v>
      </c>
      <c r="Q447" s="11">
        <f t="shared" ca="1" si="77"/>
        <v>4.6477836220005715</v>
      </c>
      <c r="R447" s="11">
        <f t="shared" ca="1" si="78"/>
        <v>9.7683381642094353</v>
      </c>
      <c r="S447" s="11">
        <f t="shared" ca="1" si="79"/>
        <v>0.18375352137554224</v>
      </c>
      <c r="T447" s="11">
        <f t="shared" ca="1" si="80"/>
        <v>6.7579362957113247</v>
      </c>
      <c r="V447" s="11">
        <f t="shared" ca="1" si="83"/>
        <v>0.18375352137554224</v>
      </c>
      <c r="W447" s="11">
        <f t="shared" ca="1" si="83"/>
        <v>0.17892222389992518</v>
      </c>
      <c r="X447" s="11">
        <f t="shared" ca="1" si="83"/>
        <v>0.49092061211415916</v>
      </c>
    </row>
    <row r="448" spans="12:24" x14ac:dyDescent="0.45">
      <c r="L448" s="9">
        <v>444</v>
      </c>
      <c r="M448" s="11">
        <f t="shared" ca="1" si="73"/>
        <v>0.9905290807393905</v>
      </c>
      <c r="N448" s="19">
        <f t="shared" ca="1" si="74"/>
        <v>20.401375466400218</v>
      </c>
      <c r="O448" s="9">
        <f t="shared" ca="1" si="75"/>
        <v>1</v>
      </c>
      <c r="P448" s="9">
        <f t="shared" ca="1" si="76"/>
        <v>0</v>
      </c>
      <c r="Q448" s="11">
        <f t="shared" ca="1" si="77"/>
        <v>3.0930217798686712</v>
      </c>
      <c r="R448" s="11">
        <f t="shared" ca="1" si="78"/>
        <v>11.881800322334731</v>
      </c>
      <c r="S448" s="11">
        <f t="shared" ca="1" si="79"/>
        <v>0.71883660586518161</v>
      </c>
      <c r="T448" s="11">
        <f t="shared" ca="1" si="80"/>
        <v>0.63841394476233215</v>
      </c>
      <c r="V448" s="11">
        <f t="shared" ca="1" si="83"/>
        <v>0.71883660586518161</v>
      </c>
      <c r="W448" s="11">
        <f t="shared" ca="1" si="83"/>
        <v>0.52952757812909557</v>
      </c>
      <c r="X448" s="11">
        <f t="shared" ca="1" si="83"/>
        <v>0.68775259317190574</v>
      </c>
    </row>
    <row r="449" spans="12:24" x14ac:dyDescent="0.45">
      <c r="L449" s="9">
        <v>445</v>
      </c>
      <c r="M449" s="11">
        <f t="shared" ca="1" si="73"/>
        <v>0.60513120441481449</v>
      </c>
      <c r="N449" s="19">
        <f t="shared" ca="1" si="74"/>
        <v>291.86498764469661</v>
      </c>
      <c r="O449" s="9">
        <f t="shared" ca="1" si="75"/>
        <v>1</v>
      </c>
      <c r="P449" s="9">
        <f t="shared" ca="1" si="76"/>
        <v>4</v>
      </c>
      <c r="Q449" s="11">
        <f t="shared" ca="1" si="77"/>
        <v>4.9277038092818701</v>
      </c>
      <c r="R449" s="11">
        <f t="shared" ca="1" si="78"/>
        <v>10.390079415116276</v>
      </c>
      <c r="S449" s="11" t="str">
        <f t="shared" ca="1" si="79"/>
        <v/>
      </c>
      <c r="T449" s="11">
        <f t="shared" ca="1" si="80"/>
        <v>2.2856127091775327</v>
      </c>
      <c r="V449" s="11">
        <f t="shared" ca="1" si="83"/>
        <v>0.96770999588419127</v>
      </c>
      <c r="W449" s="11">
        <f t="shared" ca="1" si="83"/>
        <v>0.72748422304386651</v>
      </c>
      <c r="X449" s="11">
        <f t="shared" ca="1" si="83"/>
        <v>0.19831701978211402</v>
      </c>
    </row>
    <row r="450" spans="12:24" x14ac:dyDescent="0.45">
      <c r="L450" s="9">
        <v>446</v>
      </c>
      <c r="M450" s="11">
        <f t="shared" ca="1" si="73"/>
        <v>3.1946063195154815</v>
      </c>
      <c r="N450" s="19">
        <f t="shared" ca="1" si="74"/>
        <v>777.38727254815183</v>
      </c>
      <c r="O450" s="9">
        <f t="shared" ca="1" si="75"/>
        <v>1</v>
      </c>
      <c r="P450" s="9">
        <f t="shared" ca="1" si="76"/>
        <v>2</v>
      </c>
      <c r="Q450" s="11">
        <f t="shared" ca="1" si="77"/>
        <v>7.1944724411406575</v>
      </c>
      <c r="R450" s="11">
        <f t="shared" ca="1" si="78"/>
        <v>10.194707896972172</v>
      </c>
      <c r="S450" s="11" t="str">
        <f t="shared" ca="1" si="79"/>
        <v/>
      </c>
      <c r="T450" s="11">
        <f t="shared" ca="1" si="80"/>
        <v>0.29158575682282967</v>
      </c>
      <c r="V450" s="11">
        <f t="shared" ca="1" si="83"/>
        <v>0.65760130462568878</v>
      </c>
      <c r="W450" s="11">
        <f t="shared" ca="1" si="83"/>
        <v>0.9671836695869821</v>
      </c>
      <c r="X450" s="11">
        <f t="shared" ca="1" si="83"/>
        <v>0.65994115734961378</v>
      </c>
    </row>
    <row r="451" spans="12:24" x14ac:dyDescent="0.45">
      <c r="L451" s="9">
        <v>447</v>
      </c>
      <c r="M451" s="11">
        <f t="shared" ca="1" si="73"/>
        <v>2.0259858336634715</v>
      </c>
      <c r="N451" s="19">
        <f t="shared" ca="1" si="74"/>
        <v>1080.4167933230124</v>
      </c>
      <c r="O451" s="9">
        <f t="shared" ca="1" si="75"/>
        <v>3</v>
      </c>
      <c r="P451" s="9">
        <f t="shared" ca="1" si="76"/>
        <v>2</v>
      </c>
      <c r="Q451" s="11">
        <f t="shared" ca="1" si="77"/>
        <v>3.2463519505105669</v>
      </c>
      <c r="R451" s="11">
        <f t="shared" ca="1" si="78"/>
        <v>9.4875128311347154</v>
      </c>
      <c r="S451" s="11">
        <f t="shared" ca="1" si="79"/>
        <v>0.31426593510204914</v>
      </c>
      <c r="T451" s="11">
        <f t="shared" ca="1" si="80"/>
        <v>0.96981924130614572</v>
      </c>
      <c r="V451" s="11">
        <f t="shared" ca="1" si="83"/>
        <v>0.31426593510204914</v>
      </c>
      <c r="W451" s="11">
        <f t="shared" ca="1" si="83"/>
        <v>0.27771602978051402</v>
      </c>
      <c r="X451" s="11">
        <f t="shared" ca="1" si="83"/>
        <v>0.41065094457977191</v>
      </c>
    </row>
    <row r="452" spans="12:24" x14ac:dyDescent="0.45">
      <c r="L452" s="9">
        <v>448</v>
      </c>
      <c r="M452" s="11">
        <f t="shared" ca="1" si="73"/>
        <v>0.10922466973922909</v>
      </c>
      <c r="N452" s="19">
        <f t="shared" ca="1" si="74"/>
        <v>802.15644599548648</v>
      </c>
      <c r="O452" s="9">
        <f t="shared" ca="1" si="75"/>
        <v>3</v>
      </c>
      <c r="P452" s="9">
        <f t="shared" ca="1" si="76"/>
        <v>3</v>
      </c>
      <c r="Q452" s="11">
        <f t="shared" ca="1" si="77"/>
        <v>4.6161926894129772</v>
      </c>
      <c r="R452" s="11">
        <f t="shared" ca="1" si="78"/>
        <v>7.9401282952279448</v>
      </c>
      <c r="S452" s="11">
        <f t="shared" ca="1" si="79"/>
        <v>0.45515888543730432</v>
      </c>
      <c r="T452" s="11">
        <f t="shared" ca="1" si="80"/>
        <v>0.56024045923735</v>
      </c>
      <c r="V452" s="11">
        <f t="shared" ca="1" si="83"/>
        <v>0.45515888543730432</v>
      </c>
      <c r="W452" s="11">
        <f t="shared" ca="1" si="83"/>
        <v>0.26700987295070755</v>
      </c>
      <c r="X452" s="11">
        <f t="shared" ca="1" si="83"/>
        <v>0.81858260017463957</v>
      </c>
    </row>
    <row r="453" spans="12:24" x14ac:dyDescent="0.45">
      <c r="L453" s="9">
        <v>449</v>
      </c>
      <c r="M453" s="11">
        <f t="shared" ref="M453:M504" ca="1" si="84">-$C$10*LN(1-RAND())</f>
        <v>0.50558514099715501</v>
      </c>
      <c r="N453" s="19">
        <f t="shared" ref="N453:N504" ca="1" si="85">$C$12*(-LN(1-RAND()))^(1/$C$11)</f>
        <v>630.01482463008188</v>
      </c>
      <c r="O453" s="9">
        <f t="shared" ref="O453:O504" ca="1" si="86">MAX(1,ROUNDUP(LN(1-RAND())/LN(1-$C$13),0))</f>
        <v>1</v>
      </c>
      <c r="P453" s="9">
        <f t="shared" ref="P453:P504" ca="1" si="87">INDEX($B$24:$B$44,MATCH(RAND(),$C$24:$C$44,1))</f>
        <v>2</v>
      </c>
      <c r="Q453" s="11">
        <f t="shared" ref="Q453:Q504" ca="1" si="88">-($C$16/$C$15)*LN(RAND()*RAND()*RAND())</f>
        <v>14.459117607386116</v>
      </c>
      <c r="R453" s="11">
        <f t="shared" ref="R453:R504" ca="1" si="89">$C$17+$C$18*(RAND()+RAND()+RAND()+RAND()+RAND()+RAND()+RAND()+RAND()+RAND()+RAND()+RAND()+RAND()-6)</f>
        <v>9.8081044434098885</v>
      </c>
      <c r="S453" s="11">
        <f t="shared" ref="S453:S504" ca="1" si="90">IF(1.5*W453&lt;=6*V453*(1-V453),V453,"")</f>
        <v>0.57734413529794848</v>
      </c>
      <c r="T453" s="11">
        <f t="shared" ref="T453:T504" ca="1" si="91">-IF(X453&lt;$C$19,$C$20,$C$21)*LN(1-RAND())</f>
        <v>0.99209179268989078</v>
      </c>
      <c r="V453" s="11">
        <f t="shared" ca="1" si="83"/>
        <v>0.57734413529794848</v>
      </c>
      <c r="W453" s="11">
        <f t="shared" ca="1" si="83"/>
        <v>0.60439100051664107</v>
      </c>
      <c r="X453" s="11">
        <f t="shared" ca="1" si="83"/>
        <v>0.41822656331983987</v>
      </c>
    </row>
    <row r="454" spans="12:24" x14ac:dyDescent="0.45">
      <c r="L454" s="9">
        <v>450</v>
      </c>
      <c r="M454" s="11">
        <f t="shared" ca="1" si="84"/>
        <v>5.4880326261412913</v>
      </c>
      <c r="N454" s="19">
        <f t="shared" ca="1" si="85"/>
        <v>820.74051931443751</v>
      </c>
      <c r="O454" s="9">
        <f t="shared" ca="1" si="86"/>
        <v>1</v>
      </c>
      <c r="P454" s="9">
        <f t="shared" ca="1" si="87"/>
        <v>1</v>
      </c>
      <c r="Q454" s="11">
        <f t="shared" ca="1" si="88"/>
        <v>3.0746072241820772</v>
      </c>
      <c r="R454" s="11">
        <f t="shared" ca="1" si="89"/>
        <v>11.570815212973393</v>
      </c>
      <c r="S454" s="11" t="str">
        <f t="shared" ca="1" si="90"/>
        <v/>
      </c>
      <c r="T454" s="11">
        <f t="shared" ca="1" si="91"/>
        <v>1.6323173642748736</v>
      </c>
      <c r="V454" s="11">
        <f t="shared" ca="1" si="83"/>
        <v>0.75287340311843332</v>
      </c>
      <c r="W454" s="11">
        <f t="shared" ca="1" si="83"/>
        <v>0.74567235122539111</v>
      </c>
      <c r="X454" s="11">
        <f t="shared" ca="1" si="83"/>
        <v>0.90244888474295826</v>
      </c>
    </row>
    <row r="455" spans="12:24" x14ac:dyDescent="0.45">
      <c r="L455" s="9">
        <v>451</v>
      </c>
      <c r="M455" s="11">
        <f t="shared" ca="1" si="84"/>
        <v>4.1737388049355086</v>
      </c>
      <c r="N455" s="19">
        <f t="shared" ca="1" si="85"/>
        <v>830.74492901906513</v>
      </c>
      <c r="O455" s="9">
        <f t="shared" ca="1" si="86"/>
        <v>2</v>
      </c>
      <c r="P455" s="9">
        <f t="shared" ca="1" si="87"/>
        <v>5</v>
      </c>
      <c r="Q455" s="11">
        <f t="shared" ca="1" si="88"/>
        <v>12.385597771641956</v>
      </c>
      <c r="R455" s="11">
        <f t="shared" ca="1" si="89"/>
        <v>12.861610789599702</v>
      </c>
      <c r="S455" s="11">
        <f t="shared" ca="1" si="90"/>
        <v>0.40279457652921302</v>
      </c>
      <c r="T455" s="11">
        <f t="shared" ca="1" si="91"/>
        <v>5.6670261274909723</v>
      </c>
      <c r="V455" s="11">
        <f t="shared" ca="1" si="83"/>
        <v>0.40279457652921302</v>
      </c>
      <c r="W455" s="11">
        <f t="shared" ca="1" si="83"/>
        <v>0.15034980095574579</v>
      </c>
      <c r="X455" s="11">
        <f t="shared" ca="1" si="83"/>
        <v>0.28878880987316613</v>
      </c>
    </row>
    <row r="456" spans="12:24" x14ac:dyDescent="0.45">
      <c r="L456" s="9">
        <v>452</v>
      </c>
      <c r="M456" s="11">
        <f t="shared" ca="1" si="84"/>
        <v>4.1124200221301581E-2</v>
      </c>
      <c r="N456" s="19">
        <f t="shared" ca="1" si="85"/>
        <v>373.17628595513668</v>
      </c>
      <c r="O456" s="9">
        <f t="shared" ca="1" si="86"/>
        <v>3</v>
      </c>
      <c r="P456" s="9">
        <f t="shared" ca="1" si="87"/>
        <v>2</v>
      </c>
      <c r="Q456" s="11">
        <f t="shared" ca="1" si="88"/>
        <v>8.4299656992291343</v>
      </c>
      <c r="R456" s="11">
        <f t="shared" ca="1" si="89"/>
        <v>9.2373534901196006</v>
      </c>
      <c r="S456" s="11">
        <f t="shared" ca="1" si="90"/>
        <v>0.74180152940687916</v>
      </c>
      <c r="T456" s="11">
        <f t="shared" ca="1" si="91"/>
        <v>0.23241821178709618</v>
      </c>
      <c r="V456" s="11">
        <f t="shared" ca="1" si="83"/>
        <v>0.74180152940687916</v>
      </c>
      <c r="W456" s="11">
        <f t="shared" ca="1" si="83"/>
        <v>0.24583938561313967</v>
      </c>
      <c r="X456" s="11">
        <f t="shared" ca="1" si="83"/>
        <v>0.82177341813070381</v>
      </c>
    </row>
    <row r="457" spans="12:24" x14ac:dyDescent="0.45">
      <c r="L457" s="9">
        <v>453</v>
      </c>
      <c r="M457" s="11">
        <f t="shared" ca="1" si="84"/>
        <v>1.6263635192902</v>
      </c>
      <c r="N457" s="19">
        <f t="shared" ca="1" si="85"/>
        <v>1074.213717433649</v>
      </c>
      <c r="O457" s="9">
        <f t="shared" ca="1" si="86"/>
        <v>1</v>
      </c>
      <c r="P457" s="9">
        <f t="shared" ca="1" si="87"/>
        <v>1</v>
      </c>
      <c r="Q457" s="11">
        <f t="shared" ca="1" si="88"/>
        <v>10.276248368235464</v>
      </c>
      <c r="R457" s="11">
        <f t="shared" ca="1" si="89"/>
        <v>11.361664573916567</v>
      </c>
      <c r="S457" s="11">
        <f t="shared" ca="1" si="90"/>
        <v>0.57810173834622558</v>
      </c>
      <c r="T457" s="11">
        <f t="shared" ca="1" si="91"/>
        <v>3.622431598189054</v>
      </c>
      <c r="V457" s="11">
        <f t="shared" ca="1" si="83"/>
        <v>0.57810173834622558</v>
      </c>
      <c r="W457" s="11">
        <f t="shared" ca="1" si="83"/>
        <v>0.61516124004494699</v>
      </c>
      <c r="X457" s="11">
        <f t="shared" ca="1" si="83"/>
        <v>0.65576721004982252</v>
      </c>
    </row>
    <row r="458" spans="12:24" x14ac:dyDescent="0.45">
      <c r="L458" s="9">
        <v>454</v>
      </c>
      <c r="M458" s="11">
        <f t="shared" ca="1" si="84"/>
        <v>5.5812778990410976</v>
      </c>
      <c r="N458" s="19">
        <f t="shared" ca="1" si="85"/>
        <v>759.98786956480262</v>
      </c>
      <c r="O458" s="9">
        <f t="shared" ca="1" si="86"/>
        <v>1</v>
      </c>
      <c r="P458" s="9">
        <f t="shared" ca="1" si="87"/>
        <v>3</v>
      </c>
      <c r="Q458" s="11">
        <f t="shared" ca="1" si="88"/>
        <v>7.5829347429029728</v>
      </c>
      <c r="R458" s="11">
        <f t="shared" ca="1" si="89"/>
        <v>9.6651280317971118</v>
      </c>
      <c r="S458" s="11">
        <f t="shared" ca="1" si="90"/>
        <v>0.50279298747676315</v>
      </c>
      <c r="T458" s="11">
        <f t="shared" ca="1" si="91"/>
        <v>4.5559165081478337E-2</v>
      </c>
      <c r="V458" s="11">
        <f t="shared" ca="1" si="83"/>
        <v>0.50279298747676315</v>
      </c>
      <c r="W458" s="11">
        <f t="shared" ca="1" si="83"/>
        <v>0.6925040143439114</v>
      </c>
      <c r="X458" s="11">
        <f t="shared" ca="1" si="83"/>
        <v>0.33411670707228991</v>
      </c>
    </row>
    <row r="459" spans="12:24" x14ac:dyDescent="0.45">
      <c r="L459" s="9">
        <v>455</v>
      </c>
      <c r="M459" s="11">
        <f t="shared" ca="1" si="84"/>
        <v>0.74144833402305621</v>
      </c>
      <c r="N459" s="19">
        <f t="shared" ca="1" si="85"/>
        <v>588.99016228733876</v>
      </c>
      <c r="O459" s="9">
        <f t="shared" ca="1" si="86"/>
        <v>1</v>
      </c>
      <c r="P459" s="9">
        <f t="shared" ca="1" si="87"/>
        <v>2</v>
      </c>
      <c r="Q459" s="11">
        <f t="shared" ca="1" si="88"/>
        <v>4.1717604637286216</v>
      </c>
      <c r="R459" s="11">
        <f t="shared" ca="1" si="89"/>
        <v>9.1780581885181309</v>
      </c>
      <c r="S459" s="11">
        <f t="shared" ca="1" si="90"/>
        <v>0.2964446765861789</v>
      </c>
      <c r="T459" s="11">
        <f t="shared" ca="1" si="91"/>
        <v>3.3083523363903145</v>
      </c>
      <c r="V459" s="11">
        <f t="shared" ca="1" si="83"/>
        <v>0.2964446765861789</v>
      </c>
      <c r="W459" s="11">
        <f t="shared" ca="1" si="83"/>
        <v>0.61225416315342163</v>
      </c>
      <c r="X459" s="11">
        <f t="shared" ca="1" si="83"/>
        <v>0.85366201337766567</v>
      </c>
    </row>
    <row r="460" spans="12:24" x14ac:dyDescent="0.45">
      <c r="L460" s="9">
        <v>456</v>
      </c>
      <c r="M460" s="11">
        <f t="shared" ca="1" si="84"/>
        <v>0.21029899713896064</v>
      </c>
      <c r="N460" s="19">
        <f t="shared" ca="1" si="85"/>
        <v>963.76609054475853</v>
      </c>
      <c r="O460" s="9">
        <f t="shared" ca="1" si="86"/>
        <v>3</v>
      </c>
      <c r="P460" s="9">
        <f t="shared" ca="1" si="87"/>
        <v>2</v>
      </c>
      <c r="Q460" s="11">
        <f t="shared" ca="1" si="88"/>
        <v>2.7788591808707612</v>
      </c>
      <c r="R460" s="11">
        <f t="shared" ca="1" si="89"/>
        <v>11.528092835511773</v>
      </c>
      <c r="S460" s="11">
        <f t="shared" ca="1" si="90"/>
        <v>0.31763038880061834</v>
      </c>
      <c r="T460" s="11">
        <f t="shared" ca="1" si="91"/>
        <v>0.12849565996625761</v>
      </c>
      <c r="V460" s="11">
        <f t="shared" ca="1" si="83"/>
        <v>0.31763038880061834</v>
      </c>
      <c r="W460" s="11">
        <f t="shared" ca="1" si="83"/>
        <v>0.60097491066324638</v>
      </c>
      <c r="X460" s="11">
        <f t="shared" ca="1" si="83"/>
        <v>8.574153595215217E-2</v>
      </c>
    </row>
    <row r="461" spans="12:24" x14ac:dyDescent="0.45">
      <c r="L461" s="9">
        <v>457</v>
      </c>
      <c r="M461" s="11">
        <f t="shared" ca="1" si="84"/>
        <v>17.312944616864037</v>
      </c>
      <c r="N461" s="19">
        <f t="shared" ca="1" si="85"/>
        <v>508.21100355808051</v>
      </c>
      <c r="O461" s="9">
        <f t="shared" ca="1" si="86"/>
        <v>2</v>
      </c>
      <c r="P461" s="9">
        <f t="shared" ca="1" si="87"/>
        <v>2</v>
      </c>
      <c r="Q461" s="11">
        <f t="shared" ca="1" si="88"/>
        <v>4.1272608132803521</v>
      </c>
      <c r="R461" s="11">
        <f t="shared" ca="1" si="89"/>
        <v>7.8410309010028314</v>
      </c>
      <c r="S461" s="11">
        <f t="shared" ca="1" si="90"/>
        <v>0.29241459482066812</v>
      </c>
      <c r="T461" s="11">
        <f t="shared" ca="1" si="91"/>
        <v>10.935651477908387</v>
      </c>
      <c r="V461" s="11">
        <f t="shared" ca="1" si="83"/>
        <v>0.29241459482066812</v>
      </c>
      <c r="W461" s="11">
        <f t="shared" ca="1" si="83"/>
        <v>0.22610672889213501</v>
      </c>
      <c r="X461" s="11">
        <f t="shared" ca="1" si="83"/>
        <v>0.72113893462162904</v>
      </c>
    </row>
    <row r="462" spans="12:24" x14ac:dyDescent="0.45">
      <c r="L462" s="9">
        <v>458</v>
      </c>
      <c r="M462" s="11">
        <f t="shared" ca="1" si="84"/>
        <v>1.1909406018112616</v>
      </c>
      <c r="N462" s="19">
        <f t="shared" ca="1" si="85"/>
        <v>227.92006226630011</v>
      </c>
      <c r="O462" s="9">
        <f t="shared" ca="1" si="86"/>
        <v>3</v>
      </c>
      <c r="P462" s="9">
        <f t="shared" ca="1" si="87"/>
        <v>5</v>
      </c>
      <c r="Q462" s="11">
        <f t="shared" ca="1" si="88"/>
        <v>6.7666552069935166</v>
      </c>
      <c r="R462" s="11">
        <f t="shared" ca="1" si="89"/>
        <v>9.7678885708780285</v>
      </c>
      <c r="S462" s="11">
        <f t="shared" ca="1" si="90"/>
        <v>0.56879359422615794</v>
      </c>
      <c r="T462" s="11">
        <f t="shared" ca="1" si="91"/>
        <v>0.62539369285411039</v>
      </c>
      <c r="V462" s="11">
        <f t="shared" ca="1" si="83"/>
        <v>0.56879359422615794</v>
      </c>
      <c r="W462" s="11">
        <f t="shared" ca="1" si="83"/>
        <v>0.45411264742436441</v>
      </c>
      <c r="X462" s="11">
        <f t="shared" ca="1" si="83"/>
        <v>0.34945634739211395</v>
      </c>
    </row>
    <row r="463" spans="12:24" x14ac:dyDescent="0.45">
      <c r="L463" s="9">
        <v>459</v>
      </c>
      <c r="M463" s="11">
        <f t="shared" ca="1" si="84"/>
        <v>5.6582361318718402</v>
      </c>
      <c r="N463" s="19">
        <f t="shared" ca="1" si="85"/>
        <v>750.56774922716511</v>
      </c>
      <c r="O463" s="9">
        <f t="shared" ca="1" si="86"/>
        <v>1</v>
      </c>
      <c r="P463" s="9">
        <f t="shared" ca="1" si="87"/>
        <v>5</v>
      </c>
      <c r="Q463" s="11">
        <f t="shared" ca="1" si="88"/>
        <v>2.3460669536365231</v>
      </c>
      <c r="R463" s="11">
        <f t="shared" ca="1" si="89"/>
        <v>6.9587863711561617</v>
      </c>
      <c r="S463" s="11">
        <f t="shared" ca="1" si="90"/>
        <v>0.68721376023057601</v>
      </c>
      <c r="T463" s="11">
        <f t="shared" ca="1" si="91"/>
        <v>2.7744821850771104</v>
      </c>
      <c r="V463" s="11">
        <f t="shared" ca="1" si="83"/>
        <v>0.68721376023057601</v>
      </c>
      <c r="W463" s="11">
        <f t="shared" ca="1" si="83"/>
        <v>0.68959262487898543</v>
      </c>
      <c r="X463" s="11">
        <f t="shared" ca="1" si="83"/>
        <v>0.56043202089766686</v>
      </c>
    </row>
    <row r="464" spans="12:24" x14ac:dyDescent="0.45">
      <c r="L464" s="9">
        <v>460</v>
      </c>
      <c r="M464" s="11">
        <f t="shared" ca="1" si="84"/>
        <v>2.3947741758939864</v>
      </c>
      <c r="N464" s="19">
        <f t="shared" ca="1" si="85"/>
        <v>677.48475022248545</v>
      </c>
      <c r="O464" s="9">
        <f t="shared" ca="1" si="86"/>
        <v>1</v>
      </c>
      <c r="P464" s="9">
        <f t="shared" ca="1" si="87"/>
        <v>1</v>
      </c>
      <c r="Q464" s="11">
        <f t="shared" ca="1" si="88"/>
        <v>6.5669092590324176</v>
      </c>
      <c r="R464" s="11">
        <f t="shared" ca="1" si="89"/>
        <v>8.1608001150542311</v>
      </c>
      <c r="S464" s="11">
        <f t="shared" ca="1" si="90"/>
        <v>0.50009559400300341</v>
      </c>
      <c r="T464" s="11">
        <f t="shared" ca="1" si="91"/>
        <v>3.5574072504615191</v>
      </c>
      <c r="V464" s="11">
        <f t="shared" ca="1" si="83"/>
        <v>0.50009559400300341</v>
      </c>
      <c r="W464" s="11">
        <f t="shared" ca="1" si="83"/>
        <v>0.63129202367179715</v>
      </c>
      <c r="X464" s="11">
        <f t="shared" ca="1" si="83"/>
        <v>0.81643415983692125</v>
      </c>
    </row>
    <row r="465" spans="12:24" x14ac:dyDescent="0.45">
      <c r="L465" s="9">
        <v>461</v>
      </c>
      <c r="M465" s="11">
        <f t="shared" ca="1" si="84"/>
        <v>0.82144067432212153</v>
      </c>
      <c r="N465" s="19">
        <f t="shared" ca="1" si="85"/>
        <v>168.12583769642362</v>
      </c>
      <c r="O465" s="9">
        <f t="shared" ca="1" si="86"/>
        <v>1</v>
      </c>
      <c r="P465" s="9">
        <f t="shared" ca="1" si="87"/>
        <v>4</v>
      </c>
      <c r="Q465" s="11">
        <f t="shared" ca="1" si="88"/>
        <v>11.702194784745858</v>
      </c>
      <c r="R465" s="11">
        <f t="shared" ca="1" si="89"/>
        <v>10.319915588046227</v>
      </c>
      <c r="S465" s="11">
        <f t="shared" ca="1" si="90"/>
        <v>0.87215742785617745</v>
      </c>
      <c r="T465" s="11">
        <f t="shared" ca="1" si="91"/>
        <v>9.8173640551695218</v>
      </c>
      <c r="V465" s="11">
        <f t="shared" ref="V465:X484" ca="1" si="92">RAND()</f>
        <v>0.87215742785617745</v>
      </c>
      <c r="W465" s="11">
        <f t="shared" ca="1" si="92"/>
        <v>0.19368724735815657</v>
      </c>
      <c r="X465" s="11">
        <f t="shared" ca="1" si="92"/>
        <v>0.84498860700969536</v>
      </c>
    </row>
    <row r="466" spans="12:24" x14ac:dyDescent="0.45">
      <c r="L466" s="9">
        <v>462</v>
      </c>
      <c r="M466" s="11">
        <f t="shared" ca="1" si="84"/>
        <v>0.79418746540506557</v>
      </c>
      <c r="N466" s="19">
        <f t="shared" ca="1" si="85"/>
        <v>1281.0903077168261</v>
      </c>
      <c r="O466" s="9">
        <f t="shared" ca="1" si="86"/>
        <v>2</v>
      </c>
      <c r="P466" s="9">
        <f t="shared" ca="1" si="87"/>
        <v>2</v>
      </c>
      <c r="Q466" s="11">
        <f t="shared" ca="1" si="88"/>
        <v>10.97865948097578</v>
      </c>
      <c r="R466" s="11">
        <f t="shared" ca="1" si="89"/>
        <v>7.3909071838991913</v>
      </c>
      <c r="S466" s="11" t="str">
        <f t="shared" ca="1" si="90"/>
        <v/>
      </c>
      <c r="T466" s="11">
        <f t="shared" ca="1" si="91"/>
        <v>2.4550527973608376</v>
      </c>
      <c r="V466" s="11">
        <f t="shared" ca="1" si="92"/>
        <v>0.95369327450835895</v>
      </c>
      <c r="W466" s="11">
        <f t="shared" ca="1" si="92"/>
        <v>0.45592177648912002</v>
      </c>
      <c r="X466" s="11">
        <f t="shared" ca="1" si="92"/>
        <v>0.58289921729020233</v>
      </c>
    </row>
    <row r="467" spans="12:24" x14ac:dyDescent="0.45">
      <c r="L467" s="9">
        <v>463</v>
      </c>
      <c r="M467" s="11">
        <f t="shared" ca="1" si="84"/>
        <v>2.3009002089490087</v>
      </c>
      <c r="N467" s="19">
        <f t="shared" ca="1" si="85"/>
        <v>1401.4164729822328</v>
      </c>
      <c r="O467" s="9">
        <f t="shared" ca="1" si="86"/>
        <v>1</v>
      </c>
      <c r="P467" s="9">
        <f t="shared" ca="1" si="87"/>
        <v>4</v>
      </c>
      <c r="Q467" s="11">
        <f t="shared" ca="1" si="88"/>
        <v>7.8037500145208911</v>
      </c>
      <c r="R467" s="11">
        <f t="shared" ca="1" si="89"/>
        <v>9.2623007961304786</v>
      </c>
      <c r="S467" s="11" t="str">
        <f t="shared" ca="1" si="90"/>
        <v/>
      </c>
      <c r="T467" s="11">
        <f t="shared" ca="1" si="91"/>
        <v>1.7004543611635727</v>
      </c>
      <c r="V467" s="11">
        <f t="shared" ca="1" si="92"/>
        <v>5.9473536350118206E-2</v>
      </c>
      <c r="W467" s="11">
        <f t="shared" ca="1" si="92"/>
        <v>0.39045423538524382</v>
      </c>
      <c r="X467" s="11">
        <f t="shared" ca="1" si="92"/>
        <v>0.51226341412512433</v>
      </c>
    </row>
    <row r="468" spans="12:24" x14ac:dyDescent="0.45">
      <c r="L468" s="9">
        <v>464</v>
      </c>
      <c r="M468" s="11">
        <f t="shared" ca="1" si="84"/>
        <v>0.30588302195322081</v>
      </c>
      <c r="N468" s="19">
        <f t="shared" ca="1" si="85"/>
        <v>527.90137503396636</v>
      </c>
      <c r="O468" s="9">
        <f t="shared" ca="1" si="86"/>
        <v>3</v>
      </c>
      <c r="P468" s="9">
        <f t="shared" ca="1" si="87"/>
        <v>2</v>
      </c>
      <c r="Q468" s="11">
        <f t="shared" ca="1" si="88"/>
        <v>6.0425026254919834</v>
      </c>
      <c r="R468" s="11">
        <f t="shared" ca="1" si="89"/>
        <v>13.176715005504267</v>
      </c>
      <c r="S468" s="11">
        <f t="shared" ca="1" si="90"/>
        <v>5.765052113692104E-2</v>
      </c>
      <c r="T468" s="11">
        <f t="shared" ca="1" si="91"/>
        <v>0.51231805517096263</v>
      </c>
      <c r="V468" s="11">
        <f t="shared" ca="1" si="92"/>
        <v>5.765052113692104E-2</v>
      </c>
      <c r="W468" s="11">
        <f t="shared" ca="1" si="92"/>
        <v>2.3318446269407045E-2</v>
      </c>
      <c r="X468" s="11">
        <f t="shared" ca="1" si="92"/>
        <v>0.422951528290472</v>
      </c>
    </row>
    <row r="469" spans="12:24" x14ac:dyDescent="0.45">
      <c r="L469" s="9">
        <v>465</v>
      </c>
      <c r="M469" s="11">
        <f t="shared" ca="1" si="84"/>
        <v>9.0316034234188081</v>
      </c>
      <c r="N469" s="19">
        <f t="shared" ca="1" si="85"/>
        <v>641.73946805824869</v>
      </c>
      <c r="O469" s="9">
        <f t="shared" ca="1" si="86"/>
        <v>1</v>
      </c>
      <c r="P469" s="9">
        <f t="shared" ca="1" si="87"/>
        <v>2</v>
      </c>
      <c r="Q469" s="11">
        <f t="shared" ca="1" si="88"/>
        <v>9.6169748251685547</v>
      </c>
      <c r="R469" s="11">
        <f t="shared" ca="1" si="89"/>
        <v>9.8139022378911029</v>
      </c>
      <c r="S469" s="11" t="str">
        <f t="shared" ca="1" si="90"/>
        <v/>
      </c>
      <c r="T469" s="11">
        <f t="shared" ca="1" si="91"/>
        <v>2.4517889936955246</v>
      </c>
      <c r="V469" s="11">
        <f t="shared" ca="1" si="92"/>
        <v>0.14859617534681835</v>
      </c>
      <c r="W469" s="11">
        <f t="shared" ca="1" si="92"/>
        <v>0.98659492058348608</v>
      </c>
      <c r="X469" s="11">
        <f t="shared" ca="1" si="92"/>
        <v>0.12869110651918958</v>
      </c>
    </row>
    <row r="470" spans="12:24" x14ac:dyDescent="0.45">
      <c r="L470" s="9">
        <v>466</v>
      </c>
      <c r="M470" s="11">
        <f t="shared" ca="1" si="84"/>
        <v>3.8655965849887726</v>
      </c>
      <c r="N470" s="19">
        <f t="shared" ca="1" si="85"/>
        <v>363.03527268717875</v>
      </c>
      <c r="O470" s="9">
        <f t="shared" ca="1" si="86"/>
        <v>1</v>
      </c>
      <c r="P470" s="9">
        <f t="shared" ca="1" si="87"/>
        <v>6</v>
      </c>
      <c r="Q470" s="11">
        <f t="shared" ca="1" si="88"/>
        <v>2.153393916185621</v>
      </c>
      <c r="R470" s="11">
        <f t="shared" ca="1" si="89"/>
        <v>8.4931522861404876</v>
      </c>
      <c r="S470" s="11" t="str">
        <f t="shared" ca="1" si="90"/>
        <v/>
      </c>
      <c r="T470" s="11">
        <f t="shared" ca="1" si="91"/>
        <v>1.4672532753338816</v>
      </c>
      <c r="V470" s="11">
        <f t="shared" ca="1" si="92"/>
        <v>0.12575803263590479</v>
      </c>
      <c r="W470" s="11">
        <f t="shared" ca="1" si="92"/>
        <v>0.75715753636843641</v>
      </c>
      <c r="X470" s="11">
        <f t="shared" ca="1" si="92"/>
        <v>0.14001169907267774</v>
      </c>
    </row>
    <row r="471" spans="12:24" x14ac:dyDescent="0.45">
      <c r="L471" s="9">
        <v>467</v>
      </c>
      <c r="M471" s="11">
        <f t="shared" ca="1" si="84"/>
        <v>4.9498979594492178</v>
      </c>
      <c r="N471" s="19">
        <f t="shared" ca="1" si="85"/>
        <v>429.23403908584237</v>
      </c>
      <c r="O471" s="9">
        <f t="shared" ca="1" si="86"/>
        <v>1</v>
      </c>
      <c r="P471" s="9">
        <f t="shared" ca="1" si="87"/>
        <v>2</v>
      </c>
      <c r="Q471" s="11">
        <f t="shared" ca="1" si="88"/>
        <v>5.2133345933164144</v>
      </c>
      <c r="R471" s="11">
        <f t="shared" ca="1" si="89"/>
        <v>9.9042212988918177</v>
      </c>
      <c r="S471" s="11">
        <f t="shared" ca="1" si="90"/>
        <v>0.22566002565821808</v>
      </c>
      <c r="T471" s="11">
        <f t="shared" ca="1" si="91"/>
        <v>1.817966731288718</v>
      </c>
      <c r="V471" s="11">
        <f t="shared" ca="1" si="92"/>
        <v>0.22566002565821808</v>
      </c>
      <c r="W471" s="11">
        <f t="shared" ca="1" si="92"/>
        <v>0.30067743379782019</v>
      </c>
      <c r="X471" s="11">
        <f t="shared" ca="1" si="92"/>
        <v>0.64437073956770841</v>
      </c>
    </row>
    <row r="472" spans="12:24" x14ac:dyDescent="0.45">
      <c r="L472" s="9">
        <v>468</v>
      </c>
      <c r="M472" s="11">
        <f t="shared" ca="1" si="84"/>
        <v>11.194327798477211</v>
      </c>
      <c r="N472" s="19">
        <f t="shared" ca="1" si="85"/>
        <v>1004.9248162366614</v>
      </c>
      <c r="O472" s="9">
        <f t="shared" ca="1" si="86"/>
        <v>4</v>
      </c>
      <c r="P472" s="9">
        <f t="shared" ca="1" si="87"/>
        <v>2</v>
      </c>
      <c r="Q472" s="11">
        <f t="shared" ca="1" si="88"/>
        <v>4.0364420936834868</v>
      </c>
      <c r="R472" s="11">
        <f t="shared" ca="1" si="89"/>
        <v>9.316043923454016</v>
      </c>
      <c r="S472" s="11">
        <f t="shared" ca="1" si="90"/>
        <v>0.52924224013439236</v>
      </c>
      <c r="T472" s="11">
        <f t="shared" ca="1" si="91"/>
        <v>1.1905515131062605</v>
      </c>
      <c r="V472" s="11">
        <f t="shared" ca="1" si="92"/>
        <v>0.52924224013439236</v>
      </c>
      <c r="W472" s="11">
        <f t="shared" ca="1" si="92"/>
        <v>0.84104033837329994</v>
      </c>
      <c r="X472" s="11">
        <f t="shared" ca="1" si="92"/>
        <v>0.55340871647695189</v>
      </c>
    </row>
    <row r="473" spans="12:24" x14ac:dyDescent="0.45">
      <c r="L473" s="9">
        <v>469</v>
      </c>
      <c r="M473" s="11">
        <f t="shared" ca="1" si="84"/>
        <v>4.0033987950518997</v>
      </c>
      <c r="N473" s="19">
        <f t="shared" ca="1" si="85"/>
        <v>1171.6769937886286</v>
      </c>
      <c r="O473" s="9">
        <f t="shared" ca="1" si="86"/>
        <v>1</v>
      </c>
      <c r="P473" s="9">
        <f t="shared" ca="1" si="87"/>
        <v>2</v>
      </c>
      <c r="Q473" s="11">
        <f t="shared" ca="1" si="88"/>
        <v>11.894855949439981</v>
      </c>
      <c r="R473" s="11">
        <f t="shared" ca="1" si="89"/>
        <v>10.03382888192305</v>
      </c>
      <c r="S473" s="11">
        <f t="shared" ca="1" si="90"/>
        <v>0.57138236565695411</v>
      </c>
      <c r="T473" s="11">
        <f t="shared" ca="1" si="91"/>
        <v>0.74946033041555071</v>
      </c>
      <c r="V473" s="11">
        <f t="shared" ca="1" si="92"/>
        <v>0.57138236565695411</v>
      </c>
      <c r="W473" s="11">
        <f t="shared" ca="1" si="92"/>
        <v>0.55603160799290208</v>
      </c>
      <c r="X473" s="11">
        <f t="shared" ca="1" si="92"/>
        <v>0.67418742200090698</v>
      </c>
    </row>
    <row r="474" spans="12:24" x14ac:dyDescent="0.45">
      <c r="L474" s="9">
        <v>470</v>
      </c>
      <c r="M474" s="11">
        <f t="shared" ca="1" si="84"/>
        <v>5.6254635384814593</v>
      </c>
      <c r="N474" s="19">
        <f t="shared" ca="1" si="85"/>
        <v>1441.1165375824869</v>
      </c>
      <c r="O474" s="9">
        <f t="shared" ca="1" si="86"/>
        <v>1</v>
      </c>
      <c r="P474" s="9">
        <f t="shared" ca="1" si="87"/>
        <v>4</v>
      </c>
      <c r="Q474" s="11">
        <f t="shared" ca="1" si="88"/>
        <v>6.6771197513987444</v>
      </c>
      <c r="R474" s="11">
        <f t="shared" ca="1" si="89"/>
        <v>6.7726013521505894</v>
      </c>
      <c r="S474" s="11">
        <f t="shared" ca="1" si="90"/>
        <v>0.76612264272573816</v>
      </c>
      <c r="T474" s="11">
        <f t="shared" ca="1" si="91"/>
        <v>2.4218080882269755</v>
      </c>
      <c r="V474" s="11">
        <f t="shared" ca="1" si="92"/>
        <v>0.76612264272573816</v>
      </c>
      <c r="W474" s="11">
        <f t="shared" ca="1" si="92"/>
        <v>0.56963231106419709</v>
      </c>
      <c r="X474" s="11">
        <f t="shared" ca="1" si="92"/>
        <v>0.33217682653396596</v>
      </c>
    </row>
    <row r="475" spans="12:24" x14ac:dyDescent="0.45">
      <c r="L475" s="9">
        <v>471</v>
      </c>
      <c r="M475" s="11">
        <f t="shared" ca="1" si="84"/>
        <v>5.9086533314484697</v>
      </c>
      <c r="N475" s="19">
        <f t="shared" ca="1" si="85"/>
        <v>1441.3539594833178</v>
      </c>
      <c r="O475" s="9">
        <f t="shared" ca="1" si="86"/>
        <v>1</v>
      </c>
      <c r="P475" s="9">
        <f t="shared" ca="1" si="87"/>
        <v>3</v>
      </c>
      <c r="Q475" s="11">
        <f t="shared" ca="1" si="88"/>
        <v>5.2525657834417823</v>
      </c>
      <c r="R475" s="11">
        <f t="shared" ca="1" si="89"/>
        <v>9.864834885763301</v>
      </c>
      <c r="S475" s="11">
        <f t="shared" ca="1" si="90"/>
        <v>0.75919572841860927</v>
      </c>
      <c r="T475" s="11">
        <f t="shared" ca="1" si="91"/>
        <v>0.4769260189949231</v>
      </c>
      <c r="V475" s="11">
        <f t="shared" ca="1" si="92"/>
        <v>0.75919572841860927</v>
      </c>
      <c r="W475" s="11">
        <f t="shared" ca="1" si="92"/>
        <v>0.28830682838144972</v>
      </c>
      <c r="X475" s="11">
        <f t="shared" ca="1" si="92"/>
        <v>8.8428417060628095E-2</v>
      </c>
    </row>
    <row r="476" spans="12:24" x14ac:dyDescent="0.45">
      <c r="L476" s="9">
        <v>472</v>
      </c>
      <c r="M476" s="11">
        <f t="shared" ca="1" si="84"/>
        <v>1.7006708898769372</v>
      </c>
      <c r="N476" s="19">
        <f t="shared" ca="1" si="85"/>
        <v>664.32968811088756</v>
      </c>
      <c r="O476" s="9">
        <f t="shared" ca="1" si="86"/>
        <v>1</v>
      </c>
      <c r="P476" s="9">
        <f t="shared" ca="1" si="87"/>
        <v>5</v>
      </c>
      <c r="Q476" s="11">
        <f t="shared" ca="1" si="88"/>
        <v>4.9374961425427113</v>
      </c>
      <c r="R476" s="11">
        <f t="shared" ca="1" si="89"/>
        <v>14.999744875613942</v>
      </c>
      <c r="S476" s="11" t="str">
        <f t="shared" ca="1" si="90"/>
        <v/>
      </c>
      <c r="T476" s="11">
        <f t="shared" ca="1" si="91"/>
        <v>1.0843005855155947</v>
      </c>
      <c r="V476" s="11">
        <f t="shared" ca="1" si="92"/>
        <v>0.922067582424135</v>
      </c>
      <c r="W476" s="11">
        <f t="shared" ca="1" si="92"/>
        <v>0.65159890341364191</v>
      </c>
      <c r="X476" s="11">
        <f t="shared" ca="1" si="92"/>
        <v>9.9952851179065272E-2</v>
      </c>
    </row>
    <row r="477" spans="12:24" x14ac:dyDescent="0.45">
      <c r="L477" s="9">
        <v>473</v>
      </c>
      <c r="M477" s="11">
        <f t="shared" ca="1" si="84"/>
        <v>1.2647835187222103</v>
      </c>
      <c r="N477" s="19">
        <f t="shared" ca="1" si="85"/>
        <v>637.0101338584949</v>
      </c>
      <c r="O477" s="9">
        <f t="shared" ca="1" si="86"/>
        <v>2</v>
      </c>
      <c r="P477" s="9">
        <f t="shared" ca="1" si="87"/>
        <v>3</v>
      </c>
      <c r="Q477" s="11">
        <f t="shared" ca="1" si="88"/>
        <v>11.016617060712157</v>
      </c>
      <c r="R477" s="11">
        <f t="shared" ca="1" si="89"/>
        <v>10.384855645763396</v>
      </c>
      <c r="S477" s="11">
        <f t="shared" ca="1" si="90"/>
        <v>0.58443600847246624</v>
      </c>
      <c r="T477" s="11">
        <f t="shared" ca="1" si="91"/>
        <v>7.4697584100087658E-2</v>
      </c>
      <c r="V477" s="11">
        <f t="shared" ca="1" si="92"/>
        <v>0.58443600847246624</v>
      </c>
      <c r="W477" s="11">
        <f t="shared" ca="1" si="92"/>
        <v>0.28525001431261365</v>
      </c>
      <c r="X477" s="11">
        <f t="shared" ca="1" si="92"/>
        <v>0.61133365217838875</v>
      </c>
    </row>
    <row r="478" spans="12:24" x14ac:dyDescent="0.45">
      <c r="L478" s="9">
        <v>474</v>
      </c>
      <c r="M478" s="11">
        <f t="shared" ca="1" si="84"/>
        <v>0.1969699513019938</v>
      </c>
      <c r="N478" s="19">
        <f t="shared" ca="1" si="85"/>
        <v>493.53893360177233</v>
      </c>
      <c r="O478" s="9">
        <f t="shared" ca="1" si="86"/>
        <v>2</v>
      </c>
      <c r="P478" s="9">
        <f t="shared" ca="1" si="87"/>
        <v>0</v>
      </c>
      <c r="Q478" s="11">
        <f t="shared" ca="1" si="88"/>
        <v>5.4443446982849695</v>
      </c>
      <c r="R478" s="11">
        <f t="shared" ca="1" si="89"/>
        <v>12.020387465891874</v>
      </c>
      <c r="S478" s="11" t="str">
        <f t="shared" ca="1" si="90"/>
        <v/>
      </c>
      <c r="T478" s="11">
        <f t="shared" ca="1" si="91"/>
        <v>4.4137129823668539</v>
      </c>
      <c r="V478" s="11">
        <f t="shared" ca="1" si="92"/>
        <v>0.12289272245527794</v>
      </c>
      <c r="W478" s="11">
        <f t="shared" ca="1" si="92"/>
        <v>0.5011991404488384</v>
      </c>
      <c r="X478" s="11">
        <f t="shared" ca="1" si="92"/>
        <v>0.7131943546334788</v>
      </c>
    </row>
    <row r="479" spans="12:24" x14ac:dyDescent="0.45">
      <c r="L479" s="9">
        <v>475</v>
      </c>
      <c r="M479" s="11">
        <f t="shared" ca="1" si="84"/>
        <v>0.54110595463836519</v>
      </c>
      <c r="N479" s="19">
        <f t="shared" ca="1" si="85"/>
        <v>881.49546973635165</v>
      </c>
      <c r="O479" s="9">
        <f t="shared" ca="1" si="86"/>
        <v>1</v>
      </c>
      <c r="P479" s="9">
        <f t="shared" ca="1" si="87"/>
        <v>3</v>
      </c>
      <c r="Q479" s="11">
        <f t="shared" ca="1" si="88"/>
        <v>5.4934439545247411</v>
      </c>
      <c r="R479" s="11">
        <f t="shared" ca="1" si="89"/>
        <v>10.917853574975807</v>
      </c>
      <c r="S479" s="11">
        <f t="shared" ca="1" si="90"/>
        <v>0.47959810665202163</v>
      </c>
      <c r="T479" s="11">
        <f t="shared" ca="1" si="91"/>
        <v>2.6357855460592119</v>
      </c>
      <c r="V479" s="11">
        <f t="shared" ca="1" si="92"/>
        <v>0.47959810665202163</v>
      </c>
      <c r="W479" s="11">
        <f t="shared" ca="1" si="92"/>
        <v>0.70959227028439809</v>
      </c>
      <c r="X479" s="11">
        <f t="shared" ca="1" si="92"/>
        <v>0.36681954824720986</v>
      </c>
    </row>
    <row r="480" spans="12:24" x14ac:dyDescent="0.45">
      <c r="L480" s="9">
        <v>476</v>
      </c>
      <c r="M480" s="11">
        <f t="shared" ca="1" si="84"/>
        <v>5.6158359410663587</v>
      </c>
      <c r="N480" s="19">
        <f t="shared" ca="1" si="85"/>
        <v>941.88581014974716</v>
      </c>
      <c r="O480" s="9">
        <f t="shared" ca="1" si="86"/>
        <v>2</v>
      </c>
      <c r="P480" s="9">
        <f t="shared" ca="1" si="87"/>
        <v>4</v>
      </c>
      <c r="Q480" s="11">
        <f t="shared" ca="1" si="88"/>
        <v>12.479843654387734</v>
      </c>
      <c r="R480" s="11">
        <f t="shared" ca="1" si="89"/>
        <v>10.318536524543525</v>
      </c>
      <c r="S480" s="11" t="str">
        <f t="shared" ca="1" si="90"/>
        <v/>
      </c>
      <c r="T480" s="11">
        <f t="shared" ca="1" si="91"/>
        <v>4.2158345204969283</v>
      </c>
      <c r="V480" s="11">
        <f t="shared" ca="1" si="92"/>
        <v>2.4895304248003347E-2</v>
      </c>
      <c r="W480" s="11">
        <f t="shared" ca="1" si="92"/>
        <v>0.85860675408729437</v>
      </c>
      <c r="X480" s="11">
        <f t="shared" ca="1" si="92"/>
        <v>0.21152693322361837</v>
      </c>
    </row>
    <row r="481" spans="12:24" x14ac:dyDescent="0.45">
      <c r="L481" s="9">
        <v>477</v>
      </c>
      <c r="M481" s="11">
        <f t="shared" ca="1" si="84"/>
        <v>0.52841869219582172</v>
      </c>
      <c r="N481" s="19">
        <f t="shared" ca="1" si="85"/>
        <v>246.76973391231124</v>
      </c>
      <c r="O481" s="9">
        <f t="shared" ca="1" si="86"/>
        <v>1</v>
      </c>
      <c r="P481" s="9">
        <f t="shared" ca="1" si="87"/>
        <v>1</v>
      </c>
      <c r="Q481" s="11">
        <f t="shared" ca="1" si="88"/>
        <v>1.6873578777981069</v>
      </c>
      <c r="R481" s="11">
        <f t="shared" ca="1" si="89"/>
        <v>9.5695306274676319</v>
      </c>
      <c r="S481" s="11">
        <f t="shared" ca="1" si="90"/>
        <v>0.39271829235512801</v>
      </c>
      <c r="T481" s="11">
        <f t="shared" ca="1" si="91"/>
        <v>2.2830668590369294</v>
      </c>
      <c r="V481" s="11">
        <f t="shared" ca="1" si="92"/>
        <v>0.39271829235512801</v>
      </c>
      <c r="W481" s="11">
        <f t="shared" ca="1" si="92"/>
        <v>0.34475989170094479</v>
      </c>
      <c r="X481" s="11">
        <f t="shared" ca="1" si="92"/>
        <v>0.32702068082543578</v>
      </c>
    </row>
    <row r="482" spans="12:24" x14ac:dyDescent="0.45">
      <c r="L482" s="9">
        <v>478</v>
      </c>
      <c r="M482" s="11">
        <f t="shared" ca="1" si="84"/>
        <v>1.2307149923902356</v>
      </c>
      <c r="N482" s="19">
        <f t="shared" ca="1" si="85"/>
        <v>1284.7607943362138</v>
      </c>
      <c r="O482" s="9">
        <f t="shared" ca="1" si="86"/>
        <v>4</v>
      </c>
      <c r="P482" s="9">
        <f t="shared" ca="1" si="87"/>
        <v>4</v>
      </c>
      <c r="Q482" s="11">
        <f t="shared" ca="1" si="88"/>
        <v>5.1045864099121872</v>
      </c>
      <c r="R482" s="11">
        <f t="shared" ca="1" si="89"/>
        <v>8.3038459628823347</v>
      </c>
      <c r="S482" s="11">
        <f t="shared" ca="1" si="90"/>
        <v>0.31024618074978005</v>
      </c>
      <c r="T482" s="11">
        <f t="shared" ca="1" si="91"/>
        <v>0.75374946350842731</v>
      </c>
      <c r="V482" s="11">
        <f t="shared" ca="1" si="92"/>
        <v>0.31024618074978005</v>
      </c>
      <c r="W482" s="11">
        <f t="shared" ca="1" si="92"/>
        <v>0.6309091591225825</v>
      </c>
      <c r="X482" s="11">
        <f t="shared" ca="1" si="92"/>
        <v>8.9678550923685263E-2</v>
      </c>
    </row>
    <row r="483" spans="12:24" x14ac:dyDescent="0.45">
      <c r="L483" s="9">
        <v>479</v>
      </c>
      <c r="M483" s="11">
        <f t="shared" ca="1" si="84"/>
        <v>7.6243134794301035</v>
      </c>
      <c r="N483" s="19">
        <f t="shared" ca="1" si="85"/>
        <v>537.46570159364637</v>
      </c>
      <c r="O483" s="9">
        <f t="shared" ca="1" si="86"/>
        <v>1</v>
      </c>
      <c r="P483" s="9">
        <f t="shared" ca="1" si="87"/>
        <v>3</v>
      </c>
      <c r="Q483" s="11">
        <f t="shared" ca="1" si="88"/>
        <v>4.2566579196204755</v>
      </c>
      <c r="R483" s="11">
        <f t="shared" ca="1" si="89"/>
        <v>10.638072415291836</v>
      </c>
      <c r="S483" s="11">
        <f t="shared" ca="1" si="90"/>
        <v>0.37986984238256893</v>
      </c>
      <c r="T483" s="11">
        <f t="shared" ca="1" si="91"/>
        <v>6.4628711399475112</v>
      </c>
      <c r="V483" s="11">
        <f t="shared" ca="1" si="92"/>
        <v>0.37986984238256893</v>
      </c>
      <c r="W483" s="11">
        <f t="shared" ca="1" si="92"/>
        <v>0.50824071275623051</v>
      </c>
      <c r="X483" s="11">
        <f t="shared" ca="1" si="92"/>
        <v>0.9687574306228951</v>
      </c>
    </row>
    <row r="484" spans="12:24" x14ac:dyDescent="0.45">
      <c r="L484" s="9">
        <v>480</v>
      </c>
      <c r="M484" s="11">
        <f t="shared" ca="1" si="84"/>
        <v>2.8825742136764441</v>
      </c>
      <c r="N484" s="19">
        <f t="shared" ca="1" si="85"/>
        <v>1068.4197025579024</v>
      </c>
      <c r="O484" s="9">
        <f t="shared" ca="1" si="86"/>
        <v>3</v>
      </c>
      <c r="P484" s="9">
        <f t="shared" ca="1" si="87"/>
        <v>4</v>
      </c>
      <c r="Q484" s="11">
        <f t="shared" ca="1" si="88"/>
        <v>5.3926126855357781</v>
      </c>
      <c r="R484" s="11">
        <f t="shared" ca="1" si="89"/>
        <v>8.1074334832040815</v>
      </c>
      <c r="S484" s="11">
        <f t="shared" ca="1" si="90"/>
        <v>0.4807546291276007</v>
      </c>
      <c r="T484" s="11">
        <f t="shared" ca="1" si="91"/>
        <v>5.3229357415001033</v>
      </c>
      <c r="V484" s="11">
        <f t="shared" ca="1" si="92"/>
        <v>0.4807546291276007</v>
      </c>
      <c r="W484" s="11">
        <f t="shared" ca="1" si="92"/>
        <v>0.29145026091168169</v>
      </c>
      <c r="X484" s="11">
        <f t="shared" ca="1" si="92"/>
        <v>0.4171194591240357</v>
      </c>
    </row>
    <row r="485" spans="12:24" x14ac:dyDescent="0.45">
      <c r="L485" s="9">
        <v>481</v>
      </c>
      <c r="M485" s="11">
        <f t="shared" ca="1" si="84"/>
        <v>0.701499644487106</v>
      </c>
      <c r="N485" s="19">
        <f t="shared" ca="1" si="85"/>
        <v>1525.9489251521904</v>
      </c>
      <c r="O485" s="9">
        <f t="shared" ca="1" si="86"/>
        <v>1</v>
      </c>
      <c r="P485" s="9">
        <f t="shared" ca="1" si="87"/>
        <v>2</v>
      </c>
      <c r="Q485" s="11">
        <f t="shared" ca="1" si="88"/>
        <v>5.7635913542533963</v>
      </c>
      <c r="R485" s="11">
        <f t="shared" ca="1" si="89"/>
        <v>8.7204330396372871</v>
      </c>
      <c r="S485" s="11" t="str">
        <f t="shared" ca="1" si="90"/>
        <v/>
      </c>
      <c r="T485" s="11">
        <f t="shared" ca="1" si="91"/>
        <v>5.9329194640871972</v>
      </c>
      <c r="V485" s="11">
        <f t="shared" ref="V485:X504" ca="1" si="93">RAND()</f>
        <v>0.33422046187167154</v>
      </c>
      <c r="W485" s="11">
        <f t="shared" ca="1" si="93"/>
        <v>0.91508221504287446</v>
      </c>
      <c r="X485" s="11">
        <f t="shared" ca="1" si="93"/>
        <v>0.98995421120199922</v>
      </c>
    </row>
    <row r="486" spans="12:24" x14ac:dyDescent="0.45">
      <c r="L486" s="9">
        <v>482</v>
      </c>
      <c r="M486" s="11">
        <f t="shared" ca="1" si="84"/>
        <v>5.0682472844169784</v>
      </c>
      <c r="N486" s="19">
        <f t="shared" ca="1" si="85"/>
        <v>1401.1996710552578</v>
      </c>
      <c r="O486" s="9">
        <f t="shared" ca="1" si="86"/>
        <v>2</v>
      </c>
      <c r="P486" s="9">
        <f t="shared" ca="1" si="87"/>
        <v>1</v>
      </c>
      <c r="Q486" s="11">
        <f t="shared" ca="1" si="88"/>
        <v>2.7686944521540888</v>
      </c>
      <c r="R486" s="11">
        <f t="shared" ca="1" si="89"/>
        <v>11.205064392266243</v>
      </c>
      <c r="S486" s="11">
        <f t="shared" ca="1" si="90"/>
        <v>0.2377002528047848</v>
      </c>
      <c r="T486" s="11">
        <f t="shared" ca="1" si="91"/>
        <v>4.0380354552336435</v>
      </c>
      <c r="V486" s="11">
        <f t="shared" ca="1" si="93"/>
        <v>0.2377002528047848</v>
      </c>
      <c r="W486" s="11">
        <f t="shared" ca="1" si="93"/>
        <v>0.41839021713996805</v>
      </c>
      <c r="X486" s="11">
        <f t="shared" ca="1" si="93"/>
        <v>0.31489972371706576</v>
      </c>
    </row>
    <row r="487" spans="12:24" x14ac:dyDescent="0.45">
      <c r="L487" s="9">
        <v>483</v>
      </c>
      <c r="M487" s="11">
        <f t="shared" ca="1" si="84"/>
        <v>0.63680990819005867</v>
      </c>
      <c r="N487" s="19">
        <f t="shared" ca="1" si="85"/>
        <v>650.43463195844242</v>
      </c>
      <c r="O487" s="9">
        <f t="shared" ca="1" si="86"/>
        <v>1</v>
      </c>
      <c r="P487" s="9">
        <f t="shared" ca="1" si="87"/>
        <v>3</v>
      </c>
      <c r="Q487" s="11">
        <f t="shared" ca="1" si="88"/>
        <v>2.4961918891045025</v>
      </c>
      <c r="R487" s="11">
        <f t="shared" ca="1" si="89"/>
        <v>10.071193421249319</v>
      </c>
      <c r="S487" s="11">
        <f t="shared" ca="1" si="90"/>
        <v>0.30513926617832687</v>
      </c>
      <c r="T487" s="11">
        <f t="shared" ca="1" si="91"/>
        <v>11.219034974490262</v>
      </c>
      <c r="V487" s="11">
        <f t="shared" ca="1" si="93"/>
        <v>0.30513926617832687</v>
      </c>
      <c r="W487" s="11">
        <f t="shared" ca="1" si="93"/>
        <v>0.57765813689678402</v>
      </c>
      <c r="X487" s="11">
        <f t="shared" ca="1" si="93"/>
        <v>0.82944033205218848</v>
      </c>
    </row>
    <row r="488" spans="12:24" x14ac:dyDescent="0.45">
      <c r="L488" s="9">
        <v>484</v>
      </c>
      <c r="M488" s="11">
        <f t="shared" ca="1" si="84"/>
        <v>1.2580005967061019</v>
      </c>
      <c r="N488" s="19">
        <f t="shared" ca="1" si="85"/>
        <v>1064.4451354580622</v>
      </c>
      <c r="O488" s="9">
        <f t="shared" ca="1" si="86"/>
        <v>2</v>
      </c>
      <c r="P488" s="9">
        <f t="shared" ca="1" si="87"/>
        <v>3</v>
      </c>
      <c r="Q488" s="11">
        <f t="shared" ca="1" si="88"/>
        <v>9.4118149452436946</v>
      </c>
      <c r="R488" s="11">
        <f t="shared" ca="1" si="89"/>
        <v>7.623116542587379</v>
      </c>
      <c r="S488" s="11">
        <f t="shared" ca="1" si="90"/>
        <v>0.72927304341357091</v>
      </c>
      <c r="T488" s="11">
        <f t="shared" ca="1" si="91"/>
        <v>8.014059697354762</v>
      </c>
      <c r="V488" s="11">
        <f t="shared" ca="1" si="93"/>
        <v>0.72927304341357091</v>
      </c>
      <c r="W488" s="11">
        <f t="shared" ca="1" si="93"/>
        <v>0.60672125486291917</v>
      </c>
      <c r="X488" s="11">
        <f t="shared" ca="1" si="93"/>
        <v>0.88560353424350824</v>
      </c>
    </row>
    <row r="489" spans="12:24" x14ac:dyDescent="0.45">
      <c r="L489" s="9">
        <v>485</v>
      </c>
      <c r="M489" s="11">
        <f t="shared" ca="1" si="84"/>
        <v>4.6650815405038548</v>
      </c>
      <c r="N489" s="19">
        <f t="shared" ca="1" si="85"/>
        <v>747.80818425975599</v>
      </c>
      <c r="O489" s="9">
        <f t="shared" ca="1" si="86"/>
        <v>3</v>
      </c>
      <c r="P489" s="9">
        <f t="shared" ca="1" si="87"/>
        <v>2</v>
      </c>
      <c r="Q489" s="11">
        <f t="shared" ca="1" si="88"/>
        <v>9.0395843597549632</v>
      </c>
      <c r="R489" s="11">
        <f t="shared" ca="1" si="89"/>
        <v>8.7766077660137221</v>
      </c>
      <c r="S489" s="11" t="str">
        <f t="shared" ca="1" si="90"/>
        <v/>
      </c>
      <c r="T489" s="11">
        <f t="shared" ca="1" si="91"/>
        <v>0.71268816229640686</v>
      </c>
      <c r="V489" s="11">
        <f t="shared" ca="1" si="93"/>
        <v>0.97359607402080972</v>
      </c>
      <c r="W489" s="11">
        <f t="shared" ca="1" si="93"/>
        <v>0.46028265262691659</v>
      </c>
      <c r="X489" s="11">
        <f t="shared" ca="1" si="93"/>
        <v>7.1768217780386334E-2</v>
      </c>
    </row>
    <row r="490" spans="12:24" x14ac:dyDescent="0.45">
      <c r="L490" s="9">
        <v>486</v>
      </c>
      <c r="M490" s="11">
        <f t="shared" ca="1" si="84"/>
        <v>4.0701118475133491</v>
      </c>
      <c r="N490" s="19">
        <f t="shared" ca="1" si="85"/>
        <v>985.18248394213549</v>
      </c>
      <c r="O490" s="9">
        <f t="shared" ca="1" si="86"/>
        <v>2</v>
      </c>
      <c r="P490" s="9">
        <f t="shared" ca="1" si="87"/>
        <v>5</v>
      </c>
      <c r="Q490" s="11">
        <f t="shared" ca="1" si="88"/>
        <v>6.5925322590242939</v>
      </c>
      <c r="R490" s="11">
        <f t="shared" ca="1" si="89"/>
        <v>13.361327322838411</v>
      </c>
      <c r="S490" s="11">
        <f t="shared" ca="1" si="90"/>
        <v>0.63067996122140946</v>
      </c>
      <c r="T490" s="11">
        <f t="shared" ca="1" si="91"/>
        <v>1.6369030208485029</v>
      </c>
      <c r="V490" s="11">
        <f t="shared" ca="1" si="93"/>
        <v>0.63067996122140946</v>
      </c>
      <c r="W490" s="11">
        <f t="shared" ca="1" si="93"/>
        <v>0.16045354489029584</v>
      </c>
      <c r="X490" s="11">
        <f t="shared" ca="1" si="93"/>
        <v>0.1830929120670034</v>
      </c>
    </row>
    <row r="491" spans="12:24" x14ac:dyDescent="0.45">
      <c r="L491" s="9">
        <v>487</v>
      </c>
      <c r="M491" s="11">
        <f t="shared" ca="1" si="84"/>
        <v>3.5318864058013753</v>
      </c>
      <c r="N491" s="19">
        <f t="shared" ca="1" si="85"/>
        <v>1310.3080301163136</v>
      </c>
      <c r="O491" s="9">
        <f t="shared" ca="1" si="86"/>
        <v>2</v>
      </c>
      <c r="P491" s="9">
        <f t="shared" ca="1" si="87"/>
        <v>4</v>
      </c>
      <c r="Q491" s="11">
        <f t="shared" ca="1" si="88"/>
        <v>9.8123145395535314</v>
      </c>
      <c r="R491" s="11">
        <f t="shared" ca="1" si="89"/>
        <v>9.6921086626403561</v>
      </c>
      <c r="S491" s="11">
        <f t="shared" ca="1" si="90"/>
        <v>0.54188027315630716</v>
      </c>
      <c r="T491" s="11">
        <f t="shared" ca="1" si="91"/>
        <v>5.1971227760969026E-2</v>
      </c>
      <c r="V491" s="11">
        <f t="shared" ca="1" si="93"/>
        <v>0.54188027315630716</v>
      </c>
      <c r="W491" s="11">
        <f t="shared" ca="1" si="93"/>
        <v>0.6117444672248431</v>
      </c>
      <c r="X491" s="11">
        <f t="shared" ca="1" si="93"/>
        <v>0.21153660607815228</v>
      </c>
    </row>
    <row r="492" spans="12:24" x14ac:dyDescent="0.45">
      <c r="L492" s="9">
        <v>488</v>
      </c>
      <c r="M492" s="11">
        <f t="shared" ca="1" si="84"/>
        <v>4.6204199972701696</v>
      </c>
      <c r="N492" s="19">
        <f t="shared" ca="1" si="85"/>
        <v>499.65587949260862</v>
      </c>
      <c r="O492" s="9">
        <f t="shared" ca="1" si="86"/>
        <v>1</v>
      </c>
      <c r="P492" s="9">
        <f t="shared" ca="1" si="87"/>
        <v>7</v>
      </c>
      <c r="Q492" s="11">
        <f t="shared" ca="1" si="88"/>
        <v>3.6356791504131385</v>
      </c>
      <c r="R492" s="11">
        <f t="shared" ca="1" si="89"/>
        <v>8.9344219658420521</v>
      </c>
      <c r="S492" s="11">
        <f t="shared" ca="1" si="90"/>
        <v>0.4015443125118523</v>
      </c>
      <c r="T492" s="11">
        <f t="shared" ca="1" si="91"/>
        <v>3.8598270079267221</v>
      </c>
      <c r="V492" s="11">
        <f t="shared" ca="1" si="93"/>
        <v>0.4015443125118523</v>
      </c>
      <c r="W492" s="11">
        <f t="shared" ca="1" si="93"/>
        <v>0.32184775537253163</v>
      </c>
      <c r="X492" s="11">
        <f t="shared" ca="1" si="93"/>
        <v>0.29218693842145604</v>
      </c>
    </row>
    <row r="493" spans="12:24" x14ac:dyDescent="0.45">
      <c r="L493" s="9">
        <v>489</v>
      </c>
      <c r="M493" s="11">
        <f t="shared" ca="1" si="84"/>
        <v>3.7075752790702508</v>
      </c>
      <c r="N493" s="19">
        <f t="shared" ca="1" si="85"/>
        <v>482.6493131535251</v>
      </c>
      <c r="O493" s="9">
        <f t="shared" ca="1" si="86"/>
        <v>1</v>
      </c>
      <c r="P493" s="9">
        <f t="shared" ca="1" si="87"/>
        <v>1</v>
      </c>
      <c r="Q493" s="11">
        <f t="shared" ca="1" si="88"/>
        <v>3.330341045048316</v>
      </c>
      <c r="R493" s="11">
        <f t="shared" ca="1" si="89"/>
        <v>13.705530457616518</v>
      </c>
      <c r="S493" s="11">
        <f t="shared" ca="1" si="90"/>
        <v>0.70721781673921069</v>
      </c>
      <c r="T493" s="11">
        <f t="shared" ca="1" si="91"/>
        <v>0.22173780908194352</v>
      </c>
      <c r="V493" s="11">
        <f t="shared" ca="1" si="93"/>
        <v>0.70721781673921069</v>
      </c>
      <c r="W493" s="11">
        <f t="shared" ca="1" si="93"/>
        <v>0.78374032929843473</v>
      </c>
      <c r="X493" s="11">
        <f t="shared" ca="1" si="93"/>
        <v>0.51768946331635879</v>
      </c>
    </row>
    <row r="494" spans="12:24" x14ac:dyDescent="0.45">
      <c r="L494" s="9">
        <v>490</v>
      </c>
      <c r="M494" s="11">
        <f t="shared" ca="1" si="84"/>
        <v>1.0370331106031396</v>
      </c>
      <c r="N494" s="19">
        <f t="shared" ca="1" si="85"/>
        <v>244.7229425524593</v>
      </c>
      <c r="O494" s="9">
        <f t="shared" ca="1" si="86"/>
        <v>2</v>
      </c>
      <c r="P494" s="9">
        <f t="shared" ca="1" si="87"/>
        <v>5</v>
      </c>
      <c r="Q494" s="11">
        <f t="shared" ca="1" si="88"/>
        <v>15.229293127608777</v>
      </c>
      <c r="R494" s="11">
        <f t="shared" ca="1" si="89"/>
        <v>8.7282327169829284</v>
      </c>
      <c r="S494" s="11">
        <f t="shared" ca="1" si="90"/>
        <v>0.51360168168088871</v>
      </c>
      <c r="T494" s="11">
        <f t="shared" ca="1" si="91"/>
        <v>6.5830303257099878</v>
      </c>
      <c r="V494" s="11">
        <f t="shared" ca="1" si="93"/>
        <v>0.51360168168088871</v>
      </c>
      <c r="W494" s="11">
        <f t="shared" ca="1" si="93"/>
        <v>0.807370463996816</v>
      </c>
      <c r="X494" s="11">
        <f t="shared" ca="1" si="93"/>
        <v>0.27553386042257844</v>
      </c>
    </row>
    <row r="495" spans="12:24" x14ac:dyDescent="0.45">
      <c r="L495" s="9">
        <v>491</v>
      </c>
      <c r="M495" s="11">
        <f t="shared" ca="1" si="84"/>
        <v>3.0397532557704965</v>
      </c>
      <c r="N495" s="19">
        <f t="shared" ca="1" si="85"/>
        <v>618.04614111630326</v>
      </c>
      <c r="O495" s="9">
        <f t="shared" ca="1" si="86"/>
        <v>1</v>
      </c>
      <c r="P495" s="9">
        <f t="shared" ca="1" si="87"/>
        <v>1</v>
      </c>
      <c r="Q495" s="11">
        <f t="shared" ca="1" si="88"/>
        <v>2.7206899881242306</v>
      </c>
      <c r="R495" s="11">
        <f t="shared" ca="1" si="89"/>
        <v>10.607861073387443</v>
      </c>
      <c r="S495" s="11">
        <f t="shared" ca="1" si="90"/>
        <v>0.47897775058486936</v>
      </c>
      <c r="T495" s="11">
        <f t="shared" ca="1" si="91"/>
        <v>0.72014983303538582</v>
      </c>
      <c r="V495" s="11">
        <f t="shared" ca="1" si="93"/>
        <v>0.47897775058486936</v>
      </c>
      <c r="W495" s="11">
        <f t="shared" ca="1" si="93"/>
        <v>0.41109061393649204</v>
      </c>
      <c r="X495" s="11">
        <f t="shared" ca="1" si="93"/>
        <v>0.42622868886422727</v>
      </c>
    </row>
    <row r="496" spans="12:24" x14ac:dyDescent="0.45">
      <c r="L496" s="9">
        <v>492</v>
      </c>
      <c r="M496" s="11">
        <f t="shared" ca="1" si="84"/>
        <v>2.25965554916489</v>
      </c>
      <c r="N496" s="19">
        <f t="shared" ca="1" si="85"/>
        <v>1434.1948357527456</v>
      </c>
      <c r="O496" s="9">
        <f t="shared" ca="1" si="86"/>
        <v>2</v>
      </c>
      <c r="P496" s="9">
        <f t="shared" ca="1" si="87"/>
        <v>5</v>
      </c>
      <c r="Q496" s="11">
        <f t="shared" ca="1" si="88"/>
        <v>4.2081335113752489</v>
      </c>
      <c r="R496" s="11">
        <f t="shared" ca="1" si="89"/>
        <v>7.3305100160108445</v>
      </c>
      <c r="S496" s="11" t="str">
        <f t="shared" ca="1" si="90"/>
        <v/>
      </c>
      <c r="T496" s="11">
        <f t="shared" ca="1" si="91"/>
        <v>4.4727390952148172</v>
      </c>
      <c r="V496" s="11">
        <f t="shared" ca="1" si="93"/>
        <v>1.5277307245488703E-2</v>
      </c>
      <c r="W496" s="11">
        <f t="shared" ca="1" si="93"/>
        <v>0.88701045558274472</v>
      </c>
      <c r="X496" s="11">
        <f t="shared" ca="1" si="93"/>
        <v>0.27289477115003036</v>
      </c>
    </row>
    <row r="497" spans="12:24" x14ac:dyDescent="0.45">
      <c r="L497" s="9">
        <v>493</v>
      </c>
      <c r="M497" s="11">
        <f t="shared" ca="1" si="84"/>
        <v>4.1404098276670895</v>
      </c>
      <c r="N497" s="19">
        <f t="shared" ca="1" si="85"/>
        <v>539.00236586146286</v>
      </c>
      <c r="O497" s="9">
        <f t="shared" ca="1" si="86"/>
        <v>1</v>
      </c>
      <c r="P497" s="9">
        <f t="shared" ca="1" si="87"/>
        <v>6</v>
      </c>
      <c r="Q497" s="11">
        <f t="shared" ca="1" si="88"/>
        <v>3.4012162800403138</v>
      </c>
      <c r="R497" s="11">
        <f t="shared" ca="1" si="89"/>
        <v>7.1853548848500814</v>
      </c>
      <c r="S497" s="11">
        <f t="shared" ca="1" si="90"/>
        <v>0.4443812892689526</v>
      </c>
      <c r="T497" s="11">
        <f t="shared" ca="1" si="91"/>
        <v>2.4676157339346743</v>
      </c>
      <c r="V497" s="11">
        <f t="shared" ca="1" si="93"/>
        <v>0.4443812892689526</v>
      </c>
      <c r="W497" s="11">
        <f t="shared" ca="1" si="93"/>
        <v>0.72799935210816413</v>
      </c>
      <c r="X497" s="11">
        <f t="shared" ca="1" si="93"/>
        <v>0.24295285310839621</v>
      </c>
    </row>
    <row r="498" spans="12:24" x14ac:dyDescent="0.45">
      <c r="L498" s="9">
        <v>494</v>
      </c>
      <c r="M498" s="11">
        <f t="shared" ca="1" si="84"/>
        <v>3.0974589021075207</v>
      </c>
      <c r="N498" s="19">
        <f t="shared" ca="1" si="85"/>
        <v>294.26709010534955</v>
      </c>
      <c r="O498" s="9">
        <f t="shared" ca="1" si="86"/>
        <v>1</v>
      </c>
      <c r="P498" s="9">
        <f t="shared" ca="1" si="87"/>
        <v>2</v>
      </c>
      <c r="Q498" s="11">
        <f t="shared" ca="1" si="88"/>
        <v>5.584468313134793</v>
      </c>
      <c r="R498" s="11">
        <f t="shared" ca="1" si="89"/>
        <v>11.33998370833293</v>
      </c>
      <c r="S498" s="11">
        <f t="shared" ca="1" si="90"/>
        <v>0.44112441186241003</v>
      </c>
      <c r="T498" s="11">
        <f t="shared" ca="1" si="91"/>
        <v>2.4456333524658791</v>
      </c>
      <c r="V498" s="11">
        <f t="shared" ca="1" si="93"/>
        <v>0.44112441186241003</v>
      </c>
      <c r="W498" s="11">
        <f t="shared" ca="1" si="93"/>
        <v>0.42492758278730691</v>
      </c>
      <c r="X498" s="11">
        <f t="shared" ca="1" si="93"/>
        <v>0.49490356213347542</v>
      </c>
    </row>
    <row r="499" spans="12:24" x14ac:dyDescent="0.45">
      <c r="L499" s="9">
        <v>495</v>
      </c>
      <c r="M499" s="11">
        <f t="shared" ca="1" si="84"/>
        <v>3.1075655971147338</v>
      </c>
      <c r="N499" s="19">
        <f t="shared" ca="1" si="85"/>
        <v>948.56035220581248</v>
      </c>
      <c r="O499" s="9">
        <f t="shared" ca="1" si="86"/>
        <v>1</v>
      </c>
      <c r="P499" s="9">
        <f t="shared" ca="1" si="87"/>
        <v>4</v>
      </c>
      <c r="Q499" s="11">
        <f t="shared" ca="1" si="88"/>
        <v>8.9980199320522036</v>
      </c>
      <c r="R499" s="11">
        <f t="shared" ca="1" si="89"/>
        <v>8.2741672422914654</v>
      </c>
      <c r="S499" s="11">
        <f t="shared" ca="1" si="90"/>
        <v>0.81474198568633216</v>
      </c>
      <c r="T499" s="11">
        <f t="shared" ca="1" si="91"/>
        <v>1.0581546762339971</v>
      </c>
      <c r="V499" s="11">
        <f t="shared" ca="1" si="93"/>
        <v>0.81474198568633216</v>
      </c>
      <c r="W499" s="11">
        <f t="shared" ca="1" si="93"/>
        <v>9.7012751299960231E-2</v>
      </c>
      <c r="X499" s="11">
        <f t="shared" ca="1" si="93"/>
        <v>0.49800251489458724</v>
      </c>
    </row>
    <row r="500" spans="12:24" x14ac:dyDescent="0.45">
      <c r="L500" s="9">
        <v>496</v>
      </c>
      <c r="M500" s="11">
        <f t="shared" ca="1" si="84"/>
        <v>1.8423069544057842</v>
      </c>
      <c r="N500" s="19">
        <f t="shared" ca="1" si="85"/>
        <v>560.86959509698204</v>
      </c>
      <c r="O500" s="9">
        <f t="shared" ca="1" si="86"/>
        <v>1</v>
      </c>
      <c r="P500" s="9">
        <f t="shared" ca="1" si="87"/>
        <v>2</v>
      </c>
      <c r="Q500" s="11">
        <f t="shared" ca="1" si="88"/>
        <v>6.1829780276204138</v>
      </c>
      <c r="R500" s="11">
        <f t="shared" ca="1" si="89"/>
        <v>10.725793363878182</v>
      </c>
      <c r="S500" s="11">
        <f t="shared" ca="1" si="90"/>
        <v>0.64437212111815478</v>
      </c>
      <c r="T500" s="11">
        <f t="shared" ca="1" si="91"/>
        <v>1.9921632220057803</v>
      </c>
      <c r="V500" s="11">
        <f t="shared" ca="1" si="93"/>
        <v>0.64437212111815478</v>
      </c>
      <c r="W500" s="11">
        <f t="shared" ca="1" si="93"/>
        <v>0.6708463601156951</v>
      </c>
      <c r="X500" s="11">
        <f t="shared" ca="1" si="93"/>
        <v>0.78453020019477326</v>
      </c>
    </row>
    <row r="501" spans="12:24" x14ac:dyDescent="0.45">
      <c r="L501" s="9">
        <v>497</v>
      </c>
      <c r="M501" s="11">
        <f t="shared" ca="1" si="84"/>
        <v>0.44734339680858376</v>
      </c>
      <c r="N501" s="19">
        <f t="shared" ca="1" si="85"/>
        <v>1413.1301429209036</v>
      </c>
      <c r="O501" s="9">
        <f t="shared" ca="1" si="86"/>
        <v>1</v>
      </c>
      <c r="P501" s="9">
        <f t="shared" ca="1" si="87"/>
        <v>6</v>
      </c>
      <c r="Q501" s="11">
        <f t="shared" ca="1" si="88"/>
        <v>9.5119959613564049</v>
      </c>
      <c r="R501" s="11">
        <f t="shared" ca="1" si="89"/>
        <v>9.5344073538911687</v>
      </c>
      <c r="S501" s="11" t="str">
        <f t="shared" ca="1" si="90"/>
        <v/>
      </c>
      <c r="T501" s="11">
        <f t="shared" ca="1" si="91"/>
        <v>1.7268689754651849</v>
      </c>
      <c r="V501" s="11">
        <f t="shared" ca="1" si="93"/>
        <v>0.12998928961841827</v>
      </c>
      <c r="W501" s="11">
        <f t="shared" ca="1" si="93"/>
        <v>0.59895393333420144</v>
      </c>
      <c r="X501" s="11">
        <f t="shared" ca="1" si="93"/>
        <v>9.162775035501336E-2</v>
      </c>
    </row>
    <row r="502" spans="12:24" x14ac:dyDescent="0.45">
      <c r="L502" s="9">
        <v>498</v>
      </c>
      <c r="M502" s="11">
        <f t="shared" ca="1" si="84"/>
        <v>3.5351800369782946</v>
      </c>
      <c r="N502" s="19">
        <f t="shared" ca="1" si="85"/>
        <v>1054.2924404728756</v>
      </c>
      <c r="O502" s="9">
        <f t="shared" ca="1" si="86"/>
        <v>3</v>
      </c>
      <c r="P502" s="9">
        <f t="shared" ca="1" si="87"/>
        <v>2</v>
      </c>
      <c r="Q502" s="11">
        <f t="shared" ca="1" si="88"/>
        <v>5.4127230906682753</v>
      </c>
      <c r="R502" s="11">
        <f t="shared" ca="1" si="89"/>
        <v>10.180407661390751</v>
      </c>
      <c r="S502" s="11">
        <f t="shared" ca="1" si="90"/>
        <v>0.22359290570976964</v>
      </c>
      <c r="T502" s="11">
        <f t="shared" ca="1" si="91"/>
        <v>1.9331800606836045</v>
      </c>
      <c r="V502" s="11">
        <f t="shared" ca="1" si="93"/>
        <v>0.22359290570976964</v>
      </c>
      <c r="W502" s="11">
        <f t="shared" ca="1" si="93"/>
        <v>0.2851759427788717</v>
      </c>
      <c r="X502" s="11">
        <f t="shared" ca="1" si="93"/>
        <v>2.4602341649278769E-2</v>
      </c>
    </row>
    <row r="503" spans="12:24" x14ac:dyDescent="0.45">
      <c r="L503" s="9">
        <v>499</v>
      </c>
      <c r="M503" s="11">
        <f t="shared" ca="1" si="84"/>
        <v>10.156712839075846</v>
      </c>
      <c r="N503" s="19">
        <f t="shared" ca="1" si="85"/>
        <v>1052.1657591912028</v>
      </c>
      <c r="O503" s="9">
        <f t="shared" ca="1" si="86"/>
        <v>1</v>
      </c>
      <c r="P503" s="9">
        <f t="shared" ca="1" si="87"/>
        <v>2</v>
      </c>
      <c r="Q503" s="11">
        <f t="shared" ca="1" si="88"/>
        <v>6.2877023825256693</v>
      </c>
      <c r="R503" s="11">
        <f t="shared" ca="1" si="89"/>
        <v>10.824824640418635</v>
      </c>
      <c r="S503" s="11" t="str">
        <f t="shared" ca="1" si="90"/>
        <v/>
      </c>
      <c r="T503" s="11">
        <f t="shared" ca="1" si="91"/>
        <v>7.9308917852640128</v>
      </c>
      <c r="V503" s="11">
        <f t="shared" ca="1" si="93"/>
        <v>0.34062701465119893</v>
      </c>
      <c r="W503" s="11">
        <f t="shared" ca="1" si="93"/>
        <v>0.95041845234583522</v>
      </c>
      <c r="X503" s="11">
        <f t="shared" ca="1" si="93"/>
        <v>0.98087930087654263</v>
      </c>
    </row>
    <row r="504" spans="12:24" x14ac:dyDescent="0.45">
      <c r="L504" s="9">
        <v>500</v>
      </c>
      <c r="M504" s="11">
        <f t="shared" ca="1" si="84"/>
        <v>0.88423199209081527</v>
      </c>
      <c r="N504" s="19">
        <f t="shared" ca="1" si="85"/>
        <v>903.06702479982016</v>
      </c>
      <c r="O504" s="9">
        <f t="shared" ca="1" si="86"/>
        <v>3</v>
      </c>
      <c r="P504" s="9">
        <f t="shared" ca="1" si="87"/>
        <v>3</v>
      </c>
      <c r="Q504" s="11">
        <f t="shared" ca="1" si="88"/>
        <v>3.8359798445089384</v>
      </c>
      <c r="R504" s="11">
        <f t="shared" ca="1" si="89"/>
        <v>8.4178094993083388</v>
      </c>
      <c r="S504" s="11" t="str">
        <f t="shared" ca="1" si="90"/>
        <v/>
      </c>
      <c r="T504" s="11">
        <f t="shared" ca="1" si="91"/>
        <v>2.0882345431197766</v>
      </c>
      <c r="V504" s="11">
        <f t="shared" ca="1" si="93"/>
        <v>6.2913151017776503E-2</v>
      </c>
      <c r="W504" s="11">
        <f t="shared" ca="1" si="93"/>
        <v>0.53732590937003355</v>
      </c>
      <c r="X504" s="11">
        <f t="shared" ca="1" si="93"/>
        <v>0.10374000797951732</v>
      </c>
    </row>
  </sheetData>
  <mergeCells count="13">
    <mergeCell ref="H14:I15"/>
    <mergeCell ref="C5:E5"/>
    <mergeCell ref="F10:G11"/>
    <mergeCell ref="H10:I11"/>
    <mergeCell ref="H18:I19"/>
    <mergeCell ref="F18:G19"/>
    <mergeCell ref="F17:G17"/>
    <mergeCell ref="F13:G13"/>
    <mergeCell ref="F14:G15"/>
    <mergeCell ref="H13:I13"/>
    <mergeCell ref="H9:I9"/>
    <mergeCell ref="F9:G9"/>
    <mergeCell ref="H17:I17"/>
  </mergeCells>
  <conditionalFormatting sqref="B47:D54">
    <cfRule type="expression" dxfId="1" priority="1">
      <formula>ROW()-46=$C$6</formula>
    </cfRule>
  </conditionalFormatting>
  <dataValidations count="1">
    <dataValidation type="list" sqref="C5">
      <formula1>"Inversa: exponencial,Inversa: Weibull,Inversa: geométrica,Inversa: Poisson,Convolución: Erlang,Convolución: normal (12 U),Aceptación-rechazo: Beta(2,2),Composición: hiperexponencial"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4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3" customWidth="1"/>
    <col min="2" max="2" width="34" customWidth="1"/>
    <col min="3" max="9" width="12" customWidth="1"/>
    <col min="10" max="11" width="3" customWidth="1"/>
    <col min="12" max="12" width="6" customWidth="1"/>
    <col min="13" max="14" width="10" customWidth="1"/>
    <col min="15" max="15" width="9" customWidth="1"/>
    <col min="16" max="18" width="10" customWidth="1"/>
    <col min="19" max="19" width="9" customWidth="1"/>
    <col min="20" max="20" width="8" customWidth="1"/>
    <col min="21" max="21" width="3" customWidth="1"/>
    <col min="22" max="22" width="6" customWidth="1"/>
    <col min="23" max="24" width="10" customWidth="1"/>
    <col min="25" max="25" width="11" customWidth="1"/>
  </cols>
  <sheetData>
    <row r="1" spans="1:25" ht="15" customHeight="1" x14ac:dyDescent="0.6">
      <c r="A1" s="1" t="s">
        <v>243</v>
      </c>
    </row>
    <row r="2" spans="1:25" ht="15" customHeight="1" x14ac:dyDescent="0.45">
      <c r="A2" s="2" t="s">
        <v>244</v>
      </c>
    </row>
    <row r="3" spans="1:25" ht="15" customHeight="1" x14ac:dyDescent="0.45"/>
    <row r="4" spans="1:25" ht="28.05" customHeight="1" x14ac:dyDescent="0.45">
      <c r="L4" s="3" t="s">
        <v>29</v>
      </c>
      <c r="M4" s="3" t="s">
        <v>245</v>
      </c>
      <c r="N4" s="3" t="s">
        <v>246</v>
      </c>
      <c r="O4" s="3" t="s">
        <v>247</v>
      </c>
      <c r="P4" s="3" t="s">
        <v>248</v>
      </c>
      <c r="Q4" s="3" t="s">
        <v>249</v>
      </c>
      <c r="R4" s="3" t="s">
        <v>250</v>
      </c>
      <c r="S4" s="3" t="s">
        <v>251</v>
      </c>
      <c r="T4" s="3" t="s">
        <v>252</v>
      </c>
      <c r="V4" s="3" t="s">
        <v>234</v>
      </c>
      <c r="W4" s="3" t="s">
        <v>253</v>
      </c>
      <c r="X4" s="3" t="s">
        <v>254</v>
      </c>
      <c r="Y4" s="20" t="s">
        <v>255</v>
      </c>
    </row>
    <row r="5" spans="1:25" ht="15" customHeight="1" x14ac:dyDescent="0.45">
      <c r="B5" s="4" t="s">
        <v>256</v>
      </c>
      <c r="C5" s="66" t="s">
        <v>257</v>
      </c>
      <c r="D5" s="58"/>
      <c r="E5" s="59"/>
      <c r="L5" s="9">
        <v>1</v>
      </c>
      <c r="M5" s="9">
        <f t="shared" ref="M5:M68" ca="1" si="0">INDEX($V$5:$V$45,MATCH(RAND(),$W$5:$W$45,1))</f>
        <v>5</v>
      </c>
      <c r="N5" s="9" t="str">
        <f t="shared" ref="N5:N68" ca="1" si="1">CHAR(65+INT(RAND()*26))&amp;CHAR(65+INT(RAND()*26))&amp;CHAR(65+INT(RAND()*26))&amp;TEXT(INT(RAND()*1000),"000")</f>
        <v>GDR877</v>
      </c>
      <c r="O5" s="11">
        <f t="shared" ref="O5:O68" ca="1" si="2">_xlfn.BETA.INV(RAND(),$C$10,$C$11)</f>
        <v>0.93466121451421935</v>
      </c>
      <c r="P5" s="9">
        <f t="shared" ref="P5:P68" ca="1" si="3">MAX(1,ROUNDUP(LN(1-RAND())/LN(1-$C$13),0))</f>
        <v>1</v>
      </c>
      <c r="Q5" s="19">
        <f t="shared" ref="Q5:Q68" ca="1" si="4">_xlfn.LOGNORM.INV(RAND(),LN($C$14),$C$15)</f>
        <v>20.284117209643934</v>
      </c>
      <c r="R5" s="10">
        <f t="shared" ref="R5:R68" ca="1" si="5">_xlfn.NORM.INV(RAND(),0,$C$16)</f>
        <v>0.43495276019406648</v>
      </c>
      <c r="S5" s="9">
        <f t="shared" ref="S5:S68" ca="1" si="6">INDEX($V$6:$V$45,MATCH(RAND(),$X$6:$X$45,1))</f>
        <v>9</v>
      </c>
      <c r="T5" s="9" t="str">
        <f t="shared" ref="T5:T68" ca="1" si="7">IF(AND(O5&gt;=$C$12,P5&lt;=5),"sí","no")</f>
        <v>sí</v>
      </c>
      <c r="V5" s="9">
        <v>0</v>
      </c>
      <c r="W5" s="12">
        <f>0</f>
        <v>0</v>
      </c>
      <c r="X5" s="12">
        <f>0</f>
        <v>0</v>
      </c>
    </row>
    <row r="6" spans="1:25" ht="15" customHeight="1" x14ac:dyDescent="0.45">
      <c r="B6" s="7" t="s">
        <v>151</v>
      </c>
      <c r="C6" s="9">
        <f>MATCH(C5,{"Vehículos por minuto (Poisson)","Confianza de detección (Beta)","Intentos de OCR (geométrica)","Latencia en ms (lognormal)","Error de posición px (normal)","Pasos por placa (serie logarítmica)"},0)</f>
        <v>1</v>
      </c>
      <c r="L6" s="9">
        <v>2</v>
      </c>
      <c r="M6" s="9">
        <f t="shared" ca="1" si="0"/>
        <v>2</v>
      </c>
      <c r="N6" s="9" t="str">
        <f t="shared" ca="1" si="1"/>
        <v>ZEF397</v>
      </c>
      <c r="O6" s="11">
        <f t="shared" ca="1" si="2"/>
        <v>0.79864841093988825</v>
      </c>
      <c r="P6" s="9">
        <f t="shared" ca="1" si="3"/>
        <v>1</v>
      </c>
      <c r="Q6" s="19">
        <f t="shared" ca="1" si="4"/>
        <v>30.866994668426639</v>
      </c>
      <c r="R6" s="10">
        <f t="shared" ca="1" si="5"/>
        <v>-2.0284129037845577</v>
      </c>
      <c r="S6" s="9">
        <f t="shared" ca="1" si="6"/>
        <v>2</v>
      </c>
      <c r="T6" s="9" t="str">
        <f t="shared" ca="1" si="7"/>
        <v>no</v>
      </c>
      <c r="V6" s="9">
        <v>1</v>
      </c>
      <c r="W6" s="12">
        <f t="shared" ref="W6:W45" si="8">_xlfn.POISSON.DIST(V6-1,$C$9,TRUE)</f>
        <v>4.9787068367863944E-2</v>
      </c>
      <c r="X6" s="12">
        <f>0</f>
        <v>0</v>
      </c>
      <c r="Y6" s="25">
        <f t="shared" ref="Y6:Y45" si="9">-($C$17^V6)/(V6*LN(1-$C$17))</f>
        <v>0.65481400076237495</v>
      </c>
    </row>
    <row r="7" spans="1:25" ht="15" customHeight="1" x14ac:dyDescent="0.45">
      <c r="L7" s="9">
        <v>3</v>
      </c>
      <c r="M7" s="9">
        <f t="shared" ca="1" si="0"/>
        <v>1</v>
      </c>
      <c r="N7" s="9" t="str">
        <f t="shared" ca="1" si="1"/>
        <v>BOP665</v>
      </c>
      <c r="O7" s="11">
        <f t="shared" ca="1" si="2"/>
        <v>0.93483590984741838</v>
      </c>
      <c r="P7" s="9">
        <f t="shared" ca="1" si="3"/>
        <v>1</v>
      </c>
      <c r="Q7" s="19">
        <f t="shared" ca="1" si="4"/>
        <v>22.847541906225633</v>
      </c>
      <c r="R7" s="10">
        <f t="shared" ca="1" si="5"/>
        <v>0.17717902801706517</v>
      </c>
      <c r="S7" s="9">
        <f t="shared" ca="1" si="6"/>
        <v>1</v>
      </c>
      <c r="T7" s="9" t="str">
        <f t="shared" ca="1" si="7"/>
        <v>sí</v>
      </c>
      <c r="V7" s="9">
        <v>2</v>
      </c>
      <c r="W7" s="12">
        <f t="shared" si="8"/>
        <v>0.19914827347145578</v>
      </c>
      <c r="X7" s="12">
        <f t="shared" ref="X7:X45" si="10">X6-$C$17^(V7-1)/((V7-1)*LN(1-$C$17))</f>
        <v>0.65481400076237495</v>
      </c>
      <c r="Y7" s="25">
        <f t="shared" si="9"/>
        <v>0.19644420022871248</v>
      </c>
    </row>
    <row r="8" spans="1:25" ht="28.05" customHeight="1" x14ac:dyDescent="0.45">
      <c r="B8" s="3" t="s">
        <v>207</v>
      </c>
      <c r="C8" s="3" t="s">
        <v>153</v>
      </c>
      <c r="L8" s="9">
        <v>4</v>
      </c>
      <c r="M8" s="9">
        <f t="shared" ca="1" si="0"/>
        <v>0</v>
      </c>
      <c r="N8" s="9" t="str">
        <f t="shared" ca="1" si="1"/>
        <v>RFQ625</v>
      </c>
      <c r="O8" s="11">
        <f t="shared" ca="1" si="2"/>
        <v>0.89029666669729524</v>
      </c>
      <c r="P8" s="9">
        <f t="shared" ca="1" si="3"/>
        <v>1</v>
      </c>
      <c r="Q8" s="19">
        <f t="shared" ca="1" si="4"/>
        <v>25.99222041407997</v>
      </c>
      <c r="R8" s="10">
        <f t="shared" ca="1" si="5"/>
        <v>5.2528146404758989</v>
      </c>
      <c r="S8" s="9">
        <f t="shared" ca="1" si="6"/>
        <v>1</v>
      </c>
      <c r="T8" s="9" t="str">
        <f t="shared" ca="1" si="7"/>
        <v>sí</v>
      </c>
      <c r="V8" s="9">
        <v>3</v>
      </c>
      <c r="W8" s="12">
        <f t="shared" si="8"/>
        <v>0.42319008112684342</v>
      </c>
      <c r="X8" s="12">
        <f t="shared" si="10"/>
        <v>0.8512582009910874</v>
      </c>
      <c r="Y8" s="25">
        <f t="shared" si="9"/>
        <v>7.8577680091484997E-2</v>
      </c>
    </row>
    <row r="9" spans="1:25" ht="15" customHeight="1" x14ac:dyDescent="0.45">
      <c r="B9" s="7" t="s">
        <v>258</v>
      </c>
      <c r="C9" s="16">
        <v>3</v>
      </c>
      <c r="L9" s="9">
        <v>5</v>
      </c>
      <c r="M9" s="9">
        <f t="shared" ca="1" si="0"/>
        <v>2</v>
      </c>
      <c r="N9" s="9" t="str">
        <f t="shared" ca="1" si="1"/>
        <v>CKX609</v>
      </c>
      <c r="O9" s="11">
        <f t="shared" ca="1" si="2"/>
        <v>0.85938306621032146</v>
      </c>
      <c r="P9" s="9">
        <f t="shared" ca="1" si="3"/>
        <v>1</v>
      </c>
      <c r="Q9" s="19">
        <f t="shared" ca="1" si="4"/>
        <v>34.823444800491004</v>
      </c>
      <c r="R9" s="10">
        <f t="shared" ca="1" si="5"/>
        <v>3.521871456899385</v>
      </c>
      <c r="S9" s="9">
        <f t="shared" ca="1" si="6"/>
        <v>1</v>
      </c>
      <c r="T9" s="9" t="str">
        <f t="shared" ca="1" si="7"/>
        <v>sí</v>
      </c>
      <c r="V9" s="9">
        <v>4</v>
      </c>
      <c r="W9" s="12">
        <f t="shared" si="8"/>
        <v>0.64723188878223126</v>
      </c>
      <c r="X9" s="12">
        <f t="shared" si="10"/>
        <v>0.92983588108257242</v>
      </c>
      <c r="Y9" s="25">
        <f t="shared" si="9"/>
        <v>3.535995604116824E-2</v>
      </c>
    </row>
    <row r="10" spans="1:25" ht="15" customHeight="1" x14ac:dyDescent="0.45">
      <c r="B10" s="7" t="s">
        <v>259</v>
      </c>
      <c r="C10" s="16">
        <v>18</v>
      </c>
      <c r="L10" s="9">
        <v>6</v>
      </c>
      <c r="M10" s="9">
        <f t="shared" ca="1" si="0"/>
        <v>1</v>
      </c>
      <c r="N10" s="9" t="str">
        <f t="shared" ca="1" si="1"/>
        <v>YZL663</v>
      </c>
      <c r="O10" s="11">
        <f t="shared" ca="1" si="2"/>
        <v>0.92471043547932674</v>
      </c>
      <c r="P10" s="9">
        <f t="shared" ca="1" si="3"/>
        <v>1</v>
      </c>
      <c r="Q10" s="19">
        <f t="shared" ca="1" si="4"/>
        <v>32.268444252001679</v>
      </c>
      <c r="R10" s="10">
        <f t="shared" ca="1" si="5"/>
        <v>0.50531890879075969</v>
      </c>
      <c r="S10" s="9">
        <f t="shared" ca="1" si="6"/>
        <v>3</v>
      </c>
      <c r="T10" s="9" t="str">
        <f t="shared" ca="1" si="7"/>
        <v>sí</v>
      </c>
      <c r="V10" s="9">
        <v>5</v>
      </c>
      <c r="W10" s="12">
        <f t="shared" si="8"/>
        <v>0.81526324452377208</v>
      </c>
      <c r="X10" s="12">
        <f t="shared" si="10"/>
        <v>0.96519583712374069</v>
      </c>
      <c r="Y10" s="25">
        <f t="shared" si="9"/>
        <v>1.697277889976076E-2</v>
      </c>
    </row>
    <row r="11" spans="1:25" ht="15" customHeight="1" x14ac:dyDescent="0.45">
      <c r="B11" s="7" t="s">
        <v>260</v>
      </c>
      <c r="C11" s="16">
        <v>2.2000000000000002</v>
      </c>
      <c r="L11" s="9">
        <v>7</v>
      </c>
      <c r="M11" s="9">
        <f t="shared" ca="1" si="0"/>
        <v>5</v>
      </c>
      <c r="N11" s="9" t="str">
        <f t="shared" ca="1" si="1"/>
        <v>IZQ504</v>
      </c>
      <c r="O11" s="11">
        <f t="shared" ca="1" si="2"/>
        <v>0.85188792335864283</v>
      </c>
      <c r="P11" s="9">
        <f t="shared" ca="1" si="3"/>
        <v>2</v>
      </c>
      <c r="Q11" s="19">
        <f t="shared" ca="1" si="4"/>
        <v>44.388875700189963</v>
      </c>
      <c r="R11" s="10">
        <f t="shared" ca="1" si="5"/>
        <v>-0.67917188339988055</v>
      </c>
      <c r="S11" s="9">
        <f t="shared" ca="1" si="6"/>
        <v>1</v>
      </c>
      <c r="T11" s="9" t="str">
        <f t="shared" ca="1" si="7"/>
        <v>sí</v>
      </c>
      <c r="V11" s="9">
        <v>6</v>
      </c>
      <c r="W11" s="12">
        <f t="shared" si="8"/>
        <v>0.91608205796869657</v>
      </c>
      <c r="X11" s="12">
        <f t="shared" si="10"/>
        <v>0.98216861602350147</v>
      </c>
      <c r="Y11" s="25">
        <f t="shared" si="9"/>
        <v>8.4863894498803782E-3</v>
      </c>
    </row>
    <row r="12" spans="1:25" ht="15" customHeight="1" x14ac:dyDescent="0.45">
      <c r="B12" s="7" t="s">
        <v>261</v>
      </c>
      <c r="C12" s="16">
        <v>0.8</v>
      </c>
      <c r="L12" s="9">
        <v>8</v>
      </c>
      <c r="M12" s="9">
        <f t="shared" ca="1" si="0"/>
        <v>2</v>
      </c>
      <c r="N12" s="9" t="str">
        <f t="shared" ca="1" si="1"/>
        <v>LFM013</v>
      </c>
      <c r="O12" s="11">
        <f t="shared" ca="1" si="2"/>
        <v>0.86443796540068185</v>
      </c>
      <c r="P12" s="9">
        <f t="shared" ca="1" si="3"/>
        <v>2</v>
      </c>
      <c r="Q12" s="19">
        <f t="shared" ca="1" si="4"/>
        <v>23.670621221634491</v>
      </c>
      <c r="R12" s="10">
        <f t="shared" ca="1" si="5"/>
        <v>1.8778479822115424</v>
      </c>
      <c r="S12" s="9">
        <f t="shared" ca="1" si="6"/>
        <v>1</v>
      </c>
      <c r="T12" s="9" t="str">
        <f t="shared" ca="1" si="7"/>
        <v>sí</v>
      </c>
      <c r="V12" s="9">
        <v>7</v>
      </c>
      <c r="W12" s="12">
        <f t="shared" si="8"/>
        <v>0.96649146469115887</v>
      </c>
      <c r="X12" s="12">
        <f t="shared" si="10"/>
        <v>0.99065500547338181</v>
      </c>
      <c r="Y12" s="25">
        <f t="shared" si="9"/>
        <v>4.3644288599384799E-3</v>
      </c>
    </row>
    <row r="13" spans="1:25" ht="15" customHeight="1" x14ac:dyDescent="0.45">
      <c r="B13" s="7" t="s">
        <v>262</v>
      </c>
      <c r="C13" s="16">
        <v>0.85</v>
      </c>
      <c r="L13" s="9">
        <v>9</v>
      </c>
      <c r="M13" s="9">
        <f t="shared" ca="1" si="0"/>
        <v>3</v>
      </c>
      <c r="N13" s="9" t="str">
        <f t="shared" ca="1" si="1"/>
        <v>NUE646</v>
      </c>
      <c r="O13" s="11">
        <f t="shared" ca="1" si="2"/>
        <v>0.91285388970637538</v>
      </c>
      <c r="P13" s="9">
        <f t="shared" ca="1" si="3"/>
        <v>1</v>
      </c>
      <c r="Q13" s="19">
        <f t="shared" ca="1" si="4"/>
        <v>21.513150598442884</v>
      </c>
      <c r="R13" s="10">
        <f t="shared" ca="1" si="5"/>
        <v>0.78987410302607519</v>
      </c>
      <c r="S13" s="9">
        <f t="shared" ca="1" si="6"/>
        <v>2</v>
      </c>
      <c r="T13" s="9" t="str">
        <f t="shared" ca="1" si="7"/>
        <v>sí</v>
      </c>
      <c r="V13" s="9">
        <v>8</v>
      </c>
      <c r="W13" s="12">
        <f t="shared" si="8"/>
        <v>0.98809549614364256</v>
      </c>
      <c r="X13" s="12">
        <f t="shared" si="10"/>
        <v>0.9950194343333203</v>
      </c>
      <c r="Y13" s="25">
        <f t="shared" si="9"/>
        <v>2.291325151467702E-3</v>
      </c>
    </row>
    <row r="14" spans="1:25" ht="15" customHeight="1" x14ac:dyDescent="0.45">
      <c r="B14" s="7" t="s">
        <v>263</v>
      </c>
      <c r="C14" s="16">
        <v>28</v>
      </c>
      <c r="L14" s="9">
        <v>10</v>
      </c>
      <c r="M14" s="9">
        <f t="shared" ca="1" si="0"/>
        <v>2</v>
      </c>
      <c r="N14" s="9" t="str">
        <f t="shared" ca="1" si="1"/>
        <v>NSO090</v>
      </c>
      <c r="O14" s="11">
        <f t="shared" ca="1" si="2"/>
        <v>0.83861995578179838</v>
      </c>
      <c r="P14" s="9">
        <f t="shared" ca="1" si="3"/>
        <v>2</v>
      </c>
      <c r="Q14" s="19">
        <f t="shared" ca="1" si="4"/>
        <v>31.6303861760918</v>
      </c>
      <c r="R14" s="10">
        <f t="shared" ca="1" si="5"/>
        <v>2.8726961364097132</v>
      </c>
      <c r="S14" s="9">
        <f t="shared" ca="1" si="6"/>
        <v>2</v>
      </c>
      <c r="T14" s="9" t="str">
        <f t="shared" ca="1" si="7"/>
        <v>sí</v>
      </c>
      <c r="V14" s="9">
        <v>9</v>
      </c>
      <c r="W14" s="12">
        <f t="shared" si="8"/>
        <v>0.996197007938324</v>
      </c>
      <c r="X14" s="12">
        <f t="shared" si="10"/>
        <v>0.99731075948478798</v>
      </c>
      <c r="Y14" s="25">
        <f t="shared" si="9"/>
        <v>1.2220400807827743E-3</v>
      </c>
    </row>
    <row r="15" spans="1:25" ht="15" customHeight="1" x14ac:dyDescent="0.45">
      <c r="B15" s="7" t="s">
        <v>264</v>
      </c>
      <c r="C15" s="16">
        <v>0.25</v>
      </c>
      <c r="L15" s="9">
        <v>11</v>
      </c>
      <c r="M15" s="9">
        <f t="shared" ca="1" si="0"/>
        <v>1</v>
      </c>
      <c r="N15" s="9" t="str">
        <f t="shared" ca="1" si="1"/>
        <v>NXF267</v>
      </c>
      <c r="O15" s="11">
        <f t="shared" ca="1" si="2"/>
        <v>0.88530615997720941</v>
      </c>
      <c r="P15" s="9">
        <f t="shared" ca="1" si="3"/>
        <v>1</v>
      </c>
      <c r="Q15" s="19">
        <f t="shared" ca="1" si="4"/>
        <v>35.186359067206524</v>
      </c>
      <c r="R15" s="10">
        <f t="shared" ca="1" si="5"/>
        <v>-4.0138137840782608</v>
      </c>
      <c r="S15" s="9">
        <f t="shared" ca="1" si="6"/>
        <v>1</v>
      </c>
      <c r="T15" s="9" t="str">
        <f t="shared" ca="1" si="7"/>
        <v>sí</v>
      </c>
      <c r="V15" s="9">
        <v>10</v>
      </c>
      <c r="W15" s="12">
        <f t="shared" si="8"/>
        <v>0.99889751186988451</v>
      </c>
      <c r="X15" s="12">
        <f t="shared" si="10"/>
        <v>0.99853279956557073</v>
      </c>
      <c r="Y15" s="25">
        <f t="shared" si="9"/>
        <v>6.5990164362269817E-4</v>
      </c>
    </row>
    <row r="16" spans="1:25" ht="15" customHeight="1" x14ac:dyDescent="0.45">
      <c r="B16" s="7" t="s">
        <v>265</v>
      </c>
      <c r="C16" s="16">
        <v>3</v>
      </c>
      <c r="L16" s="9">
        <v>12</v>
      </c>
      <c r="M16" s="9">
        <f t="shared" ca="1" si="0"/>
        <v>4</v>
      </c>
      <c r="N16" s="9" t="str">
        <f t="shared" ca="1" si="1"/>
        <v>TDI972</v>
      </c>
      <c r="O16" s="11">
        <f t="shared" ca="1" si="2"/>
        <v>0.73150034414316212</v>
      </c>
      <c r="P16" s="9">
        <f t="shared" ca="1" si="3"/>
        <v>1</v>
      </c>
      <c r="Q16" s="19">
        <f t="shared" ca="1" si="4"/>
        <v>24.060344442777449</v>
      </c>
      <c r="R16" s="10">
        <f t="shared" ca="1" si="5"/>
        <v>-5.7950999082135156E-2</v>
      </c>
      <c r="S16" s="9">
        <f t="shared" ca="1" si="6"/>
        <v>1</v>
      </c>
      <c r="T16" s="9" t="str">
        <f t="shared" ca="1" si="7"/>
        <v>no</v>
      </c>
      <c r="V16" s="9">
        <v>11</v>
      </c>
      <c r="W16" s="12">
        <f t="shared" si="8"/>
        <v>0.99970766304935266</v>
      </c>
      <c r="X16" s="12">
        <f t="shared" si="10"/>
        <v>0.99919270120919346</v>
      </c>
      <c r="Y16" s="25">
        <f t="shared" si="9"/>
        <v>3.5994635106692627E-4</v>
      </c>
    </row>
    <row r="17" spans="2:25" ht="15" customHeight="1" x14ac:dyDescent="0.45">
      <c r="B17" s="7" t="s">
        <v>266</v>
      </c>
      <c r="C17" s="16">
        <v>0.6</v>
      </c>
      <c r="L17" s="9">
        <v>13</v>
      </c>
      <c r="M17" s="9">
        <f t="shared" ca="1" si="0"/>
        <v>1</v>
      </c>
      <c r="N17" s="9" t="str">
        <f t="shared" ca="1" si="1"/>
        <v>DEQ460</v>
      </c>
      <c r="O17" s="11">
        <f t="shared" ca="1" si="2"/>
        <v>0.82237059548974378</v>
      </c>
      <c r="P17" s="9">
        <f t="shared" ca="1" si="3"/>
        <v>2</v>
      </c>
      <c r="Q17" s="19">
        <f t="shared" ca="1" si="4"/>
        <v>33.477884039871846</v>
      </c>
      <c r="R17" s="10">
        <f t="shared" ca="1" si="5"/>
        <v>3.0628321874774151</v>
      </c>
      <c r="S17" s="9">
        <f t="shared" ca="1" si="6"/>
        <v>1</v>
      </c>
      <c r="T17" s="9" t="str">
        <f t="shared" ca="1" si="7"/>
        <v>sí</v>
      </c>
      <c r="V17" s="9">
        <v>12</v>
      </c>
      <c r="W17" s="12">
        <f t="shared" si="8"/>
        <v>0.99992861337102579</v>
      </c>
      <c r="X17" s="12">
        <f t="shared" si="10"/>
        <v>0.99955264756026041</v>
      </c>
      <c r="Y17" s="25">
        <f t="shared" si="9"/>
        <v>1.9797049308680945E-4</v>
      </c>
    </row>
    <row r="18" spans="2:25" ht="15" customHeight="1" x14ac:dyDescent="0.45">
      <c r="L18" s="9">
        <v>14</v>
      </c>
      <c r="M18" s="9">
        <f t="shared" ca="1" si="0"/>
        <v>1</v>
      </c>
      <c r="N18" s="9" t="str">
        <f t="shared" ca="1" si="1"/>
        <v>WOB733</v>
      </c>
      <c r="O18" s="11">
        <f t="shared" ca="1" si="2"/>
        <v>0.93404361784602097</v>
      </c>
      <c r="P18" s="9">
        <f t="shared" ca="1" si="3"/>
        <v>1</v>
      </c>
      <c r="Q18" s="19">
        <f t="shared" ca="1" si="4"/>
        <v>29.122266163779887</v>
      </c>
      <c r="R18" s="10">
        <f t="shared" ca="1" si="5"/>
        <v>-5.7484216608911787</v>
      </c>
      <c r="S18" s="9">
        <f t="shared" ca="1" si="6"/>
        <v>1</v>
      </c>
      <c r="T18" s="9" t="str">
        <f t="shared" ca="1" si="7"/>
        <v>sí</v>
      </c>
      <c r="V18" s="9">
        <v>13</v>
      </c>
      <c r="W18" s="12">
        <f t="shared" si="8"/>
        <v>0.99998385095144404</v>
      </c>
      <c r="X18" s="12">
        <f t="shared" si="10"/>
        <v>0.9997506180533472</v>
      </c>
      <c r="Y18" s="25">
        <f t="shared" si="9"/>
        <v>1.0964519617115599E-4</v>
      </c>
    </row>
    <row r="19" spans="2:25" ht="28.05" customHeight="1" x14ac:dyDescent="0.45">
      <c r="B19" s="3" t="s">
        <v>256</v>
      </c>
      <c r="C19" s="3" t="s">
        <v>126</v>
      </c>
      <c r="D19" s="3" t="s">
        <v>267</v>
      </c>
      <c r="E19" s="3" t="s">
        <v>160</v>
      </c>
      <c r="F19" s="3" t="s">
        <v>268</v>
      </c>
      <c r="L19" s="9">
        <v>15</v>
      </c>
      <c r="M19" s="9">
        <f t="shared" ca="1" si="0"/>
        <v>3</v>
      </c>
      <c r="N19" s="9" t="str">
        <f t="shared" ca="1" si="1"/>
        <v>IVG748</v>
      </c>
      <c r="O19" s="11">
        <f t="shared" ca="1" si="2"/>
        <v>0.90374249701455722</v>
      </c>
      <c r="P19" s="9">
        <f t="shared" ca="1" si="3"/>
        <v>2</v>
      </c>
      <c r="Q19" s="19">
        <f t="shared" ca="1" si="4"/>
        <v>24.124237144497201</v>
      </c>
      <c r="R19" s="10">
        <f t="shared" ca="1" si="5"/>
        <v>-0.95969592704784557</v>
      </c>
      <c r="S19" s="9">
        <f t="shared" ca="1" si="6"/>
        <v>2</v>
      </c>
      <c r="T19" s="9" t="str">
        <f t="shared" ca="1" si="7"/>
        <v>sí</v>
      </c>
      <c r="V19" s="9">
        <v>14</v>
      </c>
      <c r="W19" s="12">
        <f t="shared" si="8"/>
        <v>0.99999659808538677</v>
      </c>
      <c r="X19" s="12">
        <f t="shared" si="10"/>
        <v>0.99986026324951838</v>
      </c>
      <c r="Y19" s="25">
        <f t="shared" si="9"/>
        <v>6.1088037866786904E-5</v>
      </c>
    </row>
    <row r="20" spans="2:25" ht="15" customHeight="1" x14ac:dyDescent="0.45">
      <c r="B20" s="7" t="s">
        <v>257</v>
      </c>
      <c r="C20" s="12">
        <f>C9</f>
        <v>3</v>
      </c>
      <c r="D20" s="12">
        <f>C9</f>
        <v>3</v>
      </c>
      <c r="E20" s="12">
        <f>1/SQRT(C9)</f>
        <v>0.57735026918962584</v>
      </c>
      <c r="F20" s="12">
        <f>1/C9</f>
        <v>0.33333333333333331</v>
      </c>
      <c r="L20" s="9">
        <v>16</v>
      </c>
      <c r="M20" s="9">
        <f t="shared" ca="1" si="0"/>
        <v>0</v>
      </c>
      <c r="N20" s="9" t="str">
        <f t="shared" ca="1" si="1"/>
        <v>LBS362</v>
      </c>
      <c r="O20" s="11">
        <f t="shared" ca="1" si="2"/>
        <v>0.98991480516425057</v>
      </c>
      <c r="P20" s="9">
        <f t="shared" ca="1" si="3"/>
        <v>1</v>
      </c>
      <c r="Q20" s="19">
        <f t="shared" ca="1" si="4"/>
        <v>30.215223256975115</v>
      </c>
      <c r="R20" s="10">
        <f t="shared" ca="1" si="5"/>
        <v>2.0000947048587436</v>
      </c>
      <c r="S20" s="9">
        <f t="shared" ca="1" si="6"/>
        <v>7</v>
      </c>
      <c r="T20" s="9" t="str">
        <f t="shared" ca="1" si="7"/>
        <v>sí</v>
      </c>
      <c r="V20" s="9">
        <v>15</v>
      </c>
      <c r="W20" s="12">
        <f t="shared" si="8"/>
        <v>0.99999932961408877</v>
      </c>
      <c r="X20" s="12">
        <f t="shared" si="10"/>
        <v>0.99992135128738513</v>
      </c>
      <c r="Y20" s="25">
        <f t="shared" si="9"/>
        <v>3.4209301205400666E-5</v>
      </c>
    </row>
    <row r="21" spans="2:25" ht="15" customHeight="1" x14ac:dyDescent="0.45">
      <c r="B21" s="7" t="s">
        <v>269</v>
      </c>
      <c r="C21" s="12">
        <f>C10/(C10+C11)</f>
        <v>0.8910891089108911</v>
      </c>
      <c r="D21" s="12">
        <f>C10*C11/((C10+C11)^2*(C10+C11+1))</f>
        <v>4.5777975892115656E-3</v>
      </c>
      <c r="E21" s="12">
        <f>2*(C11-C10)*SQRT(C10+C11+1)/((C10+C11+2)*SQRT(C10*C11))</f>
        <v>-1.0414884203596191</v>
      </c>
      <c r="F21" s="12">
        <f>6*((C10-C11)^2*(C10+C11+1)-C10*C11*(C10+C11+2))/(C10*C11*(C10+C11+2)*(C10+C11+3))</f>
        <v>1.2982951603641262</v>
      </c>
      <c r="L21" s="9">
        <v>17</v>
      </c>
      <c r="M21" s="9">
        <f t="shared" ca="1" si="0"/>
        <v>5</v>
      </c>
      <c r="N21" s="9" t="str">
        <f t="shared" ca="1" si="1"/>
        <v>CXU708</v>
      </c>
      <c r="O21" s="11">
        <f t="shared" ca="1" si="2"/>
        <v>0.8736474398683558</v>
      </c>
      <c r="P21" s="9">
        <f t="shared" ca="1" si="3"/>
        <v>1</v>
      </c>
      <c r="Q21" s="19">
        <f t="shared" ca="1" si="4"/>
        <v>39.624321526515921</v>
      </c>
      <c r="R21" s="10">
        <f t="shared" ca="1" si="5"/>
        <v>6.9105810265254961</v>
      </c>
      <c r="S21" s="9">
        <f t="shared" ca="1" si="6"/>
        <v>2</v>
      </c>
      <c r="T21" s="9" t="str">
        <f t="shared" ca="1" si="7"/>
        <v>sí</v>
      </c>
      <c r="V21" s="9">
        <v>16</v>
      </c>
      <c r="W21" s="12">
        <f t="shared" si="8"/>
        <v>0.9999998759198292</v>
      </c>
      <c r="X21" s="12">
        <f t="shared" si="10"/>
        <v>0.99995556058859048</v>
      </c>
      <c r="Y21" s="25">
        <f t="shared" si="9"/>
        <v>1.9242731928037875E-5</v>
      </c>
    </row>
    <row r="22" spans="2:25" ht="15" customHeight="1" x14ac:dyDescent="0.45">
      <c r="B22" s="7" t="s">
        <v>270</v>
      </c>
      <c r="C22" s="12">
        <f>1/C13</f>
        <v>1.1764705882352942</v>
      </c>
      <c r="D22" s="12">
        <f>(1-C13)/C13^2</f>
        <v>0.20761245674740489</v>
      </c>
      <c r="E22" s="12">
        <f>(2-C13)/SQRT(1-C13)</f>
        <v>2.9692872320923525</v>
      </c>
      <c r="F22" s="12">
        <f>6+C13^2/(1-C13)</f>
        <v>10.816666666666666</v>
      </c>
      <c r="L22" s="9">
        <v>18</v>
      </c>
      <c r="M22" s="9">
        <f t="shared" ca="1" si="0"/>
        <v>5</v>
      </c>
      <c r="N22" s="9" t="str">
        <f t="shared" ca="1" si="1"/>
        <v>DNK584</v>
      </c>
      <c r="O22" s="11">
        <f t="shared" ca="1" si="2"/>
        <v>0.90926945854954944</v>
      </c>
      <c r="P22" s="9">
        <f t="shared" ca="1" si="3"/>
        <v>1</v>
      </c>
      <c r="Q22" s="19">
        <f t="shared" ca="1" si="4"/>
        <v>26.577228483138832</v>
      </c>
      <c r="R22" s="10">
        <f t="shared" ca="1" si="5"/>
        <v>0.16491281972839084</v>
      </c>
      <c r="S22" s="9">
        <f t="shared" ca="1" si="6"/>
        <v>1</v>
      </c>
      <c r="T22" s="9" t="str">
        <f t="shared" ca="1" si="7"/>
        <v>sí</v>
      </c>
      <c r="V22" s="9">
        <v>17</v>
      </c>
      <c r="W22" s="12">
        <f t="shared" si="8"/>
        <v>0.99999997835215548</v>
      </c>
      <c r="X22" s="12">
        <f t="shared" si="10"/>
        <v>0.99997480332051847</v>
      </c>
      <c r="Y22" s="25">
        <f t="shared" si="9"/>
        <v>1.0866483912303741E-5</v>
      </c>
    </row>
    <row r="23" spans="2:25" ht="15" customHeight="1" x14ac:dyDescent="0.45">
      <c r="B23" s="7" t="s">
        <v>271</v>
      </c>
      <c r="C23" s="12">
        <f>C14*EXP(C15^2/2)</f>
        <v>28.888815409974878</v>
      </c>
      <c r="D23" s="12">
        <f>(EXP($C$15^2)-1)*C14^2*EXP($C$15^2)</f>
        <v>53.824731412789937</v>
      </c>
      <c r="E23" s="12">
        <f>(EXP($C$15^2)+2)*SQRT(EXP($C$15^2)-1)</f>
        <v>0.77825163579748324</v>
      </c>
      <c r="F23" s="12">
        <f>EXP($C$15^2)^4+2*EXP($C$15^2)^3+3*EXP($C$15^2)^2-6</f>
        <v>1.0959312747301801</v>
      </c>
      <c r="L23" s="9">
        <v>19</v>
      </c>
      <c r="M23" s="9">
        <f t="shared" ca="1" si="0"/>
        <v>3</v>
      </c>
      <c r="N23" s="9" t="str">
        <f t="shared" ca="1" si="1"/>
        <v>NOZ428</v>
      </c>
      <c r="O23" s="11">
        <f t="shared" ca="1" si="2"/>
        <v>0.97164992483800805</v>
      </c>
      <c r="P23" s="9">
        <f t="shared" ca="1" si="3"/>
        <v>1</v>
      </c>
      <c r="Q23" s="19">
        <f t="shared" ca="1" si="4"/>
        <v>48.367440978303129</v>
      </c>
      <c r="R23" s="10">
        <f t="shared" ca="1" si="5"/>
        <v>0.7667626623131748</v>
      </c>
      <c r="S23" s="9">
        <f t="shared" ca="1" si="6"/>
        <v>2</v>
      </c>
      <c r="T23" s="9" t="str">
        <f t="shared" ca="1" si="7"/>
        <v>sí</v>
      </c>
      <c r="V23" s="9">
        <v>18</v>
      </c>
      <c r="W23" s="12">
        <f t="shared" si="8"/>
        <v>0.99999999642844839</v>
      </c>
      <c r="X23" s="12">
        <f t="shared" si="10"/>
        <v>0.99998566980443082</v>
      </c>
      <c r="Y23" s="25">
        <f t="shared" si="9"/>
        <v>6.1576742169721194E-6</v>
      </c>
    </row>
    <row r="24" spans="2:25" ht="15" customHeight="1" x14ac:dyDescent="0.45">
      <c r="B24" s="7" t="s">
        <v>272</v>
      </c>
      <c r="C24" s="12">
        <f>0</f>
        <v>0</v>
      </c>
      <c r="D24" s="12">
        <f>C16^2</f>
        <v>9</v>
      </c>
      <c r="E24" s="12">
        <f>0</f>
        <v>0</v>
      </c>
      <c r="F24" s="12">
        <f>0</f>
        <v>0</v>
      </c>
      <c r="L24" s="9">
        <v>20</v>
      </c>
      <c r="M24" s="9">
        <f t="shared" ca="1" si="0"/>
        <v>4</v>
      </c>
      <c r="N24" s="9" t="str">
        <f t="shared" ca="1" si="1"/>
        <v>WIV880</v>
      </c>
      <c r="O24" s="11">
        <f t="shared" ca="1" si="2"/>
        <v>0.74420249333422273</v>
      </c>
      <c r="P24" s="9">
        <f t="shared" ca="1" si="3"/>
        <v>1</v>
      </c>
      <c r="Q24" s="19">
        <f t="shared" ca="1" si="4"/>
        <v>37.883141412914107</v>
      </c>
      <c r="R24" s="10">
        <f t="shared" ca="1" si="5"/>
        <v>3.2098314817492302</v>
      </c>
      <c r="S24" s="9">
        <f t="shared" ca="1" si="6"/>
        <v>1</v>
      </c>
      <c r="T24" s="9" t="str">
        <f t="shared" ca="1" si="7"/>
        <v>no</v>
      </c>
      <c r="V24" s="9">
        <v>19</v>
      </c>
      <c r="W24" s="12">
        <f t="shared" si="8"/>
        <v>0.99999999944116391</v>
      </c>
      <c r="X24" s="12">
        <f t="shared" si="10"/>
        <v>0.99999182747864779</v>
      </c>
      <c r="Y24" s="25">
        <f t="shared" si="9"/>
        <v>3.5001516601736256E-6</v>
      </c>
    </row>
    <row r="25" spans="2:25" ht="15" customHeight="1" x14ac:dyDescent="0.45">
      <c r="B25" s="7" t="s">
        <v>273</v>
      </c>
      <c r="C25" s="12">
        <f>-C17/((1-C17)*LN(1-C17))</f>
        <v>1.6370350019059372</v>
      </c>
      <c r="D25" s="12">
        <f>-C17*(C17+LN(1-C17))/((1-C17)^2*LN(1-C17)^2)</f>
        <v>1.412703907299671</v>
      </c>
      <c r="E25" s="26">
        <f>SUMPRODUCT((V6:V45-C25)^3,Y6:Y45)/D25^1.5</f>
        <v>3.0047907703187255</v>
      </c>
      <c r="F25" s="26">
        <f>SUMPRODUCT((V6:V45-C25)^4,Y6:Y45)/D25^2-3</f>
        <v>13.656010350185344</v>
      </c>
      <c r="L25" s="9">
        <v>21</v>
      </c>
      <c r="M25" s="9">
        <f t="shared" ca="1" si="0"/>
        <v>5</v>
      </c>
      <c r="N25" s="9" t="str">
        <f t="shared" ca="1" si="1"/>
        <v>RRR573</v>
      </c>
      <c r="O25" s="11">
        <f t="shared" ca="1" si="2"/>
        <v>0.92586863130804287</v>
      </c>
      <c r="P25" s="9">
        <f t="shared" ca="1" si="3"/>
        <v>2</v>
      </c>
      <c r="Q25" s="19">
        <f t="shared" ca="1" si="4"/>
        <v>31.933741761157147</v>
      </c>
      <c r="R25" s="10">
        <f t="shared" ca="1" si="5"/>
        <v>-3.9983186921445442</v>
      </c>
      <c r="S25" s="9">
        <f t="shared" ca="1" si="6"/>
        <v>2</v>
      </c>
      <c r="T25" s="9" t="str">
        <f t="shared" ca="1" si="7"/>
        <v>sí</v>
      </c>
      <c r="V25" s="9">
        <v>20</v>
      </c>
      <c r="W25" s="12">
        <f t="shared" si="8"/>
        <v>0.99999999991685584</v>
      </c>
      <c r="X25" s="12">
        <f t="shared" si="10"/>
        <v>0.99999532763030796</v>
      </c>
      <c r="Y25" s="25">
        <f t="shared" si="9"/>
        <v>1.995086446298967E-6</v>
      </c>
    </row>
    <row r="26" spans="2:25" ht="15" customHeight="1" x14ac:dyDescent="0.45">
      <c r="L26" s="9">
        <v>22</v>
      </c>
      <c r="M26" s="9">
        <f t="shared" ca="1" si="0"/>
        <v>1</v>
      </c>
      <c r="N26" s="9" t="str">
        <f t="shared" ca="1" si="1"/>
        <v>XKN870</v>
      </c>
      <c r="O26" s="11">
        <f t="shared" ca="1" si="2"/>
        <v>0.9478601767993452</v>
      </c>
      <c r="P26" s="9">
        <f t="shared" ca="1" si="3"/>
        <v>3</v>
      </c>
      <c r="Q26" s="19">
        <f t="shared" ca="1" si="4"/>
        <v>26.279118141639223</v>
      </c>
      <c r="R26" s="10">
        <f t="shared" ca="1" si="5"/>
        <v>5.7028842883815356</v>
      </c>
      <c r="S26" s="9">
        <f t="shared" ca="1" si="6"/>
        <v>2</v>
      </c>
      <c r="T26" s="9" t="str">
        <f t="shared" ca="1" si="7"/>
        <v>sí</v>
      </c>
      <c r="V26" s="9">
        <v>21</v>
      </c>
      <c r="W26" s="12">
        <f t="shared" si="8"/>
        <v>0.99999999998820954</v>
      </c>
      <c r="X26" s="12">
        <f t="shared" si="10"/>
        <v>0.99999732271675423</v>
      </c>
      <c r="Y26" s="25">
        <f t="shared" si="9"/>
        <v>1.1400493978851238E-6</v>
      </c>
    </row>
    <row r="27" spans="2:25" ht="15" customHeight="1" x14ac:dyDescent="0.45">
      <c r="B27" s="6" t="s">
        <v>274</v>
      </c>
      <c r="L27" s="9">
        <v>23</v>
      </c>
      <c r="M27" s="9">
        <f t="shared" ca="1" si="0"/>
        <v>5</v>
      </c>
      <c r="N27" s="9" t="str">
        <f t="shared" ca="1" si="1"/>
        <v>JUH317</v>
      </c>
      <c r="O27" s="11">
        <f t="shared" ca="1" si="2"/>
        <v>0.90860397663194026</v>
      </c>
      <c r="P27" s="9">
        <f t="shared" ca="1" si="3"/>
        <v>1</v>
      </c>
      <c r="Q27" s="19">
        <f t="shared" ca="1" si="4"/>
        <v>30.790559181287282</v>
      </c>
      <c r="R27" s="10">
        <f t="shared" ca="1" si="5"/>
        <v>0.22469483416536334</v>
      </c>
      <c r="S27" s="9">
        <f t="shared" ca="1" si="6"/>
        <v>1</v>
      </c>
      <c r="T27" s="9" t="str">
        <f t="shared" ca="1" si="7"/>
        <v>sí</v>
      </c>
      <c r="V27" s="9">
        <v>22</v>
      </c>
      <c r="W27" s="12">
        <f t="shared" si="8"/>
        <v>0.99999999999840294</v>
      </c>
      <c r="X27" s="12">
        <f t="shared" si="10"/>
        <v>0.99999846276615212</v>
      </c>
      <c r="Y27" s="25">
        <f t="shared" si="9"/>
        <v>6.5293738242511631E-7</v>
      </c>
    </row>
    <row r="28" spans="2:25" ht="24" customHeight="1" x14ac:dyDescent="0.45">
      <c r="B28" s="47" t="s">
        <v>210</v>
      </c>
      <c r="C28" s="48"/>
      <c r="D28" s="39" t="s">
        <v>209</v>
      </c>
      <c r="E28" s="40"/>
      <c r="F28" s="47" t="s">
        <v>219</v>
      </c>
      <c r="G28" s="48"/>
      <c r="H28" s="39" t="s">
        <v>218</v>
      </c>
      <c r="I28" s="40"/>
      <c r="L28" s="9">
        <v>24</v>
      </c>
      <c r="M28" s="9">
        <f t="shared" ca="1" si="0"/>
        <v>5</v>
      </c>
      <c r="N28" s="9" t="str">
        <f t="shared" ca="1" si="1"/>
        <v>NAH399</v>
      </c>
      <c r="O28" s="11">
        <f t="shared" ca="1" si="2"/>
        <v>0.93031790093845901</v>
      </c>
      <c r="P28" s="9">
        <f t="shared" ca="1" si="3"/>
        <v>1</v>
      </c>
      <c r="Q28" s="19">
        <f t="shared" ca="1" si="4"/>
        <v>25.394532997671032</v>
      </c>
      <c r="R28" s="10">
        <f t="shared" ca="1" si="5"/>
        <v>0.43391726934254166</v>
      </c>
      <c r="S28" s="9">
        <f t="shared" ca="1" si="6"/>
        <v>2</v>
      </c>
      <c r="T28" s="9" t="str">
        <f t="shared" ca="1" si="7"/>
        <v>sí</v>
      </c>
      <c r="V28" s="9">
        <v>23</v>
      </c>
      <c r="W28" s="12">
        <f t="shared" si="8"/>
        <v>0.99999999999979294</v>
      </c>
      <c r="X28" s="12">
        <f t="shared" si="10"/>
        <v>0.9999991157035345</v>
      </c>
      <c r="Y28" s="25">
        <f t="shared" si="9"/>
        <v>3.7472928034832759E-7</v>
      </c>
    </row>
    <row r="29" spans="2:25" ht="17" customHeight="1" x14ac:dyDescent="0.45">
      <c r="B29" s="64">
        <f>INDEX(C20:C25,$C$6)</f>
        <v>3</v>
      </c>
      <c r="C29" s="48"/>
      <c r="D29" s="62">
        <f ca="1">AVERAGE(INDEX($M$5:$S$304,0,CHOOSE($C$6,1,3,4,5,6,7)))</f>
        <v>2.9874999999999998</v>
      </c>
      <c r="E29" s="40"/>
      <c r="F29" s="64">
        <f>INDEX(D20:D25,$C$6)</f>
        <v>3</v>
      </c>
      <c r="G29" s="48"/>
      <c r="H29" s="62">
        <f ca="1">VAR(INDEX($M$5:$S$304,0,CHOOSE($C$6,1,3,4,5,6,7)))</f>
        <v>2.4057008368200838</v>
      </c>
      <c r="I29" s="40"/>
      <c r="L29" s="9">
        <v>25</v>
      </c>
      <c r="M29" s="9">
        <f t="shared" ca="1" si="0"/>
        <v>4</v>
      </c>
      <c r="N29" s="9" t="str">
        <f t="shared" ca="1" si="1"/>
        <v>IYB855</v>
      </c>
      <c r="O29" s="11">
        <f t="shared" ca="1" si="2"/>
        <v>0.93723451134586755</v>
      </c>
      <c r="P29" s="9">
        <f t="shared" ca="1" si="3"/>
        <v>1</v>
      </c>
      <c r="Q29" s="19">
        <f t="shared" ca="1" si="4"/>
        <v>29.425842454237088</v>
      </c>
      <c r="R29" s="10">
        <f t="shared" ca="1" si="5"/>
        <v>-1.4144237240996431</v>
      </c>
      <c r="S29" s="9">
        <f t="shared" ca="1" si="6"/>
        <v>1</v>
      </c>
      <c r="T29" s="9" t="str">
        <f t="shared" ca="1" si="7"/>
        <v>sí</v>
      </c>
      <c r="V29" s="9">
        <v>24</v>
      </c>
      <c r="W29" s="12">
        <f t="shared" si="8"/>
        <v>0.99999999999997424</v>
      </c>
      <c r="X29" s="12">
        <f t="shared" si="10"/>
        <v>0.99999949043281489</v>
      </c>
      <c r="Y29" s="25">
        <f t="shared" si="9"/>
        <v>2.1546933620028839E-7</v>
      </c>
    </row>
    <row r="30" spans="2:25" ht="17" customHeight="1" x14ac:dyDescent="0.45">
      <c r="B30" s="48"/>
      <c r="C30" s="48"/>
      <c r="D30" s="40"/>
      <c r="E30" s="40"/>
      <c r="F30" s="48"/>
      <c r="G30" s="48"/>
      <c r="H30" s="40"/>
      <c r="I30" s="40"/>
      <c r="L30" s="9">
        <v>26</v>
      </c>
      <c r="M30" s="9">
        <f t="shared" ca="1" si="0"/>
        <v>3</v>
      </c>
      <c r="N30" s="9" t="str">
        <f t="shared" ca="1" si="1"/>
        <v>CMD932</v>
      </c>
      <c r="O30" s="11">
        <f t="shared" ca="1" si="2"/>
        <v>0.96558465058157994</v>
      </c>
      <c r="P30" s="9">
        <f t="shared" ca="1" si="3"/>
        <v>1</v>
      </c>
      <c r="Q30" s="19">
        <f t="shared" ca="1" si="4"/>
        <v>22.649239789364231</v>
      </c>
      <c r="R30" s="10">
        <f t="shared" ca="1" si="5"/>
        <v>1.0590573737811619</v>
      </c>
      <c r="S30" s="9">
        <f t="shared" ca="1" si="6"/>
        <v>2</v>
      </c>
      <c r="T30" s="9" t="str">
        <f t="shared" ca="1" si="7"/>
        <v>sí</v>
      </c>
      <c r="V30" s="9">
        <v>25</v>
      </c>
      <c r="W30" s="12">
        <f t="shared" si="8"/>
        <v>0.99999999999999689</v>
      </c>
      <c r="X30" s="12">
        <f t="shared" si="10"/>
        <v>0.99999970590215104</v>
      </c>
      <c r="Y30" s="25">
        <f t="shared" si="9"/>
        <v>1.2411033765136611E-7</v>
      </c>
    </row>
    <row r="31" spans="2:25" ht="15" customHeight="1" x14ac:dyDescent="0.45">
      <c r="L31" s="9">
        <v>27</v>
      </c>
      <c r="M31" s="9">
        <f t="shared" ca="1" si="0"/>
        <v>3</v>
      </c>
      <c r="N31" s="9" t="str">
        <f t="shared" ca="1" si="1"/>
        <v>KOF709</v>
      </c>
      <c r="O31" s="11">
        <f t="shared" ca="1" si="2"/>
        <v>0.93621178911629532</v>
      </c>
      <c r="P31" s="9">
        <f t="shared" ca="1" si="3"/>
        <v>1</v>
      </c>
      <c r="Q31" s="19">
        <f t="shared" ca="1" si="4"/>
        <v>26.860294559661572</v>
      </c>
      <c r="R31" s="10">
        <f t="shared" ca="1" si="5"/>
        <v>-0.40288456921850968</v>
      </c>
      <c r="S31" s="9">
        <f t="shared" ca="1" si="6"/>
        <v>2</v>
      </c>
      <c r="T31" s="9" t="str">
        <f t="shared" ca="1" si="7"/>
        <v>sí</v>
      </c>
      <c r="V31" s="9">
        <v>26</v>
      </c>
      <c r="W31" s="12">
        <f t="shared" si="8"/>
        <v>0.99999999999999967</v>
      </c>
      <c r="X31" s="12">
        <f t="shared" si="10"/>
        <v>0.99999983001248871</v>
      </c>
      <c r="Y31" s="25">
        <f t="shared" si="9"/>
        <v>7.1602117875788137E-8</v>
      </c>
    </row>
    <row r="32" spans="2:25" ht="24" customHeight="1" x14ac:dyDescent="0.45">
      <c r="B32" s="47" t="s">
        <v>275</v>
      </c>
      <c r="C32" s="48"/>
      <c r="D32" s="32" t="s">
        <v>276</v>
      </c>
      <c r="E32" s="33"/>
      <c r="F32" s="47" t="s">
        <v>277</v>
      </c>
      <c r="G32" s="48"/>
      <c r="H32" s="32" t="s">
        <v>278</v>
      </c>
      <c r="I32" s="33"/>
      <c r="L32" s="9">
        <v>28</v>
      </c>
      <c r="M32" s="9">
        <f t="shared" ca="1" si="0"/>
        <v>4</v>
      </c>
      <c r="N32" s="9" t="str">
        <f t="shared" ca="1" si="1"/>
        <v>TXG225</v>
      </c>
      <c r="O32" s="11">
        <f t="shared" ca="1" si="2"/>
        <v>0.84662505778351704</v>
      </c>
      <c r="P32" s="9">
        <f t="shared" ca="1" si="3"/>
        <v>1</v>
      </c>
      <c r="Q32" s="19">
        <f t="shared" ca="1" si="4"/>
        <v>29.035543397000239</v>
      </c>
      <c r="R32" s="10">
        <f t="shared" ca="1" si="5"/>
        <v>-1.8731496167199628</v>
      </c>
      <c r="S32" s="9">
        <f t="shared" ca="1" si="6"/>
        <v>1</v>
      </c>
      <c r="T32" s="9" t="str">
        <f t="shared" ca="1" si="7"/>
        <v>sí</v>
      </c>
      <c r="V32" s="9">
        <v>27</v>
      </c>
      <c r="W32" s="12">
        <f t="shared" si="8"/>
        <v>1</v>
      </c>
      <c r="X32" s="12">
        <f t="shared" si="10"/>
        <v>0.99999990161460661</v>
      </c>
      <c r="Y32" s="25">
        <f t="shared" si="9"/>
        <v>4.1370112550455374E-8</v>
      </c>
    </row>
    <row r="33" spans="2:25" ht="17" customHeight="1" x14ac:dyDescent="0.45">
      <c r="B33" s="64">
        <f>INDEX(E20:E25,$C$6)</f>
        <v>0.57735026918962584</v>
      </c>
      <c r="C33" s="48"/>
      <c r="D33" s="60">
        <f ca="1">SKEW(INDEX($M$5:$S$304,0,CHOOSE($C$6,1,3,4,5,6,7)))</f>
        <v>0.52305034893314239</v>
      </c>
      <c r="E33" s="33"/>
      <c r="F33" s="64">
        <f>INDEX(F20:F25,$C$6)</f>
        <v>0.33333333333333331</v>
      </c>
      <c r="G33" s="48"/>
      <c r="H33" s="60">
        <f ca="1">KURT(INDEX($M$5:$S$304,0,CHOOSE($C$6,1,3,4,5,6,7)))</f>
        <v>9.1636718794227523E-2</v>
      </c>
      <c r="I33" s="33"/>
      <c r="L33" s="9">
        <v>29</v>
      </c>
      <c r="M33" s="9">
        <f t="shared" ca="1" si="0"/>
        <v>1</v>
      </c>
      <c r="N33" s="9" t="str">
        <f t="shared" ca="1" si="1"/>
        <v>JFJ377</v>
      </c>
      <c r="O33" s="11">
        <f t="shared" ca="1" si="2"/>
        <v>0.86859985104067439</v>
      </c>
      <c r="P33" s="9">
        <f t="shared" ca="1" si="3"/>
        <v>1</v>
      </c>
      <c r="Q33" s="19">
        <f t="shared" ca="1" si="4"/>
        <v>21.717890892566228</v>
      </c>
      <c r="R33" s="10">
        <f t="shared" ca="1" si="5"/>
        <v>5.9906440315584915</v>
      </c>
      <c r="S33" s="9">
        <f t="shared" ca="1" si="6"/>
        <v>2</v>
      </c>
      <c r="T33" s="9" t="str">
        <f t="shared" ca="1" si="7"/>
        <v>sí</v>
      </c>
      <c r="V33" s="9">
        <v>28</v>
      </c>
      <c r="W33" s="12">
        <f t="shared" si="8"/>
        <v>1</v>
      </c>
      <c r="X33" s="12">
        <f t="shared" si="10"/>
        <v>0.99999994298471917</v>
      </c>
      <c r="Y33" s="25">
        <f t="shared" si="9"/>
        <v>2.3935565118477748E-8</v>
      </c>
    </row>
    <row r="34" spans="2:25" ht="17" customHeight="1" x14ac:dyDescent="0.45">
      <c r="B34" s="48"/>
      <c r="C34" s="48"/>
      <c r="D34" s="33"/>
      <c r="E34" s="33"/>
      <c r="F34" s="48"/>
      <c r="G34" s="48"/>
      <c r="H34" s="33"/>
      <c r="I34" s="33"/>
      <c r="L34" s="9">
        <v>30</v>
      </c>
      <c r="M34" s="9">
        <f t="shared" ca="1" si="0"/>
        <v>3</v>
      </c>
      <c r="N34" s="9" t="str">
        <f t="shared" ca="1" si="1"/>
        <v>EUJ256</v>
      </c>
      <c r="O34" s="11">
        <f t="shared" ca="1" si="2"/>
        <v>0.81279481159613298</v>
      </c>
      <c r="P34" s="9">
        <f t="shared" ca="1" si="3"/>
        <v>1</v>
      </c>
      <c r="Q34" s="19">
        <f t="shared" ca="1" si="4"/>
        <v>42.424731167860266</v>
      </c>
      <c r="R34" s="10">
        <f t="shared" ca="1" si="5"/>
        <v>-0.14804971050247215</v>
      </c>
      <c r="S34" s="9">
        <f t="shared" ca="1" si="6"/>
        <v>1</v>
      </c>
      <c r="T34" s="9" t="str">
        <f t="shared" ca="1" si="7"/>
        <v>sí</v>
      </c>
      <c r="V34" s="9">
        <v>29</v>
      </c>
      <c r="W34" s="12">
        <f t="shared" si="8"/>
        <v>1</v>
      </c>
      <c r="X34" s="12">
        <f t="shared" si="10"/>
        <v>0.99999996692028426</v>
      </c>
      <c r="Y34" s="25">
        <f t="shared" si="9"/>
        <v>1.3866120482428489E-8</v>
      </c>
    </row>
    <row r="35" spans="2:25" ht="15" customHeight="1" x14ac:dyDescent="0.45">
      <c r="L35" s="9">
        <v>31</v>
      </c>
      <c r="M35" s="9">
        <f t="shared" ca="1" si="0"/>
        <v>6</v>
      </c>
      <c r="N35" s="9" t="str">
        <f t="shared" ca="1" si="1"/>
        <v>ZFF006</v>
      </c>
      <c r="O35" s="11">
        <f t="shared" ca="1" si="2"/>
        <v>0.84587417940442222</v>
      </c>
      <c r="P35" s="9">
        <f t="shared" ca="1" si="3"/>
        <v>1</v>
      </c>
      <c r="Q35" s="19">
        <f t="shared" ca="1" si="4"/>
        <v>50.374754303119403</v>
      </c>
      <c r="R35" s="10">
        <f t="shared" ca="1" si="5"/>
        <v>1.0782148534786757</v>
      </c>
      <c r="S35" s="9">
        <f t="shared" ca="1" si="6"/>
        <v>1</v>
      </c>
      <c r="T35" s="9" t="str">
        <f t="shared" ca="1" si="7"/>
        <v>sí</v>
      </c>
      <c r="V35" s="9">
        <v>30</v>
      </c>
      <c r="W35" s="12">
        <f t="shared" si="8"/>
        <v>1</v>
      </c>
      <c r="X35" s="12">
        <f t="shared" si="10"/>
        <v>0.99999998078640473</v>
      </c>
      <c r="Y35" s="25">
        <f t="shared" si="9"/>
        <v>8.0423498798085221E-9</v>
      </c>
    </row>
    <row r="36" spans="2:25" ht="24" customHeight="1" x14ac:dyDescent="0.45">
      <c r="B36" s="38" t="s">
        <v>279</v>
      </c>
      <c r="C36" s="35"/>
      <c r="D36" s="32" t="s">
        <v>280</v>
      </c>
      <c r="E36" s="33"/>
      <c r="F36" s="36" t="s">
        <v>281</v>
      </c>
      <c r="G36" s="37"/>
      <c r="H36" s="47" t="s">
        <v>282</v>
      </c>
      <c r="I36" s="48"/>
      <c r="L36" s="9">
        <v>32</v>
      </c>
      <c r="M36" s="9">
        <f t="shared" ca="1" si="0"/>
        <v>4</v>
      </c>
      <c r="N36" s="9" t="str">
        <f t="shared" ca="1" si="1"/>
        <v>YXE863</v>
      </c>
      <c r="O36" s="11">
        <f t="shared" ca="1" si="2"/>
        <v>0.95621451569878801</v>
      </c>
      <c r="P36" s="9">
        <f t="shared" ca="1" si="3"/>
        <v>1</v>
      </c>
      <c r="Q36" s="19">
        <f t="shared" ca="1" si="4"/>
        <v>34.422953867912227</v>
      </c>
      <c r="R36" s="10">
        <f t="shared" ca="1" si="5"/>
        <v>-4.6333533684772732</v>
      </c>
      <c r="S36" s="9">
        <f t="shared" ca="1" si="6"/>
        <v>4</v>
      </c>
      <c r="T36" s="9" t="str">
        <f t="shared" ca="1" si="7"/>
        <v>sí</v>
      </c>
      <c r="V36" s="9">
        <v>31</v>
      </c>
      <c r="W36" s="12">
        <f t="shared" si="8"/>
        <v>1</v>
      </c>
      <c r="X36" s="12">
        <f t="shared" si="10"/>
        <v>0.99999998882875463</v>
      </c>
      <c r="Y36" s="25">
        <f t="shared" si="9"/>
        <v>4.6697515431146263E-9</v>
      </c>
    </row>
    <row r="37" spans="2:25" ht="17" customHeight="1" x14ac:dyDescent="0.45">
      <c r="B37" s="34">
        <f ca="1">COUNTIF(O5:O304,"&gt;="&amp;C12)/300</f>
        <v>0.91</v>
      </c>
      <c r="C37" s="35"/>
      <c r="D37" s="52">
        <f ca="1">COUNTIF(T5:T304,"sí")/300</f>
        <v>0.91</v>
      </c>
      <c r="E37" s="33"/>
      <c r="F37" s="49">
        <f ca="1">1000/AVERAGE(Q5:Q304)</f>
        <v>33.723987833947177</v>
      </c>
      <c r="G37" s="37"/>
      <c r="H37" s="51">
        <f ca="1">COUNT(INDEX($M$5:$S$304,0,CHOOSE($C$6,1,3,4,5,6,7)))</f>
        <v>240</v>
      </c>
      <c r="I37" s="48"/>
      <c r="L37" s="9">
        <v>33</v>
      </c>
      <c r="M37" s="9">
        <f t="shared" ca="1" si="0"/>
        <v>5</v>
      </c>
      <c r="N37" s="9" t="str">
        <f t="shared" ca="1" si="1"/>
        <v>KRM799</v>
      </c>
      <c r="O37" s="11">
        <f t="shared" ca="1" si="2"/>
        <v>0.78406712871207018</v>
      </c>
      <c r="P37" s="9">
        <f t="shared" ca="1" si="3"/>
        <v>2</v>
      </c>
      <c r="Q37" s="19">
        <f t="shared" ca="1" si="4"/>
        <v>34.285027380140427</v>
      </c>
      <c r="R37" s="10">
        <f t="shared" ca="1" si="5"/>
        <v>1.9514364548272025</v>
      </c>
      <c r="S37" s="9">
        <f t="shared" ca="1" si="6"/>
        <v>1</v>
      </c>
      <c r="T37" s="9" t="str">
        <f t="shared" ca="1" si="7"/>
        <v>no</v>
      </c>
      <c r="V37" s="9">
        <v>32</v>
      </c>
      <c r="W37" s="12">
        <f t="shared" si="8"/>
        <v>1</v>
      </c>
      <c r="X37" s="12">
        <f t="shared" si="10"/>
        <v>0.99999999349850621</v>
      </c>
      <c r="Y37" s="25">
        <f t="shared" si="9"/>
        <v>2.7142930844353762E-9</v>
      </c>
    </row>
    <row r="38" spans="2:25" ht="17" customHeight="1" x14ac:dyDescent="0.45">
      <c r="B38" s="35"/>
      <c r="C38" s="35"/>
      <c r="D38" s="33"/>
      <c r="E38" s="33"/>
      <c r="F38" s="37"/>
      <c r="G38" s="37"/>
      <c r="H38" s="48"/>
      <c r="I38" s="48"/>
      <c r="L38" s="9">
        <v>34</v>
      </c>
      <c r="M38" s="9">
        <f t="shared" ca="1" si="0"/>
        <v>4</v>
      </c>
      <c r="N38" s="9" t="str">
        <f t="shared" ca="1" si="1"/>
        <v>KBU685</v>
      </c>
      <c r="O38" s="11">
        <f t="shared" ca="1" si="2"/>
        <v>0.93337394758020298</v>
      </c>
      <c r="P38" s="9">
        <f t="shared" ca="1" si="3"/>
        <v>1</v>
      </c>
      <c r="Q38" s="19">
        <f t="shared" ca="1" si="4"/>
        <v>16.134916560248517</v>
      </c>
      <c r="R38" s="10">
        <f t="shared" ca="1" si="5"/>
        <v>-1.8755075497551275</v>
      </c>
      <c r="S38" s="9">
        <f t="shared" ca="1" si="6"/>
        <v>1</v>
      </c>
      <c r="T38" s="9" t="str">
        <f t="shared" ca="1" si="7"/>
        <v>sí</v>
      </c>
      <c r="V38" s="9">
        <v>33</v>
      </c>
      <c r="W38" s="12">
        <f t="shared" si="8"/>
        <v>1</v>
      </c>
      <c r="X38" s="12">
        <f t="shared" si="10"/>
        <v>0.99999999621279934</v>
      </c>
      <c r="Y38" s="25">
        <f t="shared" si="9"/>
        <v>1.579225067307855E-9</v>
      </c>
    </row>
    <row r="39" spans="2:25" ht="15" customHeight="1" x14ac:dyDescent="0.45">
      <c r="L39" s="9">
        <v>35</v>
      </c>
      <c r="M39" s="9">
        <f t="shared" ca="1" si="0"/>
        <v>2</v>
      </c>
      <c r="N39" s="9" t="str">
        <f t="shared" ca="1" si="1"/>
        <v>MRM336</v>
      </c>
      <c r="O39" s="11">
        <f t="shared" ca="1" si="2"/>
        <v>0.93265694886992812</v>
      </c>
      <c r="P39" s="9">
        <f t="shared" ca="1" si="3"/>
        <v>1</v>
      </c>
      <c r="Q39" s="19">
        <f t="shared" ca="1" si="4"/>
        <v>39.850676529625929</v>
      </c>
      <c r="R39" s="10">
        <f t="shared" ca="1" si="5"/>
        <v>3.9091618934285313</v>
      </c>
      <c r="S39" s="9">
        <f t="shared" ca="1" si="6"/>
        <v>1</v>
      </c>
      <c r="T39" s="9" t="str">
        <f t="shared" ca="1" si="7"/>
        <v>sí</v>
      </c>
      <c r="V39" s="9">
        <v>34</v>
      </c>
      <c r="W39" s="12">
        <f t="shared" si="8"/>
        <v>1</v>
      </c>
      <c r="X39" s="12">
        <f t="shared" si="10"/>
        <v>0.99999999779202442</v>
      </c>
      <c r="Y39" s="25">
        <f t="shared" si="9"/>
        <v>9.1966636272633923E-10</v>
      </c>
    </row>
    <row r="40" spans="2:25" ht="15" customHeight="1" x14ac:dyDescent="0.45">
      <c r="L40" s="9">
        <v>36</v>
      </c>
      <c r="M40" s="9">
        <f t="shared" ca="1" si="0"/>
        <v>1</v>
      </c>
      <c r="N40" s="9" t="str">
        <f t="shared" ca="1" si="1"/>
        <v>CQO890</v>
      </c>
      <c r="O40" s="11">
        <f t="shared" ca="1" si="2"/>
        <v>0.94313772288923303</v>
      </c>
      <c r="P40" s="9">
        <f t="shared" ca="1" si="3"/>
        <v>1</v>
      </c>
      <c r="Q40" s="19">
        <f t="shared" ca="1" si="4"/>
        <v>37.481218546083184</v>
      </c>
      <c r="R40" s="10">
        <f t="shared" ca="1" si="5"/>
        <v>-1.5830943442409104</v>
      </c>
      <c r="S40" s="9">
        <f t="shared" ca="1" si="6"/>
        <v>2</v>
      </c>
      <c r="T40" s="9" t="str">
        <f t="shared" ca="1" si="7"/>
        <v>sí</v>
      </c>
      <c r="V40" s="9">
        <v>35</v>
      </c>
      <c r="W40" s="12">
        <f t="shared" si="8"/>
        <v>1</v>
      </c>
      <c r="X40" s="12">
        <f t="shared" si="10"/>
        <v>0.99999999871169076</v>
      </c>
      <c r="Y40" s="25">
        <f t="shared" si="9"/>
        <v>5.3603410856049477E-10</v>
      </c>
    </row>
    <row r="41" spans="2:25" ht="28.05" customHeight="1" x14ac:dyDescent="0.45">
      <c r="B41" s="3" t="s">
        <v>164</v>
      </c>
      <c r="C41" s="3" t="s">
        <v>165</v>
      </c>
      <c r="D41" s="3" t="s">
        <v>166</v>
      </c>
      <c r="E41" s="3" t="s">
        <v>167</v>
      </c>
      <c r="L41" s="9">
        <v>37</v>
      </c>
      <c r="M41" s="9">
        <f t="shared" ca="1" si="0"/>
        <v>7</v>
      </c>
      <c r="N41" s="9" t="str">
        <f t="shared" ca="1" si="1"/>
        <v>BUB590</v>
      </c>
      <c r="O41" s="11">
        <f t="shared" ca="1" si="2"/>
        <v>0.91664937302532534</v>
      </c>
      <c r="P41" s="9">
        <f t="shared" ca="1" si="3"/>
        <v>1</v>
      </c>
      <c r="Q41" s="19">
        <f t="shared" ca="1" si="4"/>
        <v>37.479285696195426</v>
      </c>
      <c r="R41" s="10">
        <f t="shared" ca="1" si="5"/>
        <v>0.92048846422331443</v>
      </c>
      <c r="S41" s="9">
        <f t="shared" ca="1" si="6"/>
        <v>1</v>
      </c>
      <c r="T41" s="9" t="str">
        <f t="shared" ca="1" si="7"/>
        <v>sí</v>
      </c>
      <c r="V41" s="9">
        <v>36</v>
      </c>
      <c r="W41" s="12">
        <f t="shared" si="8"/>
        <v>1</v>
      </c>
      <c r="X41" s="12">
        <f t="shared" si="10"/>
        <v>0.99999999924772487</v>
      </c>
      <c r="Y41" s="25">
        <f t="shared" si="9"/>
        <v>3.1268656332695528E-10</v>
      </c>
    </row>
    <row r="42" spans="2:25" ht="15" customHeight="1" x14ac:dyDescent="0.45">
      <c r="B42" s="11">
        <f ca="1">IF(OR($C$6=1,$C$6=3,$C$6=6),MIN(INDEX($M$5:$S$304,0,CHOOSE($C$6,1,3,4,5,6,7)))-0.5,MIN(INDEX($M$5:$S$304,0,CHOOSE($C$6,1,3,4,5,6,7))))</f>
        <v>-0.5</v>
      </c>
      <c r="C42" s="11">
        <f t="shared" ref="C42:C56" ca="1" si="11">B42+IF(OR($C$6=1,$C$6=3,$C$6=6),1,(MAX(INDEX($M$5:$S$304,0,CHOOSE($C$6,1,3,4,5,6,7)))-MIN(INDEX($M$5:$S$304,0,CHOOSE($C$6,1,3,4,5,6,7))))/16)</f>
        <v>0.5</v>
      </c>
      <c r="D42" s="9">
        <f t="shared" ref="D42:D57" ca="1" si="12">COUNTIFS(INDEX($M$5:$S$304,0,CHOOSE($C$6,1,3,4,5,6,7)),"&gt;="&amp;B42,INDEX($M$5:$S$304,0,CHOOSE($C$6,1,3,4,5,6,7)),"&lt;"&amp;C42)</f>
        <v>6</v>
      </c>
      <c r="E42" s="19">
        <f t="shared" ref="E42:E57" ca="1" si="13">COUNT(INDEX($M$5:$S$304,0,CHOOSE($C$6,1,3,4,5,6,7)))*(CHOOSE($C$6,IF((CEILING(C42,1)-1)&lt;0,0,_xlfn.POISSON.DIST((CEILING(C42,1)-1),$C$9,TRUE)),IF(C42&lt;=0,0,IF(C42&gt;=1,1,_xlfn.BETA.DIST(C42,$C$10,$C$11,TRUE))),IF((CEILING(C42,1)-1)&lt;1,0,1-(1-$C$13)^(CEILING(C42,1)-1)),IF(C42&lt;=0,0,_xlfn.LOGNORM.DIST(C42,LN($C$14),$C$15,TRUE)),_xlfn.NORM.DIST(C42,0,$C$16,TRUE),IF((CEILING(C42,1)-1)&lt;1,0,INDEX($X$5:$X$45,MIN(41,(CEILING(C42,1)-1)+2))))-CHOOSE($C$6,IF((CEILING(B42,1)-1)&lt;0,0,_xlfn.POISSON.DIST((CEILING(B42,1)-1),$C$9,TRUE)),IF(B42&lt;=0,0,IF(B42&gt;=1,1,_xlfn.BETA.DIST(B42,$C$10,$C$11,TRUE))),IF((CEILING(B42,1)-1)&lt;1,0,1-(1-$C$13)^(CEILING(B42,1)-1)),IF(B42&lt;=0,0,_xlfn.LOGNORM.DIST(B42,LN($C$14),$C$15,TRUE)),_xlfn.NORM.DIST(B42,0,$C$16,TRUE),IF((CEILING(B42,1)-1)&lt;1,0,INDEX($X$5:$X$45,MIN(41,(CEILING(B42,1)-1)+2)))))</f>
        <v>11.948896408287347</v>
      </c>
      <c r="L42" s="9">
        <v>38</v>
      </c>
      <c r="M42" s="9">
        <f t="shared" ca="1" si="0"/>
        <v>6</v>
      </c>
      <c r="N42" s="9" t="str">
        <f t="shared" ca="1" si="1"/>
        <v>YRJ771</v>
      </c>
      <c r="O42" s="11">
        <f t="shared" ca="1" si="2"/>
        <v>0.85884389337255429</v>
      </c>
      <c r="P42" s="9">
        <f t="shared" ca="1" si="3"/>
        <v>1</v>
      </c>
      <c r="Q42" s="19">
        <f t="shared" ca="1" si="4"/>
        <v>21.641886162998485</v>
      </c>
      <c r="R42" s="10">
        <f t="shared" ca="1" si="5"/>
        <v>0.46605218028137241</v>
      </c>
      <c r="S42" s="9">
        <f t="shared" ca="1" si="6"/>
        <v>1</v>
      </c>
      <c r="T42" s="9" t="str">
        <f t="shared" ca="1" si="7"/>
        <v>sí</v>
      </c>
      <c r="V42" s="9">
        <v>37</v>
      </c>
      <c r="W42" s="12">
        <f t="shared" si="8"/>
        <v>1</v>
      </c>
      <c r="X42" s="12">
        <f t="shared" si="10"/>
        <v>0.99999999956041141</v>
      </c>
      <c r="Y42" s="25">
        <f t="shared" si="9"/>
        <v>1.8254134507735769E-10</v>
      </c>
    </row>
    <row r="43" spans="2:25" ht="15" customHeight="1" x14ac:dyDescent="0.45">
      <c r="B43" s="11">
        <f t="shared" ref="B43:B57" ca="1" si="14">C42</f>
        <v>0.5</v>
      </c>
      <c r="C43" s="11">
        <f t="shared" ca="1" si="11"/>
        <v>1.5</v>
      </c>
      <c r="D43" s="9">
        <f t="shared" ca="1" si="12"/>
        <v>32</v>
      </c>
      <c r="E43" s="19">
        <f t="shared" ca="1" si="13"/>
        <v>35.84668922486204</v>
      </c>
      <c r="L43" s="9">
        <v>39</v>
      </c>
      <c r="M43" s="9">
        <f t="shared" ca="1" si="0"/>
        <v>3</v>
      </c>
      <c r="N43" s="9" t="str">
        <f t="shared" ca="1" si="1"/>
        <v>FLO350</v>
      </c>
      <c r="O43" s="11">
        <f t="shared" ca="1" si="2"/>
        <v>0.79433761216618892</v>
      </c>
      <c r="P43" s="9">
        <f t="shared" ca="1" si="3"/>
        <v>2</v>
      </c>
      <c r="Q43" s="19">
        <f t="shared" ca="1" si="4"/>
        <v>35.85345238761608</v>
      </c>
      <c r="R43" s="10">
        <f t="shared" ca="1" si="5"/>
        <v>5.5197859583632471</v>
      </c>
      <c r="S43" s="9">
        <f t="shared" ca="1" si="6"/>
        <v>1</v>
      </c>
      <c r="T43" s="9" t="str">
        <f t="shared" ca="1" si="7"/>
        <v>no</v>
      </c>
      <c r="V43" s="9">
        <v>38</v>
      </c>
      <c r="W43" s="12">
        <f t="shared" si="8"/>
        <v>1</v>
      </c>
      <c r="X43" s="12">
        <f t="shared" si="10"/>
        <v>0.99999999974295273</v>
      </c>
      <c r="Y43" s="25">
        <f t="shared" si="9"/>
        <v>1.0664257528203527E-10</v>
      </c>
    </row>
    <row r="44" spans="2:25" ht="15" customHeight="1" x14ac:dyDescent="0.45">
      <c r="B44" s="11">
        <f t="shared" ca="1" si="14"/>
        <v>1.5</v>
      </c>
      <c r="C44" s="11">
        <f t="shared" ca="1" si="11"/>
        <v>2.5</v>
      </c>
      <c r="D44" s="9">
        <f t="shared" ca="1" si="12"/>
        <v>66</v>
      </c>
      <c r="E44" s="19">
        <f t="shared" ca="1" si="13"/>
        <v>53.770033837293035</v>
      </c>
      <c r="L44" s="9">
        <v>40</v>
      </c>
      <c r="M44" s="9">
        <f t="shared" ca="1" si="0"/>
        <v>5</v>
      </c>
      <c r="N44" s="9" t="str">
        <f t="shared" ca="1" si="1"/>
        <v>QBH622</v>
      </c>
      <c r="O44" s="11">
        <f t="shared" ca="1" si="2"/>
        <v>0.93385898036104553</v>
      </c>
      <c r="P44" s="9">
        <f t="shared" ca="1" si="3"/>
        <v>1</v>
      </c>
      <c r="Q44" s="19">
        <f t="shared" ca="1" si="4"/>
        <v>42.356693802476435</v>
      </c>
      <c r="R44" s="10">
        <f t="shared" ca="1" si="5"/>
        <v>0.49619677735463563</v>
      </c>
      <c r="S44" s="9">
        <f t="shared" ca="1" si="6"/>
        <v>1</v>
      </c>
      <c r="T44" s="9" t="str">
        <f t="shared" ca="1" si="7"/>
        <v>sí</v>
      </c>
      <c r="V44" s="9">
        <v>39</v>
      </c>
      <c r="W44" s="12">
        <f t="shared" si="8"/>
        <v>1</v>
      </c>
      <c r="X44" s="12">
        <f t="shared" si="10"/>
        <v>0.99999999984959531</v>
      </c>
      <c r="Y44" s="25">
        <f t="shared" si="9"/>
        <v>6.2344890164882151E-11</v>
      </c>
    </row>
    <row r="45" spans="2:25" ht="15" customHeight="1" x14ac:dyDescent="0.45">
      <c r="B45" s="11">
        <f t="shared" ca="1" si="14"/>
        <v>2.5</v>
      </c>
      <c r="C45" s="11">
        <f t="shared" ca="1" si="11"/>
        <v>3.5</v>
      </c>
      <c r="D45" s="9">
        <f t="shared" ca="1" si="12"/>
        <v>54</v>
      </c>
      <c r="E45" s="19">
        <f t="shared" ca="1" si="13"/>
        <v>53.770033837293084</v>
      </c>
      <c r="L45" s="9">
        <v>41</v>
      </c>
      <c r="M45" s="9">
        <f t="shared" ca="1" si="0"/>
        <v>2</v>
      </c>
      <c r="N45" s="9" t="str">
        <f t="shared" ca="1" si="1"/>
        <v>RCP122</v>
      </c>
      <c r="O45" s="11">
        <f t="shared" ca="1" si="2"/>
        <v>0.79740428813916087</v>
      </c>
      <c r="P45" s="9">
        <f t="shared" ca="1" si="3"/>
        <v>1</v>
      </c>
      <c r="Q45" s="19">
        <f t="shared" ca="1" si="4"/>
        <v>21.185546762053168</v>
      </c>
      <c r="R45" s="10">
        <f t="shared" ca="1" si="5"/>
        <v>-2.2326329728644092</v>
      </c>
      <c r="S45" s="9">
        <f t="shared" ca="1" si="6"/>
        <v>3</v>
      </c>
      <c r="T45" s="9" t="str">
        <f t="shared" ca="1" si="7"/>
        <v>no</v>
      </c>
      <c r="V45" s="9">
        <v>40</v>
      </c>
      <c r="W45" s="12">
        <f t="shared" si="8"/>
        <v>1</v>
      </c>
      <c r="X45" s="12">
        <f t="shared" si="10"/>
        <v>0.99999999991194022</v>
      </c>
      <c r="Y45" s="25">
        <f t="shared" si="9"/>
        <v>3.6471760746456062E-11</v>
      </c>
    </row>
    <row r="46" spans="2:25" ht="15" customHeight="1" x14ac:dyDescent="0.45">
      <c r="B46" s="11">
        <f t="shared" ca="1" si="14"/>
        <v>3.5</v>
      </c>
      <c r="C46" s="11">
        <f t="shared" ca="1" si="11"/>
        <v>4.5</v>
      </c>
      <c r="D46" s="9">
        <f t="shared" ca="1" si="12"/>
        <v>38</v>
      </c>
      <c r="E46" s="19">
        <f t="shared" ca="1" si="13"/>
        <v>40.327525377969799</v>
      </c>
      <c r="L46" s="9">
        <v>42</v>
      </c>
      <c r="M46" s="9">
        <f t="shared" ca="1" si="0"/>
        <v>3</v>
      </c>
      <c r="N46" s="9" t="str">
        <f t="shared" ca="1" si="1"/>
        <v>OZY909</v>
      </c>
      <c r="O46" s="11">
        <f t="shared" ca="1" si="2"/>
        <v>0.9117577542275086</v>
      </c>
      <c r="P46" s="9">
        <f t="shared" ca="1" si="3"/>
        <v>1</v>
      </c>
      <c r="Q46" s="19">
        <f t="shared" ca="1" si="4"/>
        <v>27.123473896003226</v>
      </c>
      <c r="R46" s="10">
        <f t="shared" ca="1" si="5"/>
        <v>2.9829915549784349</v>
      </c>
      <c r="S46" s="9">
        <f t="shared" ca="1" si="6"/>
        <v>2</v>
      </c>
      <c r="T46" s="9" t="str">
        <f t="shared" ca="1" si="7"/>
        <v>sí</v>
      </c>
    </row>
    <row r="47" spans="2:25" ht="15" customHeight="1" x14ac:dyDescent="0.45">
      <c r="B47" s="11">
        <f t="shared" ca="1" si="14"/>
        <v>4.5</v>
      </c>
      <c r="C47" s="11">
        <f t="shared" ca="1" si="11"/>
        <v>5.5</v>
      </c>
      <c r="D47" s="9">
        <f t="shared" ca="1" si="12"/>
        <v>32</v>
      </c>
      <c r="E47" s="19">
        <f t="shared" ca="1" si="13"/>
        <v>24.196515226781877</v>
      </c>
      <c r="L47" s="9">
        <v>43</v>
      </c>
      <c r="M47" s="9">
        <f t="shared" ca="1" si="0"/>
        <v>4</v>
      </c>
      <c r="N47" s="9" t="str">
        <f t="shared" ca="1" si="1"/>
        <v>QYP982</v>
      </c>
      <c r="O47" s="11">
        <f t="shared" ca="1" si="2"/>
        <v>0.97725552207067368</v>
      </c>
      <c r="P47" s="9">
        <f t="shared" ca="1" si="3"/>
        <v>1</v>
      </c>
      <c r="Q47" s="19">
        <f t="shared" ca="1" si="4"/>
        <v>40.758109140440794</v>
      </c>
      <c r="R47" s="10">
        <f t="shared" ca="1" si="5"/>
        <v>1.3070142193692387</v>
      </c>
      <c r="S47" s="9">
        <f t="shared" ca="1" si="6"/>
        <v>2</v>
      </c>
      <c r="T47" s="9" t="str">
        <f t="shared" ca="1" si="7"/>
        <v>sí</v>
      </c>
    </row>
    <row r="48" spans="2:25" ht="15" customHeight="1" x14ac:dyDescent="0.45">
      <c r="B48" s="11">
        <f t="shared" ca="1" si="14"/>
        <v>5.5</v>
      </c>
      <c r="C48" s="11">
        <f t="shared" ca="1" si="11"/>
        <v>6.5</v>
      </c>
      <c r="D48" s="9">
        <f t="shared" ca="1" si="12"/>
        <v>7</v>
      </c>
      <c r="E48" s="19">
        <f t="shared" ca="1" si="13"/>
        <v>12.098257613390953</v>
      </c>
      <c r="L48" s="9">
        <v>44</v>
      </c>
      <c r="M48" s="9">
        <f t="shared" ca="1" si="0"/>
        <v>4</v>
      </c>
      <c r="N48" s="9" t="str">
        <f t="shared" ca="1" si="1"/>
        <v>FWT934</v>
      </c>
      <c r="O48" s="11">
        <f t="shared" ca="1" si="2"/>
        <v>0.89351142254607285</v>
      </c>
      <c r="P48" s="9">
        <f t="shared" ca="1" si="3"/>
        <v>1</v>
      </c>
      <c r="Q48" s="19">
        <f t="shared" ca="1" si="4"/>
        <v>33.437645288691478</v>
      </c>
      <c r="R48" s="10">
        <f t="shared" ca="1" si="5"/>
        <v>-5.1560715915775788</v>
      </c>
      <c r="S48" s="9">
        <f t="shared" ca="1" si="6"/>
        <v>4</v>
      </c>
      <c r="T48" s="9" t="str">
        <f t="shared" ca="1" si="7"/>
        <v>sí</v>
      </c>
    </row>
    <row r="49" spans="2:20" ht="15" customHeight="1" x14ac:dyDescent="0.45">
      <c r="B49" s="11">
        <f t="shared" ca="1" si="14"/>
        <v>6.5</v>
      </c>
      <c r="C49" s="11">
        <f t="shared" ca="1" si="11"/>
        <v>7.5</v>
      </c>
      <c r="D49" s="9">
        <f t="shared" ca="1" si="12"/>
        <v>3</v>
      </c>
      <c r="E49" s="19">
        <f t="shared" ca="1" si="13"/>
        <v>5.1849675485960844</v>
      </c>
      <c r="L49" s="9">
        <v>45</v>
      </c>
      <c r="M49" s="9">
        <f t="shared" ca="1" si="0"/>
        <v>3</v>
      </c>
      <c r="N49" s="9" t="str">
        <f t="shared" ca="1" si="1"/>
        <v>FTZ423</v>
      </c>
      <c r="O49" s="11">
        <f t="shared" ca="1" si="2"/>
        <v>0.77555522144355704</v>
      </c>
      <c r="P49" s="9">
        <f t="shared" ca="1" si="3"/>
        <v>1</v>
      </c>
      <c r="Q49" s="19">
        <f t="shared" ca="1" si="4"/>
        <v>26.394559113818385</v>
      </c>
      <c r="R49" s="10">
        <f t="shared" ca="1" si="5"/>
        <v>-0.16057814238697832</v>
      </c>
      <c r="S49" s="9">
        <f t="shared" ca="1" si="6"/>
        <v>1</v>
      </c>
      <c r="T49" s="9" t="str">
        <f t="shared" ca="1" si="7"/>
        <v>no</v>
      </c>
    </row>
    <row r="50" spans="2:20" ht="15" customHeight="1" x14ac:dyDescent="0.45">
      <c r="B50" s="11">
        <f t="shared" ca="1" si="14"/>
        <v>7.5</v>
      </c>
      <c r="C50" s="11">
        <f t="shared" ca="1" si="11"/>
        <v>8.5</v>
      </c>
      <c r="D50" s="9">
        <f t="shared" ca="1" si="12"/>
        <v>2</v>
      </c>
      <c r="E50" s="19">
        <f t="shared" ca="1" si="13"/>
        <v>1.944362830723545</v>
      </c>
      <c r="L50" s="9">
        <v>46</v>
      </c>
      <c r="M50" s="9">
        <f t="shared" ca="1" si="0"/>
        <v>2</v>
      </c>
      <c r="N50" s="9" t="str">
        <f t="shared" ca="1" si="1"/>
        <v>PWM801</v>
      </c>
      <c r="O50" s="11">
        <f t="shared" ca="1" si="2"/>
        <v>0.95128335340266679</v>
      </c>
      <c r="P50" s="9">
        <f t="shared" ca="1" si="3"/>
        <v>2</v>
      </c>
      <c r="Q50" s="19">
        <f t="shared" ca="1" si="4"/>
        <v>27.336973794330433</v>
      </c>
      <c r="R50" s="10">
        <f t="shared" ca="1" si="5"/>
        <v>-0.62868561339062323</v>
      </c>
      <c r="S50" s="9">
        <f t="shared" ca="1" si="6"/>
        <v>2</v>
      </c>
      <c r="T50" s="9" t="str">
        <f t="shared" ca="1" si="7"/>
        <v>sí</v>
      </c>
    </row>
    <row r="51" spans="2:20" ht="15" customHeight="1" x14ac:dyDescent="0.45">
      <c r="B51" s="11">
        <f t="shared" ca="1" si="14"/>
        <v>8.5</v>
      </c>
      <c r="C51" s="11">
        <f t="shared" ca="1" si="11"/>
        <v>9.5</v>
      </c>
      <c r="D51" s="9">
        <f t="shared" ca="1" si="12"/>
        <v>0</v>
      </c>
      <c r="E51" s="19">
        <f t="shared" ca="1" si="13"/>
        <v>0.64812094357452388</v>
      </c>
      <c r="L51" s="9">
        <v>47</v>
      </c>
      <c r="M51" s="9">
        <f t="shared" ca="1" si="0"/>
        <v>2</v>
      </c>
      <c r="N51" s="9" t="str">
        <f t="shared" ca="1" si="1"/>
        <v>ATV459</v>
      </c>
      <c r="O51" s="11">
        <f t="shared" ca="1" si="2"/>
        <v>0.95471972417668827</v>
      </c>
      <c r="P51" s="9">
        <f t="shared" ca="1" si="3"/>
        <v>1</v>
      </c>
      <c r="Q51" s="19">
        <f t="shared" ca="1" si="4"/>
        <v>22.562392586621616</v>
      </c>
      <c r="R51" s="10">
        <f t="shared" ca="1" si="5"/>
        <v>1.6955139676224893</v>
      </c>
      <c r="S51" s="9">
        <f t="shared" ca="1" si="6"/>
        <v>1</v>
      </c>
      <c r="T51" s="9" t="str">
        <f t="shared" ca="1" si="7"/>
        <v>sí</v>
      </c>
    </row>
    <row r="52" spans="2:20" ht="15" customHeight="1" x14ac:dyDescent="0.45">
      <c r="B52" s="11">
        <f t="shared" ca="1" si="14"/>
        <v>9.5</v>
      </c>
      <c r="C52" s="11">
        <f t="shared" ca="1" si="11"/>
        <v>10.5</v>
      </c>
      <c r="D52" s="9">
        <f t="shared" ca="1" si="12"/>
        <v>0</v>
      </c>
      <c r="E52" s="19">
        <f t="shared" ca="1" si="13"/>
        <v>0.1944362830723545</v>
      </c>
      <c r="L52" s="9">
        <v>48</v>
      </c>
      <c r="M52" s="9">
        <f t="shared" ca="1" si="0"/>
        <v>4</v>
      </c>
      <c r="N52" s="9" t="str">
        <f t="shared" ca="1" si="1"/>
        <v>ZHZ042</v>
      </c>
      <c r="O52" s="11">
        <f t="shared" ca="1" si="2"/>
        <v>0.88805365631657096</v>
      </c>
      <c r="P52" s="9">
        <f t="shared" ca="1" si="3"/>
        <v>1</v>
      </c>
      <c r="Q52" s="19">
        <f t="shared" ca="1" si="4"/>
        <v>18.753259627371872</v>
      </c>
      <c r="R52" s="10">
        <f t="shared" ca="1" si="5"/>
        <v>2.430702663083685</v>
      </c>
      <c r="S52" s="9">
        <f t="shared" ca="1" si="6"/>
        <v>1</v>
      </c>
      <c r="T52" s="9" t="str">
        <f t="shared" ca="1" si="7"/>
        <v>sí</v>
      </c>
    </row>
    <row r="53" spans="2:20" ht="15" customHeight="1" x14ac:dyDescent="0.45">
      <c r="B53" s="11">
        <f t="shared" ca="1" si="14"/>
        <v>10.5</v>
      </c>
      <c r="C53" s="11">
        <f t="shared" ca="1" si="11"/>
        <v>11.5</v>
      </c>
      <c r="D53" s="9">
        <f t="shared" ca="1" si="12"/>
        <v>0</v>
      </c>
      <c r="E53" s="19">
        <f t="shared" ca="1" si="13"/>
        <v>5.3028077201551227E-2</v>
      </c>
      <c r="L53" s="9">
        <v>49</v>
      </c>
      <c r="M53" s="9">
        <f t="shared" ca="1" si="0"/>
        <v>3</v>
      </c>
      <c r="N53" s="9" t="str">
        <f t="shared" ca="1" si="1"/>
        <v>SSD974</v>
      </c>
      <c r="O53" s="11">
        <f t="shared" ca="1" si="2"/>
        <v>0.89122955500841539</v>
      </c>
      <c r="P53" s="9">
        <f t="shared" ca="1" si="3"/>
        <v>2</v>
      </c>
      <c r="Q53" s="19">
        <f t="shared" ca="1" si="4"/>
        <v>22.976380753883625</v>
      </c>
      <c r="R53" s="10">
        <f t="shared" ca="1" si="5"/>
        <v>-1.2390309505594372</v>
      </c>
      <c r="S53" s="9">
        <f t="shared" ca="1" si="6"/>
        <v>1</v>
      </c>
      <c r="T53" s="9" t="str">
        <f t="shared" ca="1" si="7"/>
        <v>sí</v>
      </c>
    </row>
    <row r="54" spans="2:20" ht="15" customHeight="1" x14ac:dyDescent="0.45">
      <c r="B54" s="11">
        <f t="shared" ca="1" si="14"/>
        <v>11.5</v>
      </c>
      <c r="C54" s="11">
        <f t="shared" ca="1" si="11"/>
        <v>12.5</v>
      </c>
      <c r="D54" s="9">
        <f t="shared" ca="1" si="12"/>
        <v>0</v>
      </c>
      <c r="E54" s="19">
        <f t="shared" ca="1" si="13"/>
        <v>1.3257019300381145E-2</v>
      </c>
      <c r="L54" s="9">
        <v>50</v>
      </c>
      <c r="M54" s="9">
        <f t="shared" ca="1" si="0"/>
        <v>1</v>
      </c>
      <c r="N54" s="9" t="str">
        <f t="shared" ca="1" si="1"/>
        <v>SHW409</v>
      </c>
      <c r="O54" s="11">
        <f t="shared" ca="1" si="2"/>
        <v>0.95538307725425231</v>
      </c>
      <c r="P54" s="9">
        <f t="shared" ca="1" si="3"/>
        <v>1</v>
      </c>
      <c r="Q54" s="19">
        <f t="shared" ca="1" si="4"/>
        <v>45.01869572607891</v>
      </c>
      <c r="R54" s="10">
        <f t="shared" ca="1" si="5"/>
        <v>-2.2100271874170891</v>
      </c>
      <c r="S54" s="9">
        <f t="shared" ca="1" si="6"/>
        <v>1</v>
      </c>
      <c r="T54" s="9" t="str">
        <f t="shared" ca="1" si="7"/>
        <v>sí</v>
      </c>
    </row>
    <row r="55" spans="2:20" ht="15" customHeight="1" x14ac:dyDescent="0.45">
      <c r="B55" s="11">
        <f t="shared" ca="1" si="14"/>
        <v>12.5</v>
      </c>
      <c r="C55" s="11">
        <f t="shared" ca="1" si="11"/>
        <v>13.5</v>
      </c>
      <c r="D55" s="9">
        <f t="shared" ca="1" si="12"/>
        <v>0</v>
      </c>
      <c r="E55" s="19">
        <f t="shared" ca="1" si="13"/>
        <v>3.0593121462541006E-3</v>
      </c>
      <c r="L55" s="9">
        <v>51</v>
      </c>
      <c r="M55" s="9">
        <f t="shared" ca="1" si="0"/>
        <v>0</v>
      </c>
      <c r="N55" s="9" t="str">
        <f t="shared" ca="1" si="1"/>
        <v>KSV780</v>
      </c>
      <c r="O55" s="11">
        <f t="shared" ca="1" si="2"/>
        <v>0.95051931050854077</v>
      </c>
      <c r="P55" s="9">
        <f t="shared" ca="1" si="3"/>
        <v>1</v>
      </c>
      <c r="Q55" s="19">
        <f t="shared" ca="1" si="4"/>
        <v>27.121361370015428</v>
      </c>
      <c r="R55" s="10">
        <f t="shared" ca="1" si="5"/>
        <v>-0.49415127540757525</v>
      </c>
      <c r="S55" s="9">
        <f t="shared" ca="1" si="6"/>
        <v>1</v>
      </c>
      <c r="T55" s="9" t="str">
        <f t="shared" ca="1" si="7"/>
        <v>sí</v>
      </c>
    </row>
    <row r="56" spans="2:20" ht="15" customHeight="1" x14ac:dyDescent="0.45">
      <c r="B56" s="11">
        <f t="shared" ca="1" si="14"/>
        <v>13.5</v>
      </c>
      <c r="C56" s="11">
        <f t="shared" ca="1" si="11"/>
        <v>14.5</v>
      </c>
      <c r="D56" s="9">
        <f t="shared" ca="1" si="12"/>
        <v>0</v>
      </c>
      <c r="E56" s="19">
        <f t="shared" ca="1" si="13"/>
        <v>6.5556688848111833E-4</v>
      </c>
      <c r="L56" s="9">
        <v>52</v>
      </c>
      <c r="M56" s="9">
        <f t="shared" ca="1" si="0"/>
        <v>1</v>
      </c>
      <c r="N56" s="9" t="str">
        <f t="shared" ca="1" si="1"/>
        <v>CDI675</v>
      </c>
      <c r="O56" s="11">
        <f t="shared" ca="1" si="2"/>
        <v>0.87977815271004411</v>
      </c>
      <c r="P56" s="9">
        <f t="shared" ca="1" si="3"/>
        <v>2</v>
      </c>
      <c r="Q56" s="19">
        <f t="shared" ca="1" si="4"/>
        <v>23.715808921553229</v>
      </c>
      <c r="R56" s="10">
        <f t="shared" ca="1" si="5"/>
        <v>0.38793084604930422</v>
      </c>
      <c r="S56" s="9">
        <f t="shared" ca="1" si="6"/>
        <v>2</v>
      </c>
      <c r="T56" s="9" t="str">
        <f t="shared" ca="1" si="7"/>
        <v>sí</v>
      </c>
    </row>
    <row r="57" spans="2:20" ht="15" customHeight="1" x14ac:dyDescent="0.45">
      <c r="B57" s="11">
        <f t="shared" ca="1" si="14"/>
        <v>14.5</v>
      </c>
      <c r="C57" s="11">
        <f ca="1">B57+IF(OR($C$6=1,$C$6=3,$C$6=6),1,(MAX(INDEX($M$5:$S$304,0,CHOOSE($C$6,1,3,4,5,6,7)))-MIN(INDEX($M$5:$S$304,0,CHOOSE($C$6,1,3,4,5,6,7))))/16)+0.000000001</f>
        <v>15.500000001</v>
      </c>
      <c r="D57" s="9">
        <f t="shared" ca="1" si="12"/>
        <v>0</v>
      </c>
      <c r="E57" s="19">
        <f t="shared" ca="1" si="13"/>
        <v>1.3111337770155274E-4</v>
      </c>
      <c r="L57" s="9">
        <v>53</v>
      </c>
      <c r="M57" s="9">
        <f t="shared" ca="1" si="0"/>
        <v>5</v>
      </c>
      <c r="N57" s="9" t="str">
        <f t="shared" ca="1" si="1"/>
        <v>BRG187</v>
      </c>
      <c r="O57" s="11">
        <f t="shared" ca="1" si="2"/>
        <v>0.77957110181817657</v>
      </c>
      <c r="P57" s="9">
        <f t="shared" ca="1" si="3"/>
        <v>1</v>
      </c>
      <c r="Q57" s="19">
        <f t="shared" ca="1" si="4"/>
        <v>33.579771559345048</v>
      </c>
      <c r="R57" s="10">
        <f t="shared" ca="1" si="5"/>
        <v>-0.75409331633496635</v>
      </c>
      <c r="S57" s="9">
        <f t="shared" ca="1" si="6"/>
        <v>1</v>
      </c>
      <c r="T57" s="9" t="str">
        <f t="shared" ca="1" si="7"/>
        <v>no</v>
      </c>
    </row>
    <row r="58" spans="2:20" ht="15" customHeight="1" x14ac:dyDescent="0.45">
      <c r="L58" s="9">
        <v>54</v>
      </c>
      <c r="M58" s="9">
        <f t="shared" ca="1" si="0"/>
        <v>3</v>
      </c>
      <c r="N58" s="9" t="str">
        <f t="shared" ca="1" si="1"/>
        <v>STI091</v>
      </c>
      <c r="O58" s="11">
        <f t="shared" ca="1" si="2"/>
        <v>0.91426170745639279</v>
      </c>
      <c r="P58" s="9">
        <f t="shared" ca="1" si="3"/>
        <v>1</v>
      </c>
      <c r="Q58" s="19">
        <f t="shared" ca="1" si="4"/>
        <v>41.778002667980488</v>
      </c>
      <c r="R58" s="10">
        <f t="shared" ca="1" si="5"/>
        <v>1.9040345871238891</v>
      </c>
      <c r="S58" s="9">
        <f t="shared" ca="1" si="6"/>
        <v>1</v>
      </c>
      <c r="T58" s="9" t="str">
        <f t="shared" ca="1" si="7"/>
        <v>sí</v>
      </c>
    </row>
    <row r="59" spans="2:20" ht="15" customHeight="1" x14ac:dyDescent="0.45">
      <c r="B59" s="2" t="s">
        <v>283</v>
      </c>
      <c r="L59" s="9">
        <v>55</v>
      </c>
      <c r="M59" s="9">
        <f t="shared" ca="1" si="0"/>
        <v>1</v>
      </c>
      <c r="N59" s="9" t="str">
        <f t="shared" ca="1" si="1"/>
        <v>EDY602</v>
      </c>
      <c r="O59" s="11">
        <f t="shared" ca="1" si="2"/>
        <v>0.81508340230246146</v>
      </c>
      <c r="P59" s="9">
        <f t="shared" ca="1" si="3"/>
        <v>1</v>
      </c>
      <c r="Q59" s="19">
        <f t="shared" ca="1" si="4"/>
        <v>27.924200277202626</v>
      </c>
      <c r="R59" s="10">
        <f t="shared" ca="1" si="5"/>
        <v>-3.9099771090588513</v>
      </c>
      <c r="S59" s="9">
        <f t="shared" ca="1" si="6"/>
        <v>1</v>
      </c>
      <c r="T59" s="9" t="str">
        <f t="shared" ca="1" si="7"/>
        <v>sí</v>
      </c>
    </row>
    <row r="60" spans="2:20" ht="15" customHeight="1" x14ac:dyDescent="0.45">
      <c r="L60" s="9">
        <v>56</v>
      </c>
      <c r="M60" s="9">
        <f t="shared" ca="1" si="0"/>
        <v>5</v>
      </c>
      <c r="N60" s="9" t="str">
        <f t="shared" ca="1" si="1"/>
        <v>WUQ612</v>
      </c>
      <c r="O60" s="11">
        <f t="shared" ca="1" si="2"/>
        <v>0.97514975034637374</v>
      </c>
      <c r="P60" s="9">
        <f t="shared" ca="1" si="3"/>
        <v>1</v>
      </c>
      <c r="Q60" s="19">
        <f t="shared" ca="1" si="4"/>
        <v>41.771225474174884</v>
      </c>
      <c r="R60" s="10">
        <f t="shared" ca="1" si="5"/>
        <v>-4.1240795483713013</v>
      </c>
      <c r="S60" s="9">
        <f t="shared" ca="1" si="6"/>
        <v>1</v>
      </c>
      <c r="T60" s="9" t="str">
        <f t="shared" ca="1" si="7"/>
        <v>sí</v>
      </c>
    </row>
    <row r="61" spans="2:20" ht="15" customHeight="1" x14ac:dyDescent="0.45">
      <c r="L61" s="9">
        <v>57</v>
      </c>
      <c r="M61" s="9">
        <f t="shared" ca="1" si="0"/>
        <v>5</v>
      </c>
      <c r="N61" s="9" t="str">
        <f t="shared" ca="1" si="1"/>
        <v>TQR472</v>
      </c>
      <c r="O61" s="11">
        <f t="shared" ca="1" si="2"/>
        <v>0.90093357261813301</v>
      </c>
      <c r="P61" s="9">
        <f t="shared" ca="1" si="3"/>
        <v>1</v>
      </c>
      <c r="Q61" s="19">
        <f t="shared" ca="1" si="4"/>
        <v>32.173978957156613</v>
      </c>
      <c r="R61" s="10">
        <f t="shared" ca="1" si="5"/>
        <v>-6.3376350771545589</v>
      </c>
      <c r="S61" s="9">
        <f t="shared" ca="1" si="6"/>
        <v>1</v>
      </c>
      <c r="T61" s="9" t="str">
        <f t="shared" ca="1" si="7"/>
        <v>sí</v>
      </c>
    </row>
    <row r="62" spans="2:20" ht="15" customHeight="1" x14ac:dyDescent="0.45">
      <c r="L62" s="9">
        <v>58</v>
      </c>
      <c r="M62" s="9">
        <f t="shared" ca="1" si="0"/>
        <v>2</v>
      </c>
      <c r="N62" s="9" t="str">
        <f t="shared" ca="1" si="1"/>
        <v>PLZ773</v>
      </c>
      <c r="O62" s="11">
        <f t="shared" ca="1" si="2"/>
        <v>0.68412684681233049</v>
      </c>
      <c r="P62" s="9">
        <f t="shared" ca="1" si="3"/>
        <v>3</v>
      </c>
      <c r="Q62" s="19">
        <f t="shared" ca="1" si="4"/>
        <v>37.620385431386943</v>
      </c>
      <c r="R62" s="10">
        <f t="shared" ca="1" si="5"/>
        <v>5.7950910484500939</v>
      </c>
      <c r="S62" s="9">
        <f t="shared" ca="1" si="6"/>
        <v>2</v>
      </c>
      <c r="T62" s="9" t="str">
        <f t="shared" ca="1" si="7"/>
        <v>no</v>
      </c>
    </row>
    <row r="63" spans="2:20" ht="15" customHeight="1" x14ac:dyDescent="0.45">
      <c r="L63" s="9">
        <v>59</v>
      </c>
      <c r="M63" s="9">
        <f t="shared" ca="1" si="0"/>
        <v>2</v>
      </c>
      <c r="N63" s="9" t="str">
        <f t="shared" ca="1" si="1"/>
        <v>JBF255</v>
      </c>
      <c r="O63" s="11">
        <f t="shared" ca="1" si="2"/>
        <v>0.92135495678215329</v>
      </c>
      <c r="P63" s="9">
        <f t="shared" ca="1" si="3"/>
        <v>1</v>
      </c>
      <c r="Q63" s="19">
        <f t="shared" ca="1" si="4"/>
        <v>35.651235007661171</v>
      </c>
      <c r="R63" s="10">
        <f t="shared" ca="1" si="5"/>
        <v>-4.0805024724596821</v>
      </c>
      <c r="S63" s="9">
        <f t="shared" ca="1" si="6"/>
        <v>1</v>
      </c>
      <c r="T63" s="9" t="str">
        <f t="shared" ca="1" si="7"/>
        <v>sí</v>
      </c>
    </row>
    <row r="64" spans="2:20" ht="15" customHeight="1" x14ac:dyDescent="0.45">
      <c r="L64" s="9">
        <v>60</v>
      </c>
      <c r="M64" s="9">
        <f t="shared" ca="1" si="0"/>
        <v>6</v>
      </c>
      <c r="N64" s="9" t="str">
        <f t="shared" ca="1" si="1"/>
        <v>WSK208</v>
      </c>
      <c r="O64" s="11">
        <f t="shared" ca="1" si="2"/>
        <v>0.82171056295839995</v>
      </c>
      <c r="P64" s="9">
        <f t="shared" ca="1" si="3"/>
        <v>1</v>
      </c>
      <c r="Q64" s="19">
        <f t="shared" ca="1" si="4"/>
        <v>26.604105625186754</v>
      </c>
      <c r="R64" s="10">
        <f t="shared" ca="1" si="5"/>
        <v>3.114093790670748</v>
      </c>
      <c r="S64" s="9">
        <f t="shared" ca="1" si="6"/>
        <v>1</v>
      </c>
      <c r="T64" s="9" t="str">
        <f t="shared" ca="1" si="7"/>
        <v>sí</v>
      </c>
    </row>
    <row r="65" spans="12:20" ht="15" customHeight="1" x14ac:dyDescent="0.45">
      <c r="L65" s="9">
        <v>61</v>
      </c>
      <c r="M65" s="9">
        <f t="shared" ca="1" si="0"/>
        <v>3</v>
      </c>
      <c r="N65" s="9" t="str">
        <f t="shared" ca="1" si="1"/>
        <v>KRO147</v>
      </c>
      <c r="O65" s="11">
        <f t="shared" ca="1" si="2"/>
        <v>0.89705771776015764</v>
      </c>
      <c r="P65" s="9">
        <f t="shared" ca="1" si="3"/>
        <v>1</v>
      </c>
      <c r="Q65" s="19">
        <f t="shared" ca="1" si="4"/>
        <v>29.05873574729236</v>
      </c>
      <c r="R65" s="10">
        <f t="shared" ca="1" si="5"/>
        <v>1.9426933324409184</v>
      </c>
      <c r="S65" s="9">
        <f t="shared" ca="1" si="6"/>
        <v>1</v>
      </c>
      <c r="T65" s="9" t="str">
        <f t="shared" ca="1" si="7"/>
        <v>sí</v>
      </c>
    </row>
    <row r="66" spans="12:20" ht="15" customHeight="1" x14ac:dyDescent="0.45">
      <c r="L66" s="9">
        <v>62</v>
      </c>
      <c r="M66" s="9">
        <f t="shared" ca="1" si="0"/>
        <v>4</v>
      </c>
      <c r="N66" s="9" t="str">
        <f t="shared" ca="1" si="1"/>
        <v>KGA682</v>
      </c>
      <c r="O66" s="11">
        <f t="shared" ca="1" si="2"/>
        <v>0.87704698655601621</v>
      </c>
      <c r="P66" s="9">
        <f t="shared" ca="1" si="3"/>
        <v>1</v>
      </c>
      <c r="Q66" s="19">
        <f t="shared" ca="1" si="4"/>
        <v>28.424059331044798</v>
      </c>
      <c r="R66" s="10">
        <f t="shared" ca="1" si="5"/>
        <v>-3.2844358094927264</v>
      </c>
      <c r="S66" s="9">
        <f t="shared" ca="1" si="6"/>
        <v>3</v>
      </c>
      <c r="T66" s="9" t="str">
        <f t="shared" ca="1" si="7"/>
        <v>sí</v>
      </c>
    </row>
    <row r="67" spans="12:20" ht="15" customHeight="1" x14ac:dyDescent="0.45">
      <c r="L67" s="9">
        <v>63</v>
      </c>
      <c r="M67" s="9">
        <f t="shared" ca="1" si="0"/>
        <v>3</v>
      </c>
      <c r="N67" s="9" t="str">
        <f t="shared" ca="1" si="1"/>
        <v>JBB101</v>
      </c>
      <c r="O67" s="11">
        <f t="shared" ca="1" si="2"/>
        <v>0.70221376977516792</v>
      </c>
      <c r="P67" s="9">
        <f t="shared" ca="1" si="3"/>
        <v>1</v>
      </c>
      <c r="Q67" s="19">
        <f t="shared" ca="1" si="4"/>
        <v>24.136692474466773</v>
      </c>
      <c r="R67" s="10">
        <f t="shared" ca="1" si="5"/>
        <v>5.4473073594347881</v>
      </c>
      <c r="S67" s="9">
        <f t="shared" ca="1" si="6"/>
        <v>1</v>
      </c>
      <c r="T67" s="9" t="str">
        <f t="shared" ca="1" si="7"/>
        <v>no</v>
      </c>
    </row>
    <row r="68" spans="12:20" ht="15" customHeight="1" x14ac:dyDescent="0.45">
      <c r="L68" s="9">
        <v>64</v>
      </c>
      <c r="M68" s="9">
        <f t="shared" ca="1" si="0"/>
        <v>5</v>
      </c>
      <c r="N68" s="9" t="str">
        <f t="shared" ca="1" si="1"/>
        <v>VTF926</v>
      </c>
      <c r="O68" s="11">
        <f t="shared" ca="1" si="2"/>
        <v>0.95910462477154557</v>
      </c>
      <c r="P68" s="9">
        <f t="shared" ca="1" si="3"/>
        <v>1</v>
      </c>
      <c r="Q68" s="19">
        <f t="shared" ca="1" si="4"/>
        <v>16.193806697967627</v>
      </c>
      <c r="R68" s="10">
        <f t="shared" ca="1" si="5"/>
        <v>4.0874599919164298E-2</v>
      </c>
      <c r="S68" s="9">
        <f t="shared" ca="1" si="6"/>
        <v>3</v>
      </c>
      <c r="T68" s="9" t="str">
        <f t="shared" ca="1" si="7"/>
        <v>sí</v>
      </c>
    </row>
    <row r="69" spans="12:20" ht="15" customHeight="1" x14ac:dyDescent="0.45">
      <c r="L69" s="9">
        <v>65</v>
      </c>
      <c r="M69" s="9">
        <f t="shared" ref="M69:M132" ca="1" si="15">INDEX($V$5:$V$45,MATCH(RAND(),$W$5:$W$45,1))</f>
        <v>3</v>
      </c>
      <c r="N69" s="9" t="str">
        <f t="shared" ref="N69:N132" ca="1" si="16">CHAR(65+INT(RAND()*26))&amp;CHAR(65+INT(RAND()*26))&amp;CHAR(65+INT(RAND()*26))&amp;TEXT(INT(RAND()*1000),"000")</f>
        <v>USK344</v>
      </c>
      <c r="O69" s="11">
        <f t="shared" ref="O69:O132" ca="1" si="17">_xlfn.BETA.INV(RAND(),$C$10,$C$11)</f>
        <v>0.81211108424796119</v>
      </c>
      <c r="P69" s="9">
        <f t="shared" ref="P69:P132" ca="1" si="18">MAX(1,ROUNDUP(LN(1-RAND())/LN(1-$C$13),0))</f>
        <v>1</v>
      </c>
      <c r="Q69" s="19">
        <f t="shared" ref="Q69:Q132" ca="1" si="19">_xlfn.LOGNORM.INV(RAND(),LN($C$14),$C$15)</f>
        <v>39.587265972868394</v>
      </c>
      <c r="R69" s="10">
        <f t="shared" ref="R69:R132" ca="1" si="20">_xlfn.NORM.INV(RAND(),0,$C$16)</f>
        <v>1.0134050252374487</v>
      </c>
      <c r="S69" s="9">
        <f t="shared" ref="S69:S132" ca="1" si="21">INDEX($V$6:$V$45,MATCH(RAND(),$X$6:$X$45,1))</f>
        <v>5</v>
      </c>
      <c r="T69" s="9" t="str">
        <f t="shared" ref="T69:T132" ca="1" si="22">IF(AND(O69&gt;=$C$12,P69&lt;=5),"sí","no")</f>
        <v>sí</v>
      </c>
    </row>
    <row r="70" spans="12:20" ht="15" customHeight="1" x14ac:dyDescent="0.45">
      <c r="L70" s="9">
        <v>66</v>
      </c>
      <c r="M70" s="9">
        <f t="shared" ca="1" si="15"/>
        <v>2</v>
      </c>
      <c r="N70" s="9" t="str">
        <f t="shared" ca="1" si="16"/>
        <v>MSE398</v>
      </c>
      <c r="O70" s="11">
        <f t="shared" ca="1" si="17"/>
        <v>0.92571398370170832</v>
      </c>
      <c r="P70" s="9">
        <f t="shared" ca="1" si="18"/>
        <v>2</v>
      </c>
      <c r="Q70" s="19">
        <f t="shared" ca="1" si="19"/>
        <v>23.335071009404775</v>
      </c>
      <c r="R70" s="10">
        <f t="shared" ca="1" si="20"/>
        <v>0.39508919851425728</v>
      </c>
      <c r="S70" s="9">
        <f t="shared" ca="1" si="21"/>
        <v>1</v>
      </c>
      <c r="T70" s="9" t="str">
        <f t="shared" ca="1" si="22"/>
        <v>sí</v>
      </c>
    </row>
    <row r="71" spans="12:20" ht="15" customHeight="1" x14ac:dyDescent="0.45">
      <c r="L71" s="9">
        <v>67</v>
      </c>
      <c r="M71" s="9">
        <f t="shared" ca="1" si="15"/>
        <v>2</v>
      </c>
      <c r="N71" s="9" t="str">
        <f t="shared" ca="1" si="16"/>
        <v>XXO466</v>
      </c>
      <c r="O71" s="11">
        <f t="shared" ca="1" si="17"/>
        <v>0.88521222468772409</v>
      </c>
      <c r="P71" s="9">
        <f t="shared" ca="1" si="18"/>
        <v>1</v>
      </c>
      <c r="Q71" s="19">
        <f t="shared" ca="1" si="19"/>
        <v>38.389271802448462</v>
      </c>
      <c r="R71" s="10">
        <f t="shared" ca="1" si="20"/>
        <v>1.1920821841132772</v>
      </c>
      <c r="S71" s="9">
        <f t="shared" ca="1" si="21"/>
        <v>2</v>
      </c>
      <c r="T71" s="9" t="str">
        <f t="shared" ca="1" si="22"/>
        <v>sí</v>
      </c>
    </row>
    <row r="72" spans="12:20" ht="15" customHeight="1" x14ac:dyDescent="0.45">
      <c r="L72" s="9">
        <v>68</v>
      </c>
      <c r="M72" s="9">
        <f t="shared" ca="1" si="15"/>
        <v>4</v>
      </c>
      <c r="N72" s="9" t="str">
        <f t="shared" ca="1" si="16"/>
        <v>ULF091</v>
      </c>
      <c r="O72" s="11">
        <f t="shared" ca="1" si="17"/>
        <v>0.84961625380012074</v>
      </c>
      <c r="P72" s="9">
        <f t="shared" ca="1" si="18"/>
        <v>1</v>
      </c>
      <c r="Q72" s="19">
        <f t="shared" ca="1" si="19"/>
        <v>19.870881071813425</v>
      </c>
      <c r="R72" s="10">
        <f t="shared" ca="1" si="20"/>
        <v>-0.18224272862636692</v>
      </c>
      <c r="S72" s="9">
        <f t="shared" ca="1" si="21"/>
        <v>2</v>
      </c>
      <c r="T72" s="9" t="str">
        <f t="shared" ca="1" si="22"/>
        <v>sí</v>
      </c>
    </row>
    <row r="73" spans="12:20" ht="15" customHeight="1" x14ac:dyDescent="0.45">
      <c r="L73" s="9">
        <v>69</v>
      </c>
      <c r="M73" s="9">
        <f t="shared" ca="1" si="15"/>
        <v>5</v>
      </c>
      <c r="N73" s="9" t="str">
        <f t="shared" ca="1" si="16"/>
        <v>AIT999</v>
      </c>
      <c r="O73" s="11">
        <f t="shared" ca="1" si="17"/>
        <v>0.85060623254902112</v>
      </c>
      <c r="P73" s="9">
        <f t="shared" ca="1" si="18"/>
        <v>2</v>
      </c>
      <c r="Q73" s="19">
        <f t="shared" ca="1" si="19"/>
        <v>36.020759499695778</v>
      </c>
      <c r="R73" s="10">
        <f t="shared" ca="1" si="20"/>
        <v>-3.3190251046320354</v>
      </c>
      <c r="S73" s="9">
        <f t="shared" ca="1" si="21"/>
        <v>2</v>
      </c>
      <c r="T73" s="9" t="str">
        <f t="shared" ca="1" si="22"/>
        <v>sí</v>
      </c>
    </row>
    <row r="74" spans="12:20" ht="15" customHeight="1" x14ac:dyDescent="0.45">
      <c r="L74" s="9">
        <v>70</v>
      </c>
      <c r="M74" s="9">
        <f t="shared" ca="1" si="15"/>
        <v>2</v>
      </c>
      <c r="N74" s="9" t="str">
        <f t="shared" ca="1" si="16"/>
        <v>EZW555</v>
      </c>
      <c r="O74" s="11">
        <f t="shared" ca="1" si="17"/>
        <v>0.96028751205039831</v>
      </c>
      <c r="P74" s="9">
        <f t="shared" ca="1" si="18"/>
        <v>1</v>
      </c>
      <c r="Q74" s="19">
        <f t="shared" ca="1" si="19"/>
        <v>24.430672064401552</v>
      </c>
      <c r="R74" s="10">
        <f t="shared" ca="1" si="20"/>
        <v>-3.7095783249319698</v>
      </c>
      <c r="S74" s="9">
        <f t="shared" ca="1" si="21"/>
        <v>1</v>
      </c>
      <c r="T74" s="9" t="str">
        <f t="shared" ca="1" si="22"/>
        <v>sí</v>
      </c>
    </row>
    <row r="75" spans="12:20" ht="15" customHeight="1" x14ac:dyDescent="0.45">
      <c r="L75" s="9">
        <v>71</v>
      </c>
      <c r="M75" s="9">
        <f t="shared" ca="1" si="15"/>
        <v>2</v>
      </c>
      <c r="N75" s="9" t="str">
        <f t="shared" ca="1" si="16"/>
        <v>TXO534</v>
      </c>
      <c r="O75" s="11">
        <f t="shared" ca="1" si="17"/>
        <v>0.7707594881150287</v>
      </c>
      <c r="P75" s="9">
        <f t="shared" ca="1" si="18"/>
        <v>1</v>
      </c>
      <c r="Q75" s="19">
        <f t="shared" ca="1" si="19"/>
        <v>26.749423436404371</v>
      </c>
      <c r="R75" s="10">
        <f t="shared" ca="1" si="20"/>
        <v>0.21339079879775102</v>
      </c>
      <c r="S75" s="9">
        <f t="shared" ca="1" si="21"/>
        <v>3</v>
      </c>
      <c r="T75" s="9" t="str">
        <f t="shared" ca="1" si="22"/>
        <v>no</v>
      </c>
    </row>
    <row r="76" spans="12:20" ht="15" customHeight="1" x14ac:dyDescent="0.45">
      <c r="L76" s="9">
        <v>72</v>
      </c>
      <c r="M76" s="9">
        <f t="shared" ca="1" si="15"/>
        <v>2</v>
      </c>
      <c r="N76" s="9" t="str">
        <f t="shared" ca="1" si="16"/>
        <v>DSC292</v>
      </c>
      <c r="O76" s="11">
        <f t="shared" ca="1" si="17"/>
        <v>0.93509660331816913</v>
      </c>
      <c r="P76" s="9">
        <f t="shared" ca="1" si="18"/>
        <v>1</v>
      </c>
      <c r="Q76" s="19">
        <f t="shared" ca="1" si="19"/>
        <v>23.316493227181454</v>
      </c>
      <c r="R76" s="10">
        <f t="shared" ca="1" si="20"/>
        <v>1.4272673659048727</v>
      </c>
      <c r="S76" s="9">
        <f t="shared" ca="1" si="21"/>
        <v>2</v>
      </c>
      <c r="T76" s="9" t="str">
        <f t="shared" ca="1" si="22"/>
        <v>sí</v>
      </c>
    </row>
    <row r="77" spans="12:20" ht="15" customHeight="1" x14ac:dyDescent="0.45">
      <c r="L77" s="9">
        <v>73</v>
      </c>
      <c r="M77" s="9">
        <f t="shared" ca="1" si="15"/>
        <v>2</v>
      </c>
      <c r="N77" s="9" t="str">
        <f t="shared" ca="1" si="16"/>
        <v>PYN115</v>
      </c>
      <c r="O77" s="11">
        <f t="shared" ca="1" si="17"/>
        <v>0.97779376656240169</v>
      </c>
      <c r="P77" s="9">
        <f t="shared" ca="1" si="18"/>
        <v>1</v>
      </c>
      <c r="Q77" s="19">
        <f t="shared" ca="1" si="19"/>
        <v>26.892992310917002</v>
      </c>
      <c r="R77" s="10">
        <f t="shared" ca="1" si="20"/>
        <v>-2.0896492023971089</v>
      </c>
      <c r="S77" s="9">
        <f t="shared" ca="1" si="21"/>
        <v>1</v>
      </c>
      <c r="T77" s="9" t="str">
        <f t="shared" ca="1" si="22"/>
        <v>sí</v>
      </c>
    </row>
    <row r="78" spans="12:20" ht="15" customHeight="1" x14ac:dyDescent="0.45">
      <c r="L78" s="9">
        <v>74</v>
      </c>
      <c r="M78" s="9">
        <f t="shared" ca="1" si="15"/>
        <v>3</v>
      </c>
      <c r="N78" s="9" t="str">
        <f t="shared" ca="1" si="16"/>
        <v>MPS543</v>
      </c>
      <c r="O78" s="11">
        <f t="shared" ca="1" si="17"/>
        <v>0.93642505514709806</v>
      </c>
      <c r="P78" s="9">
        <f t="shared" ca="1" si="18"/>
        <v>2</v>
      </c>
      <c r="Q78" s="19">
        <f t="shared" ca="1" si="19"/>
        <v>25.670458271958797</v>
      </c>
      <c r="R78" s="10">
        <f t="shared" ca="1" si="20"/>
        <v>-0.95481850254576262</v>
      </c>
      <c r="S78" s="9">
        <f t="shared" ca="1" si="21"/>
        <v>1</v>
      </c>
      <c r="T78" s="9" t="str">
        <f t="shared" ca="1" si="22"/>
        <v>sí</v>
      </c>
    </row>
    <row r="79" spans="12:20" ht="15" customHeight="1" x14ac:dyDescent="0.45">
      <c r="L79" s="9">
        <v>75</v>
      </c>
      <c r="M79" s="9">
        <f t="shared" ca="1" si="15"/>
        <v>8</v>
      </c>
      <c r="N79" s="9" t="str">
        <f t="shared" ca="1" si="16"/>
        <v>MNU072</v>
      </c>
      <c r="O79" s="11">
        <f t="shared" ca="1" si="17"/>
        <v>0.84916583073024055</v>
      </c>
      <c r="P79" s="9">
        <f t="shared" ca="1" si="18"/>
        <v>1</v>
      </c>
      <c r="Q79" s="19">
        <f t="shared" ca="1" si="19"/>
        <v>35.147986598378886</v>
      </c>
      <c r="R79" s="10">
        <f t="shared" ca="1" si="20"/>
        <v>-2.6139081992934132</v>
      </c>
      <c r="S79" s="9">
        <f t="shared" ca="1" si="21"/>
        <v>1</v>
      </c>
      <c r="T79" s="9" t="str">
        <f t="shared" ca="1" si="22"/>
        <v>sí</v>
      </c>
    </row>
    <row r="80" spans="12:20" ht="15" customHeight="1" x14ac:dyDescent="0.45">
      <c r="L80" s="9">
        <v>76</v>
      </c>
      <c r="M80" s="9">
        <f t="shared" ca="1" si="15"/>
        <v>4</v>
      </c>
      <c r="N80" s="9" t="str">
        <f t="shared" ca="1" si="16"/>
        <v>RJY593</v>
      </c>
      <c r="O80" s="11">
        <f t="shared" ca="1" si="17"/>
        <v>0.91632003165284326</v>
      </c>
      <c r="P80" s="9">
        <f t="shared" ca="1" si="18"/>
        <v>1</v>
      </c>
      <c r="Q80" s="19">
        <f t="shared" ca="1" si="19"/>
        <v>21.568117413231743</v>
      </c>
      <c r="R80" s="10">
        <f t="shared" ca="1" si="20"/>
        <v>1.3661079160756251</v>
      </c>
      <c r="S80" s="9">
        <f t="shared" ca="1" si="21"/>
        <v>2</v>
      </c>
      <c r="T80" s="9" t="str">
        <f t="shared" ca="1" si="22"/>
        <v>sí</v>
      </c>
    </row>
    <row r="81" spans="12:20" ht="15" customHeight="1" x14ac:dyDescent="0.45">
      <c r="L81" s="9">
        <v>77</v>
      </c>
      <c r="M81" s="9">
        <f t="shared" ca="1" si="15"/>
        <v>4</v>
      </c>
      <c r="N81" s="9" t="str">
        <f t="shared" ca="1" si="16"/>
        <v>PPF096</v>
      </c>
      <c r="O81" s="11">
        <f t="shared" ca="1" si="17"/>
        <v>0.83414652977480097</v>
      </c>
      <c r="P81" s="9">
        <f t="shared" ca="1" si="18"/>
        <v>2</v>
      </c>
      <c r="Q81" s="19">
        <f t="shared" ca="1" si="19"/>
        <v>19.088250166721966</v>
      </c>
      <c r="R81" s="10">
        <f t="shared" ca="1" si="20"/>
        <v>4.2483967273399061</v>
      </c>
      <c r="S81" s="9">
        <f t="shared" ca="1" si="21"/>
        <v>1</v>
      </c>
      <c r="T81" s="9" t="str">
        <f t="shared" ca="1" si="22"/>
        <v>sí</v>
      </c>
    </row>
    <row r="82" spans="12:20" ht="15" customHeight="1" x14ac:dyDescent="0.45">
      <c r="L82" s="9">
        <v>78</v>
      </c>
      <c r="M82" s="9">
        <f t="shared" ca="1" si="15"/>
        <v>2</v>
      </c>
      <c r="N82" s="9" t="str">
        <f t="shared" ca="1" si="16"/>
        <v>SWX770</v>
      </c>
      <c r="O82" s="11">
        <f t="shared" ca="1" si="17"/>
        <v>0.65964687798893396</v>
      </c>
      <c r="P82" s="9">
        <f t="shared" ca="1" si="18"/>
        <v>2</v>
      </c>
      <c r="Q82" s="19">
        <f t="shared" ca="1" si="19"/>
        <v>33.967079812640534</v>
      </c>
      <c r="R82" s="10">
        <f t="shared" ca="1" si="20"/>
        <v>0.2344810775168755</v>
      </c>
      <c r="S82" s="9">
        <f t="shared" ca="1" si="21"/>
        <v>1</v>
      </c>
      <c r="T82" s="9" t="str">
        <f t="shared" ca="1" si="22"/>
        <v>no</v>
      </c>
    </row>
    <row r="83" spans="12:20" ht="15" customHeight="1" x14ac:dyDescent="0.45">
      <c r="L83" s="9">
        <v>79</v>
      </c>
      <c r="M83" s="9">
        <f t="shared" ca="1" si="15"/>
        <v>1</v>
      </c>
      <c r="N83" s="9" t="str">
        <f t="shared" ca="1" si="16"/>
        <v>FIG315</v>
      </c>
      <c r="O83" s="11">
        <f t="shared" ca="1" si="17"/>
        <v>0.89772247243470626</v>
      </c>
      <c r="P83" s="9">
        <f t="shared" ca="1" si="18"/>
        <v>1</v>
      </c>
      <c r="Q83" s="19">
        <f t="shared" ca="1" si="19"/>
        <v>31.136320440960265</v>
      </c>
      <c r="R83" s="10">
        <f t="shared" ca="1" si="20"/>
        <v>4.1530144563447715</v>
      </c>
      <c r="S83" s="9">
        <f t="shared" ca="1" si="21"/>
        <v>1</v>
      </c>
      <c r="T83" s="9" t="str">
        <f t="shared" ca="1" si="22"/>
        <v>sí</v>
      </c>
    </row>
    <row r="84" spans="12:20" ht="15" customHeight="1" x14ac:dyDescent="0.45">
      <c r="L84" s="9">
        <v>80</v>
      </c>
      <c r="M84" s="9">
        <f t="shared" ca="1" si="15"/>
        <v>3</v>
      </c>
      <c r="N84" s="9" t="str">
        <f t="shared" ca="1" si="16"/>
        <v>KGR081</v>
      </c>
      <c r="O84" s="11">
        <f t="shared" ca="1" si="17"/>
        <v>0.96464876609609784</v>
      </c>
      <c r="P84" s="9">
        <f t="shared" ca="1" si="18"/>
        <v>1</v>
      </c>
      <c r="Q84" s="19">
        <f t="shared" ca="1" si="19"/>
        <v>25.314684894778363</v>
      </c>
      <c r="R84" s="10">
        <f t="shared" ca="1" si="20"/>
        <v>-2.5129842253846473</v>
      </c>
      <c r="S84" s="9">
        <f t="shared" ca="1" si="21"/>
        <v>2</v>
      </c>
      <c r="T84" s="9" t="str">
        <f t="shared" ca="1" si="22"/>
        <v>sí</v>
      </c>
    </row>
    <row r="85" spans="12:20" ht="15" customHeight="1" x14ac:dyDescent="0.45">
      <c r="L85" s="9">
        <v>81</v>
      </c>
      <c r="M85" s="9">
        <f t="shared" ca="1" si="15"/>
        <v>3</v>
      </c>
      <c r="N85" s="9" t="str">
        <f t="shared" ca="1" si="16"/>
        <v>EOA216</v>
      </c>
      <c r="O85" s="11">
        <f t="shared" ca="1" si="17"/>
        <v>0.80706580715183673</v>
      </c>
      <c r="P85" s="9">
        <f t="shared" ca="1" si="18"/>
        <v>1</v>
      </c>
      <c r="Q85" s="19">
        <f t="shared" ca="1" si="19"/>
        <v>20.80432437299044</v>
      </c>
      <c r="R85" s="10">
        <f t="shared" ca="1" si="20"/>
        <v>-0.3783509648311999</v>
      </c>
      <c r="S85" s="9">
        <f t="shared" ca="1" si="21"/>
        <v>1</v>
      </c>
      <c r="T85" s="9" t="str">
        <f t="shared" ca="1" si="22"/>
        <v>sí</v>
      </c>
    </row>
    <row r="86" spans="12:20" ht="15" customHeight="1" x14ac:dyDescent="0.45">
      <c r="L86" s="9">
        <v>82</v>
      </c>
      <c r="M86" s="9">
        <f t="shared" ca="1" si="15"/>
        <v>3</v>
      </c>
      <c r="N86" s="9" t="str">
        <f t="shared" ca="1" si="16"/>
        <v>XTT354</v>
      </c>
      <c r="O86" s="11">
        <f t="shared" ca="1" si="17"/>
        <v>0.95869484108981262</v>
      </c>
      <c r="P86" s="9">
        <f t="shared" ca="1" si="18"/>
        <v>1</v>
      </c>
      <c r="Q86" s="19">
        <f t="shared" ca="1" si="19"/>
        <v>31.979081793189277</v>
      </c>
      <c r="R86" s="10">
        <f t="shared" ca="1" si="20"/>
        <v>2.5588963785688881</v>
      </c>
      <c r="S86" s="9">
        <f t="shared" ca="1" si="21"/>
        <v>1</v>
      </c>
      <c r="T86" s="9" t="str">
        <f t="shared" ca="1" si="22"/>
        <v>sí</v>
      </c>
    </row>
    <row r="87" spans="12:20" ht="15" customHeight="1" x14ac:dyDescent="0.45">
      <c r="L87" s="9">
        <v>83</v>
      </c>
      <c r="M87" s="9">
        <f t="shared" ca="1" si="15"/>
        <v>2</v>
      </c>
      <c r="N87" s="9" t="str">
        <f t="shared" ca="1" si="16"/>
        <v>VUX562</v>
      </c>
      <c r="O87" s="11">
        <f t="shared" ca="1" si="17"/>
        <v>0.94194313316732869</v>
      </c>
      <c r="P87" s="9">
        <f t="shared" ca="1" si="18"/>
        <v>1</v>
      </c>
      <c r="Q87" s="19">
        <f t="shared" ca="1" si="19"/>
        <v>28.558633970700292</v>
      </c>
      <c r="R87" s="10">
        <f t="shared" ca="1" si="20"/>
        <v>3.8098999671965141</v>
      </c>
      <c r="S87" s="9">
        <f t="shared" ca="1" si="21"/>
        <v>2</v>
      </c>
      <c r="T87" s="9" t="str">
        <f t="shared" ca="1" si="22"/>
        <v>sí</v>
      </c>
    </row>
    <row r="88" spans="12:20" ht="15" customHeight="1" x14ac:dyDescent="0.45">
      <c r="L88" s="9">
        <v>84</v>
      </c>
      <c r="M88" s="9">
        <f t="shared" ca="1" si="15"/>
        <v>4</v>
      </c>
      <c r="N88" s="9" t="str">
        <f t="shared" ca="1" si="16"/>
        <v>QGZ904</v>
      </c>
      <c r="O88" s="11">
        <f t="shared" ca="1" si="17"/>
        <v>0.8833067719333626</v>
      </c>
      <c r="P88" s="9">
        <f t="shared" ca="1" si="18"/>
        <v>1</v>
      </c>
      <c r="Q88" s="19">
        <f t="shared" ca="1" si="19"/>
        <v>15.865133442300053</v>
      </c>
      <c r="R88" s="10">
        <f t="shared" ca="1" si="20"/>
        <v>-1.6388309752188421</v>
      </c>
      <c r="S88" s="9">
        <f t="shared" ca="1" si="21"/>
        <v>1</v>
      </c>
      <c r="T88" s="9" t="str">
        <f t="shared" ca="1" si="22"/>
        <v>sí</v>
      </c>
    </row>
    <row r="89" spans="12:20" ht="15" customHeight="1" x14ac:dyDescent="0.45">
      <c r="L89" s="9">
        <v>85</v>
      </c>
      <c r="M89" s="9">
        <f t="shared" ca="1" si="15"/>
        <v>2</v>
      </c>
      <c r="N89" s="9" t="str">
        <f t="shared" ca="1" si="16"/>
        <v>NME441</v>
      </c>
      <c r="O89" s="11">
        <f t="shared" ca="1" si="17"/>
        <v>0.94301494949271647</v>
      </c>
      <c r="P89" s="9">
        <f t="shared" ca="1" si="18"/>
        <v>2</v>
      </c>
      <c r="Q89" s="19">
        <f t="shared" ca="1" si="19"/>
        <v>26.303188188328544</v>
      </c>
      <c r="R89" s="10">
        <f t="shared" ca="1" si="20"/>
        <v>2.4974400053462569</v>
      </c>
      <c r="S89" s="9">
        <f t="shared" ca="1" si="21"/>
        <v>1</v>
      </c>
      <c r="T89" s="9" t="str">
        <f t="shared" ca="1" si="22"/>
        <v>sí</v>
      </c>
    </row>
    <row r="90" spans="12:20" ht="15" customHeight="1" x14ac:dyDescent="0.45">
      <c r="L90" s="9">
        <v>86</v>
      </c>
      <c r="M90" s="9">
        <f t="shared" ca="1" si="15"/>
        <v>3</v>
      </c>
      <c r="N90" s="9" t="str">
        <f t="shared" ca="1" si="16"/>
        <v>SFG569</v>
      </c>
      <c r="O90" s="11">
        <f t="shared" ca="1" si="17"/>
        <v>0.9096743840489544</v>
      </c>
      <c r="P90" s="9">
        <f t="shared" ca="1" si="18"/>
        <v>1</v>
      </c>
      <c r="Q90" s="19">
        <f t="shared" ca="1" si="19"/>
        <v>32.045418054400692</v>
      </c>
      <c r="R90" s="10">
        <f t="shared" ca="1" si="20"/>
        <v>0.47135823075193284</v>
      </c>
      <c r="S90" s="9">
        <f t="shared" ca="1" si="21"/>
        <v>1</v>
      </c>
      <c r="T90" s="9" t="str">
        <f t="shared" ca="1" si="22"/>
        <v>sí</v>
      </c>
    </row>
    <row r="91" spans="12:20" ht="15" customHeight="1" x14ac:dyDescent="0.45">
      <c r="L91" s="9">
        <v>87</v>
      </c>
      <c r="M91" s="9">
        <f t="shared" ca="1" si="15"/>
        <v>3</v>
      </c>
      <c r="N91" s="9" t="str">
        <f t="shared" ca="1" si="16"/>
        <v>XWF025</v>
      </c>
      <c r="O91" s="11">
        <f t="shared" ca="1" si="17"/>
        <v>0.85754608823620915</v>
      </c>
      <c r="P91" s="9">
        <f t="shared" ca="1" si="18"/>
        <v>1</v>
      </c>
      <c r="Q91" s="19">
        <f t="shared" ca="1" si="19"/>
        <v>30.689397535073752</v>
      </c>
      <c r="R91" s="10">
        <f t="shared" ca="1" si="20"/>
        <v>-1.1332338440138181</v>
      </c>
      <c r="S91" s="9">
        <f t="shared" ca="1" si="21"/>
        <v>2</v>
      </c>
      <c r="T91" s="9" t="str">
        <f t="shared" ca="1" si="22"/>
        <v>sí</v>
      </c>
    </row>
    <row r="92" spans="12:20" ht="15" customHeight="1" x14ac:dyDescent="0.45">
      <c r="L92" s="9">
        <v>88</v>
      </c>
      <c r="M92" s="9">
        <f t="shared" ca="1" si="15"/>
        <v>5</v>
      </c>
      <c r="N92" s="9" t="str">
        <f t="shared" ca="1" si="16"/>
        <v>OMT693</v>
      </c>
      <c r="O92" s="11">
        <f t="shared" ca="1" si="17"/>
        <v>0.56822464925967398</v>
      </c>
      <c r="P92" s="9">
        <f t="shared" ca="1" si="18"/>
        <v>1</v>
      </c>
      <c r="Q92" s="19">
        <f t="shared" ca="1" si="19"/>
        <v>45.447722254134668</v>
      </c>
      <c r="R92" s="10">
        <f t="shared" ca="1" si="20"/>
        <v>9.9276375208804417</v>
      </c>
      <c r="S92" s="9">
        <f t="shared" ca="1" si="21"/>
        <v>9</v>
      </c>
      <c r="T92" s="9" t="str">
        <f t="shared" ca="1" si="22"/>
        <v>no</v>
      </c>
    </row>
    <row r="93" spans="12:20" ht="15" customHeight="1" x14ac:dyDescent="0.45">
      <c r="L93" s="9">
        <v>89</v>
      </c>
      <c r="M93" s="9">
        <f t="shared" ca="1" si="15"/>
        <v>4</v>
      </c>
      <c r="N93" s="9" t="str">
        <f t="shared" ca="1" si="16"/>
        <v>IWD823</v>
      </c>
      <c r="O93" s="11">
        <f t="shared" ca="1" si="17"/>
        <v>0.93476730155466292</v>
      </c>
      <c r="P93" s="9">
        <f t="shared" ca="1" si="18"/>
        <v>1</v>
      </c>
      <c r="Q93" s="19">
        <f t="shared" ca="1" si="19"/>
        <v>39.010853767511847</v>
      </c>
      <c r="R93" s="10">
        <f t="shared" ca="1" si="20"/>
        <v>4.3421026548406729</v>
      </c>
      <c r="S93" s="9">
        <f t="shared" ca="1" si="21"/>
        <v>1</v>
      </c>
      <c r="T93" s="9" t="str">
        <f t="shared" ca="1" si="22"/>
        <v>sí</v>
      </c>
    </row>
    <row r="94" spans="12:20" ht="15" customHeight="1" x14ac:dyDescent="0.45">
      <c r="L94" s="9">
        <v>90</v>
      </c>
      <c r="M94" s="9">
        <f t="shared" ca="1" si="15"/>
        <v>1</v>
      </c>
      <c r="N94" s="9" t="str">
        <f t="shared" ca="1" si="16"/>
        <v>NKB215</v>
      </c>
      <c r="O94" s="11">
        <f t="shared" ca="1" si="17"/>
        <v>0.81342952990034534</v>
      </c>
      <c r="P94" s="9">
        <f t="shared" ca="1" si="18"/>
        <v>1</v>
      </c>
      <c r="Q94" s="19">
        <f t="shared" ca="1" si="19"/>
        <v>28.440877284467156</v>
      </c>
      <c r="R94" s="10">
        <f t="shared" ca="1" si="20"/>
        <v>-2.2784157185576586</v>
      </c>
      <c r="S94" s="9">
        <f t="shared" ca="1" si="21"/>
        <v>5</v>
      </c>
      <c r="T94" s="9" t="str">
        <f t="shared" ca="1" si="22"/>
        <v>sí</v>
      </c>
    </row>
    <row r="95" spans="12:20" ht="15" customHeight="1" x14ac:dyDescent="0.45">
      <c r="L95" s="9">
        <v>91</v>
      </c>
      <c r="M95" s="9">
        <f t="shared" ca="1" si="15"/>
        <v>2</v>
      </c>
      <c r="N95" s="9" t="str">
        <f t="shared" ca="1" si="16"/>
        <v>DIZ015</v>
      </c>
      <c r="O95" s="11">
        <f t="shared" ca="1" si="17"/>
        <v>0.94745726468121472</v>
      </c>
      <c r="P95" s="9">
        <f t="shared" ca="1" si="18"/>
        <v>1</v>
      </c>
      <c r="Q95" s="19">
        <f t="shared" ca="1" si="19"/>
        <v>38.526465649137798</v>
      </c>
      <c r="R95" s="10">
        <f t="shared" ca="1" si="20"/>
        <v>-3.6855988471974896</v>
      </c>
      <c r="S95" s="9">
        <f t="shared" ca="1" si="21"/>
        <v>1</v>
      </c>
      <c r="T95" s="9" t="str">
        <f t="shared" ca="1" si="22"/>
        <v>sí</v>
      </c>
    </row>
    <row r="96" spans="12:20" ht="15" customHeight="1" x14ac:dyDescent="0.45">
      <c r="L96" s="9">
        <v>92</v>
      </c>
      <c r="M96" s="9">
        <f t="shared" ca="1" si="15"/>
        <v>2</v>
      </c>
      <c r="N96" s="9" t="str">
        <f t="shared" ca="1" si="16"/>
        <v>WSR961</v>
      </c>
      <c r="O96" s="11">
        <f t="shared" ca="1" si="17"/>
        <v>0.73575279655841985</v>
      </c>
      <c r="P96" s="9">
        <f t="shared" ca="1" si="18"/>
        <v>2</v>
      </c>
      <c r="Q96" s="19">
        <f t="shared" ca="1" si="19"/>
        <v>36.214347068292462</v>
      </c>
      <c r="R96" s="10">
        <f t="shared" ca="1" si="20"/>
        <v>1.8533259570772898</v>
      </c>
      <c r="S96" s="9">
        <f t="shared" ca="1" si="21"/>
        <v>1</v>
      </c>
      <c r="T96" s="9" t="str">
        <f t="shared" ca="1" si="22"/>
        <v>no</v>
      </c>
    </row>
    <row r="97" spans="12:20" ht="15" customHeight="1" x14ac:dyDescent="0.45">
      <c r="L97" s="9">
        <v>93</v>
      </c>
      <c r="M97" s="9">
        <f t="shared" ca="1" si="15"/>
        <v>1</v>
      </c>
      <c r="N97" s="9" t="str">
        <f t="shared" ca="1" si="16"/>
        <v>DIW988</v>
      </c>
      <c r="O97" s="11">
        <f t="shared" ca="1" si="17"/>
        <v>0.64175777689667635</v>
      </c>
      <c r="P97" s="9">
        <f t="shared" ca="1" si="18"/>
        <v>1</v>
      </c>
      <c r="Q97" s="19">
        <f t="shared" ca="1" si="19"/>
        <v>33.396807858663891</v>
      </c>
      <c r="R97" s="10">
        <f t="shared" ca="1" si="20"/>
        <v>3.4329896854963859</v>
      </c>
      <c r="S97" s="9">
        <f t="shared" ca="1" si="21"/>
        <v>1</v>
      </c>
      <c r="T97" s="9" t="str">
        <f t="shared" ca="1" si="22"/>
        <v>no</v>
      </c>
    </row>
    <row r="98" spans="12:20" ht="15" customHeight="1" x14ac:dyDescent="0.45">
      <c r="L98" s="9">
        <v>94</v>
      </c>
      <c r="M98" s="9">
        <f t="shared" ca="1" si="15"/>
        <v>4</v>
      </c>
      <c r="N98" s="9" t="str">
        <f t="shared" ca="1" si="16"/>
        <v>GDA933</v>
      </c>
      <c r="O98" s="11">
        <f t="shared" ca="1" si="17"/>
        <v>0.86705071469763528</v>
      </c>
      <c r="P98" s="9">
        <f t="shared" ca="1" si="18"/>
        <v>1</v>
      </c>
      <c r="Q98" s="19">
        <f t="shared" ca="1" si="19"/>
        <v>25.340078452267552</v>
      </c>
      <c r="R98" s="10">
        <f t="shared" ca="1" si="20"/>
        <v>1.3650339179841744</v>
      </c>
      <c r="S98" s="9">
        <f t="shared" ca="1" si="21"/>
        <v>1</v>
      </c>
      <c r="T98" s="9" t="str">
        <f t="shared" ca="1" si="22"/>
        <v>sí</v>
      </c>
    </row>
    <row r="99" spans="12:20" ht="15" customHeight="1" x14ac:dyDescent="0.45">
      <c r="L99" s="9">
        <v>95</v>
      </c>
      <c r="M99" s="9">
        <f t="shared" ca="1" si="15"/>
        <v>2</v>
      </c>
      <c r="N99" s="9" t="str">
        <f t="shared" ca="1" si="16"/>
        <v>VOV930</v>
      </c>
      <c r="O99" s="11">
        <f t="shared" ca="1" si="17"/>
        <v>0.75124976908372598</v>
      </c>
      <c r="P99" s="9">
        <f t="shared" ca="1" si="18"/>
        <v>1</v>
      </c>
      <c r="Q99" s="19">
        <f t="shared" ca="1" si="19"/>
        <v>31.891586642735067</v>
      </c>
      <c r="R99" s="10">
        <f t="shared" ca="1" si="20"/>
        <v>7.4957805052711046E-2</v>
      </c>
      <c r="S99" s="9">
        <f t="shared" ca="1" si="21"/>
        <v>4</v>
      </c>
      <c r="T99" s="9" t="str">
        <f t="shared" ca="1" si="22"/>
        <v>no</v>
      </c>
    </row>
    <row r="100" spans="12:20" ht="15" customHeight="1" x14ac:dyDescent="0.45">
      <c r="L100" s="9">
        <v>96</v>
      </c>
      <c r="M100" s="9">
        <f t="shared" ca="1" si="15"/>
        <v>2</v>
      </c>
      <c r="N100" s="9" t="str">
        <f t="shared" ca="1" si="16"/>
        <v>KMQ898</v>
      </c>
      <c r="O100" s="11">
        <f t="shared" ca="1" si="17"/>
        <v>0.90810761223878744</v>
      </c>
      <c r="P100" s="9">
        <f t="shared" ca="1" si="18"/>
        <v>1</v>
      </c>
      <c r="Q100" s="19">
        <f t="shared" ca="1" si="19"/>
        <v>27.358910839401371</v>
      </c>
      <c r="R100" s="10">
        <f t="shared" ca="1" si="20"/>
        <v>1.1153760540605688</v>
      </c>
      <c r="S100" s="9">
        <f t="shared" ca="1" si="21"/>
        <v>1</v>
      </c>
      <c r="T100" s="9" t="str">
        <f t="shared" ca="1" si="22"/>
        <v>sí</v>
      </c>
    </row>
    <row r="101" spans="12:20" ht="15" customHeight="1" x14ac:dyDescent="0.45">
      <c r="L101" s="9">
        <v>97</v>
      </c>
      <c r="M101" s="9">
        <f t="shared" ca="1" si="15"/>
        <v>1</v>
      </c>
      <c r="N101" s="9" t="str">
        <f t="shared" ca="1" si="16"/>
        <v>NUX479</v>
      </c>
      <c r="O101" s="11">
        <f t="shared" ca="1" si="17"/>
        <v>0.96002278478538483</v>
      </c>
      <c r="P101" s="9">
        <f t="shared" ca="1" si="18"/>
        <v>1</v>
      </c>
      <c r="Q101" s="19">
        <f t="shared" ca="1" si="19"/>
        <v>21.55670955310713</v>
      </c>
      <c r="R101" s="10">
        <f t="shared" ca="1" si="20"/>
        <v>-3.7636351308264109</v>
      </c>
      <c r="S101" s="9">
        <f t="shared" ca="1" si="21"/>
        <v>2</v>
      </c>
      <c r="T101" s="9" t="str">
        <f t="shared" ca="1" si="22"/>
        <v>sí</v>
      </c>
    </row>
    <row r="102" spans="12:20" ht="15" customHeight="1" x14ac:dyDescent="0.45">
      <c r="L102" s="9">
        <v>98</v>
      </c>
      <c r="M102" s="9">
        <f t="shared" ca="1" si="15"/>
        <v>2</v>
      </c>
      <c r="N102" s="9" t="str">
        <f t="shared" ca="1" si="16"/>
        <v>GEZ382</v>
      </c>
      <c r="O102" s="11">
        <f t="shared" ca="1" si="17"/>
        <v>0.89207358714037555</v>
      </c>
      <c r="P102" s="9">
        <f t="shared" ca="1" si="18"/>
        <v>2</v>
      </c>
      <c r="Q102" s="19">
        <f t="shared" ca="1" si="19"/>
        <v>30.043698700085471</v>
      </c>
      <c r="R102" s="10">
        <f t="shared" ca="1" si="20"/>
        <v>-1.4130930889639726</v>
      </c>
      <c r="S102" s="9">
        <f t="shared" ca="1" si="21"/>
        <v>2</v>
      </c>
      <c r="T102" s="9" t="str">
        <f t="shared" ca="1" si="22"/>
        <v>sí</v>
      </c>
    </row>
    <row r="103" spans="12:20" ht="15" customHeight="1" x14ac:dyDescent="0.45">
      <c r="L103" s="9">
        <v>99</v>
      </c>
      <c r="M103" s="9">
        <f t="shared" ca="1" si="15"/>
        <v>3</v>
      </c>
      <c r="N103" s="9" t="str">
        <f t="shared" ca="1" si="16"/>
        <v>NFE058</v>
      </c>
      <c r="O103" s="11">
        <f t="shared" ca="1" si="17"/>
        <v>0.99196936227952892</v>
      </c>
      <c r="P103" s="9">
        <f t="shared" ca="1" si="18"/>
        <v>1</v>
      </c>
      <c r="Q103" s="19">
        <f t="shared" ca="1" si="19"/>
        <v>25.845295149145898</v>
      </c>
      <c r="R103" s="10">
        <f t="shared" ca="1" si="20"/>
        <v>-2.4849627749148553</v>
      </c>
      <c r="S103" s="9">
        <f t="shared" ca="1" si="21"/>
        <v>1</v>
      </c>
      <c r="T103" s="9" t="str">
        <f t="shared" ca="1" si="22"/>
        <v>sí</v>
      </c>
    </row>
    <row r="104" spans="12:20" ht="15" customHeight="1" x14ac:dyDescent="0.45">
      <c r="L104" s="9">
        <v>100</v>
      </c>
      <c r="M104" s="9">
        <f t="shared" ca="1" si="15"/>
        <v>5</v>
      </c>
      <c r="N104" s="9" t="str">
        <f t="shared" ca="1" si="16"/>
        <v>QQR020</v>
      </c>
      <c r="O104" s="11">
        <f t="shared" ca="1" si="17"/>
        <v>0.92812697871441607</v>
      </c>
      <c r="P104" s="9">
        <f t="shared" ca="1" si="18"/>
        <v>1</v>
      </c>
      <c r="Q104" s="19">
        <f t="shared" ca="1" si="19"/>
        <v>32.054705509744018</v>
      </c>
      <c r="R104" s="10">
        <f t="shared" ca="1" si="20"/>
        <v>1.6487727509963015</v>
      </c>
      <c r="S104" s="9">
        <f t="shared" ca="1" si="21"/>
        <v>1</v>
      </c>
      <c r="T104" s="9" t="str">
        <f t="shared" ca="1" si="22"/>
        <v>sí</v>
      </c>
    </row>
    <row r="105" spans="12:20" ht="15" customHeight="1" x14ac:dyDescent="0.45">
      <c r="L105" s="9">
        <v>101</v>
      </c>
      <c r="M105" s="9">
        <f t="shared" ca="1" si="15"/>
        <v>3</v>
      </c>
      <c r="N105" s="9" t="str">
        <f t="shared" ca="1" si="16"/>
        <v>TSU539</v>
      </c>
      <c r="O105" s="11">
        <f t="shared" ca="1" si="17"/>
        <v>0.89442532826084031</v>
      </c>
      <c r="P105" s="9">
        <f t="shared" ca="1" si="18"/>
        <v>1</v>
      </c>
      <c r="Q105" s="19">
        <f t="shared" ca="1" si="19"/>
        <v>18.187936102771307</v>
      </c>
      <c r="R105" s="10">
        <f t="shared" ca="1" si="20"/>
        <v>-2.4534889789727905</v>
      </c>
      <c r="S105" s="9">
        <f t="shared" ca="1" si="21"/>
        <v>1</v>
      </c>
      <c r="T105" s="9" t="str">
        <f t="shared" ca="1" si="22"/>
        <v>sí</v>
      </c>
    </row>
    <row r="106" spans="12:20" ht="15" customHeight="1" x14ac:dyDescent="0.45">
      <c r="L106" s="9">
        <v>102</v>
      </c>
      <c r="M106" s="9">
        <f t="shared" ca="1" si="15"/>
        <v>5</v>
      </c>
      <c r="N106" s="9" t="str">
        <f t="shared" ca="1" si="16"/>
        <v>JJU239</v>
      </c>
      <c r="O106" s="11">
        <f t="shared" ca="1" si="17"/>
        <v>0.85279416641587313</v>
      </c>
      <c r="P106" s="9">
        <f t="shared" ca="1" si="18"/>
        <v>1</v>
      </c>
      <c r="Q106" s="19">
        <f t="shared" ca="1" si="19"/>
        <v>23.777324730259824</v>
      </c>
      <c r="R106" s="10">
        <f t="shared" ca="1" si="20"/>
        <v>-2.126711478580452</v>
      </c>
      <c r="S106" s="9">
        <f t="shared" ca="1" si="21"/>
        <v>1</v>
      </c>
      <c r="T106" s="9" t="str">
        <f t="shared" ca="1" si="22"/>
        <v>sí</v>
      </c>
    </row>
    <row r="107" spans="12:20" ht="15" customHeight="1" x14ac:dyDescent="0.45">
      <c r="L107" s="9">
        <v>103</v>
      </c>
      <c r="M107" s="9">
        <f t="shared" ca="1" si="15"/>
        <v>3</v>
      </c>
      <c r="N107" s="9" t="str">
        <f t="shared" ca="1" si="16"/>
        <v>XEP594</v>
      </c>
      <c r="O107" s="11">
        <f t="shared" ca="1" si="17"/>
        <v>0.82933479724741299</v>
      </c>
      <c r="P107" s="9">
        <f t="shared" ca="1" si="18"/>
        <v>1</v>
      </c>
      <c r="Q107" s="19">
        <f t="shared" ca="1" si="19"/>
        <v>19.127066587519639</v>
      </c>
      <c r="R107" s="10">
        <f t="shared" ca="1" si="20"/>
        <v>-3.1960608803132251</v>
      </c>
      <c r="S107" s="9">
        <f t="shared" ca="1" si="21"/>
        <v>2</v>
      </c>
      <c r="T107" s="9" t="str">
        <f t="shared" ca="1" si="22"/>
        <v>sí</v>
      </c>
    </row>
    <row r="108" spans="12:20" ht="15" customHeight="1" x14ac:dyDescent="0.45">
      <c r="L108" s="9">
        <v>104</v>
      </c>
      <c r="M108" s="9">
        <f t="shared" ca="1" si="15"/>
        <v>3</v>
      </c>
      <c r="N108" s="9" t="str">
        <f t="shared" ca="1" si="16"/>
        <v>UQM027</v>
      </c>
      <c r="O108" s="11">
        <f t="shared" ca="1" si="17"/>
        <v>0.88063593818204222</v>
      </c>
      <c r="P108" s="9">
        <f t="shared" ca="1" si="18"/>
        <v>1</v>
      </c>
      <c r="Q108" s="19">
        <f t="shared" ca="1" si="19"/>
        <v>16.66612811925534</v>
      </c>
      <c r="R108" s="10">
        <f t="shared" ca="1" si="20"/>
        <v>4.4532956465890656</v>
      </c>
      <c r="S108" s="9">
        <f t="shared" ca="1" si="21"/>
        <v>1</v>
      </c>
      <c r="T108" s="9" t="str">
        <f t="shared" ca="1" si="22"/>
        <v>sí</v>
      </c>
    </row>
    <row r="109" spans="12:20" ht="15" customHeight="1" x14ac:dyDescent="0.45">
      <c r="L109" s="9">
        <v>105</v>
      </c>
      <c r="M109" s="9">
        <f t="shared" ca="1" si="15"/>
        <v>2</v>
      </c>
      <c r="N109" s="9" t="str">
        <f t="shared" ca="1" si="16"/>
        <v>OWJ389</v>
      </c>
      <c r="O109" s="11">
        <f t="shared" ca="1" si="17"/>
        <v>0.87010948031088498</v>
      </c>
      <c r="P109" s="9">
        <f t="shared" ca="1" si="18"/>
        <v>1</v>
      </c>
      <c r="Q109" s="19">
        <f t="shared" ca="1" si="19"/>
        <v>28.668078069156259</v>
      </c>
      <c r="R109" s="10">
        <f t="shared" ca="1" si="20"/>
        <v>-1.9142453722310111</v>
      </c>
      <c r="S109" s="9">
        <f t="shared" ca="1" si="21"/>
        <v>3</v>
      </c>
      <c r="T109" s="9" t="str">
        <f t="shared" ca="1" si="22"/>
        <v>sí</v>
      </c>
    </row>
    <row r="110" spans="12:20" ht="15" customHeight="1" x14ac:dyDescent="0.45">
      <c r="L110" s="9">
        <v>106</v>
      </c>
      <c r="M110" s="9">
        <f t="shared" ca="1" si="15"/>
        <v>3</v>
      </c>
      <c r="N110" s="9" t="str">
        <f t="shared" ca="1" si="16"/>
        <v>NOF118</v>
      </c>
      <c r="O110" s="11">
        <f t="shared" ca="1" si="17"/>
        <v>0.94794929712834397</v>
      </c>
      <c r="P110" s="9">
        <f t="shared" ca="1" si="18"/>
        <v>1</v>
      </c>
      <c r="Q110" s="19">
        <f t="shared" ca="1" si="19"/>
        <v>41.613699606604698</v>
      </c>
      <c r="R110" s="10">
        <f t="shared" ca="1" si="20"/>
        <v>6.1745128929797648</v>
      </c>
      <c r="S110" s="9">
        <f t="shared" ca="1" si="21"/>
        <v>3</v>
      </c>
      <c r="T110" s="9" t="str">
        <f t="shared" ca="1" si="22"/>
        <v>sí</v>
      </c>
    </row>
    <row r="111" spans="12:20" ht="15" customHeight="1" x14ac:dyDescent="0.45">
      <c r="L111" s="9">
        <v>107</v>
      </c>
      <c r="M111" s="9">
        <f t="shared" ca="1" si="15"/>
        <v>0</v>
      </c>
      <c r="N111" s="9" t="str">
        <f t="shared" ca="1" si="16"/>
        <v>PBQ973</v>
      </c>
      <c r="O111" s="11">
        <f t="shared" ca="1" si="17"/>
        <v>0.90842643031343961</v>
      </c>
      <c r="P111" s="9">
        <f t="shared" ca="1" si="18"/>
        <v>2</v>
      </c>
      <c r="Q111" s="19">
        <f t="shared" ca="1" si="19"/>
        <v>31.747458929867353</v>
      </c>
      <c r="R111" s="10">
        <f t="shared" ca="1" si="20"/>
        <v>4.4429639285948062</v>
      </c>
      <c r="S111" s="9">
        <f t="shared" ca="1" si="21"/>
        <v>1</v>
      </c>
      <c r="T111" s="9" t="str">
        <f t="shared" ca="1" si="22"/>
        <v>sí</v>
      </c>
    </row>
    <row r="112" spans="12:20" ht="15" customHeight="1" x14ac:dyDescent="0.45">
      <c r="L112" s="9">
        <v>108</v>
      </c>
      <c r="M112" s="9">
        <f t="shared" ca="1" si="15"/>
        <v>4</v>
      </c>
      <c r="N112" s="9" t="str">
        <f t="shared" ca="1" si="16"/>
        <v>ISM024</v>
      </c>
      <c r="O112" s="11">
        <f t="shared" ca="1" si="17"/>
        <v>0.92447922533169424</v>
      </c>
      <c r="P112" s="9">
        <f t="shared" ca="1" si="18"/>
        <v>1</v>
      </c>
      <c r="Q112" s="19">
        <f t="shared" ca="1" si="19"/>
        <v>24.691879617877643</v>
      </c>
      <c r="R112" s="10">
        <f t="shared" ca="1" si="20"/>
        <v>3.2308134207015469</v>
      </c>
      <c r="S112" s="9">
        <f t="shared" ca="1" si="21"/>
        <v>1</v>
      </c>
      <c r="T112" s="9" t="str">
        <f t="shared" ca="1" si="22"/>
        <v>sí</v>
      </c>
    </row>
    <row r="113" spans="12:20" ht="15" customHeight="1" x14ac:dyDescent="0.45">
      <c r="L113" s="9">
        <v>109</v>
      </c>
      <c r="M113" s="9">
        <f t="shared" ca="1" si="15"/>
        <v>4</v>
      </c>
      <c r="N113" s="9" t="str">
        <f t="shared" ca="1" si="16"/>
        <v>CAF810</v>
      </c>
      <c r="O113" s="11">
        <f t="shared" ca="1" si="17"/>
        <v>0.93796639354274802</v>
      </c>
      <c r="P113" s="9">
        <f t="shared" ca="1" si="18"/>
        <v>1</v>
      </c>
      <c r="Q113" s="19">
        <f t="shared" ca="1" si="19"/>
        <v>25.578777935700277</v>
      </c>
      <c r="R113" s="10">
        <f t="shared" ca="1" si="20"/>
        <v>3.6852553705262432</v>
      </c>
      <c r="S113" s="9">
        <f t="shared" ca="1" si="21"/>
        <v>6</v>
      </c>
      <c r="T113" s="9" t="str">
        <f t="shared" ca="1" si="22"/>
        <v>sí</v>
      </c>
    </row>
    <row r="114" spans="12:20" ht="15" customHeight="1" x14ac:dyDescent="0.45">
      <c r="L114" s="9">
        <v>110</v>
      </c>
      <c r="M114" s="9">
        <f t="shared" ca="1" si="15"/>
        <v>1</v>
      </c>
      <c r="N114" s="9" t="str">
        <f t="shared" ca="1" si="16"/>
        <v>FYQ007</v>
      </c>
      <c r="O114" s="11">
        <f t="shared" ca="1" si="17"/>
        <v>0.88970005685899589</v>
      </c>
      <c r="P114" s="9">
        <f t="shared" ca="1" si="18"/>
        <v>2</v>
      </c>
      <c r="Q114" s="19">
        <f t="shared" ca="1" si="19"/>
        <v>24.457641999742258</v>
      </c>
      <c r="R114" s="10">
        <f t="shared" ca="1" si="20"/>
        <v>1.1863056115036843</v>
      </c>
      <c r="S114" s="9">
        <f t="shared" ca="1" si="21"/>
        <v>1</v>
      </c>
      <c r="T114" s="9" t="str">
        <f t="shared" ca="1" si="22"/>
        <v>sí</v>
      </c>
    </row>
    <row r="115" spans="12:20" ht="15" customHeight="1" x14ac:dyDescent="0.45">
      <c r="L115" s="9">
        <v>111</v>
      </c>
      <c r="M115" s="9">
        <f t="shared" ca="1" si="15"/>
        <v>0</v>
      </c>
      <c r="N115" s="9" t="str">
        <f t="shared" ca="1" si="16"/>
        <v>AUZ234</v>
      </c>
      <c r="O115" s="11">
        <f t="shared" ca="1" si="17"/>
        <v>0.93205535034694098</v>
      </c>
      <c r="P115" s="9">
        <f t="shared" ca="1" si="18"/>
        <v>1</v>
      </c>
      <c r="Q115" s="19">
        <f t="shared" ca="1" si="19"/>
        <v>32.723128744349971</v>
      </c>
      <c r="R115" s="10">
        <f t="shared" ca="1" si="20"/>
        <v>6.5233871997079467</v>
      </c>
      <c r="S115" s="9">
        <f t="shared" ca="1" si="21"/>
        <v>1</v>
      </c>
      <c r="T115" s="9" t="str">
        <f t="shared" ca="1" si="22"/>
        <v>sí</v>
      </c>
    </row>
    <row r="116" spans="12:20" ht="15" customHeight="1" x14ac:dyDescent="0.45">
      <c r="L116" s="9">
        <v>112</v>
      </c>
      <c r="M116" s="9">
        <f t="shared" ca="1" si="15"/>
        <v>2</v>
      </c>
      <c r="N116" s="9" t="str">
        <f t="shared" ca="1" si="16"/>
        <v>VFW018</v>
      </c>
      <c r="O116" s="11">
        <f t="shared" ca="1" si="17"/>
        <v>0.87394988315398436</v>
      </c>
      <c r="P116" s="9">
        <f t="shared" ca="1" si="18"/>
        <v>1</v>
      </c>
      <c r="Q116" s="19">
        <f t="shared" ca="1" si="19"/>
        <v>26.862727005385352</v>
      </c>
      <c r="R116" s="10">
        <f t="shared" ca="1" si="20"/>
        <v>1.2315205428323104</v>
      </c>
      <c r="S116" s="9">
        <f t="shared" ca="1" si="21"/>
        <v>1</v>
      </c>
      <c r="T116" s="9" t="str">
        <f t="shared" ca="1" si="22"/>
        <v>sí</v>
      </c>
    </row>
    <row r="117" spans="12:20" ht="15" customHeight="1" x14ac:dyDescent="0.45">
      <c r="L117" s="9">
        <v>113</v>
      </c>
      <c r="M117" s="9">
        <f t="shared" ca="1" si="15"/>
        <v>5</v>
      </c>
      <c r="N117" s="9" t="str">
        <f t="shared" ca="1" si="16"/>
        <v>CFZ388</v>
      </c>
      <c r="O117" s="11">
        <f t="shared" ca="1" si="17"/>
        <v>0.81716592474159178</v>
      </c>
      <c r="P117" s="9">
        <f t="shared" ca="1" si="18"/>
        <v>1</v>
      </c>
      <c r="Q117" s="19">
        <f t="shared" ca="1" si="19"/>
        <v>32.984049653972164</v>
      </c>
      <c r="R117" s="10">
        <f t="shared" ca="1" si="20"/>
        <v>-3.4093726159465154</v>
      </c>
      <c r="S117" s="9">
        <f t="shared" ca="1" si="21"/>
        <v>1</v>
      </c>
      <c r="T117" s="9" t="str">
        <f t="shared" ca="1" si="22"/>
        <v>sí</v>
      </c>
    </row>
    <row r="118" spans="12:20" ht="15" customHeight="1" x14ac:dyDescent="0.45">
      <c r="L118" s="9">
        <v>114</v>
      </c>
      <c r="M118" s="9">
        <f t="shared" ca="1" si="15"/>
        <v>1</v>
      </c>
      <c r="N118" s="9" t="str">
        <f t="shared" ca="1" si="16"/>
        <v>TPI647</v>
      </c>
      <c r="O118" s="11">
        <f t="shared" ca="1" si="17"/>
        <v>0.98480815214641837</v>
      </c>
      <c r="P118" s="9">
        <f t="shared" ca="1" si="18"/>
        <v>1</v>
      </c>
      <c r="Q118" s="19">
        <f t="shared" ca="1" si="19"/>
        <v>19.52205872650697</v>
      </c>
      <c r="R118" s="10">
        <f t="shared" ca="1" si="20"/>
        <v>3.3878376837304933</v>
      </c>
      <c r="S118" s="9">
        <f t="shared" ca="1" si="21"/>
        <v>1</v>
      </c>
      <c r="T118" s="9" t="str">
        <f t="shared" ca="1" si="22"/>
        <v>sí</v>
      </c>
    </row>
    <row r="119" spans="12:20" ht="15" customHeight="1" x14ac:dyDescent="0.45">
      <c r="L119" s="9">
        <v>115</v>
      </c>
      <c r="M119" s="9">
        <f t="shared" ca="1" si="15"/>
        <v>5</v>
      </c>
      <c r="N119" s="9" t="str">
        <f t="shared" ca="1" si="16"/>
        <v>PLN621</v>
      </c>
      <c r="O119" s="11">
        <f t="shared" ca="1" si="17"/>
        <v>0.95471991286418945</v>
      </c>
      <c r="P119" s="9">
        <f t="shared" ca="1" si="18"/>
        <v>1</v>
      </c>
      <c r="Q119" s="19">
        <f t="shared" ca="1" si="19"/>
        <v>49.474487216718643</v>
      </c>
      <c r="R119" s="10">
        <f t="shared" ca="1" si="20"/>
        <v>-6.5344869051547123</v>
      </c>
      <c r="S119" s="9">
        <f t="shared" ca="1" si="21"/>
        <v>1</v>
      </c>
      <c r="T119" s="9" t="str">
        <f t="shared" ca="1" si="22"/>
        <v>sí</v>
      </c>
    </row>
    <row r="120" spans="12:20" x14ac:dyDescent="0.45">
      <c r="L120" s="9">
        <v>116</v>
      </c>
      <c r="M120" s="9">
        <f t="shared" ca="1" si="15"/>
        <v>2</v>
      </c>
      <c r="N120" s="9" t="str">
        <f t="shared" ca="1" si="16"/>
        <v>XUP206</v>
      </c>
      <c r="O120" s="11">
        <f t="shared" ca="1" si="17"/>
        <v>0.88488727966980218</v>
      </c>
      <c r="P120" s="9">
        <f t="shared" ca="1" si="18"/>
        <v>1</v>
      </c>
      <c r="Q120" s="19">
        <f t="shared" ca="1" si="19"/>
        <v>21.735296804423559</v>
      </c>
      <c r="R120" s="10">
        <f t="shared" ca="1" si="20"/>
        <v>1.9743719222997771</v>
      </c>
      <c r="S120" s="9">
        <f t="shared" ca="1" si="21"/>
        <v>1</v>
      </c>
      <c r="T120" s="9" t="str">
        <f t="shared" ca="1" si="22"/>
        <v>sí</v>
      </c>
    </row>
    <row r="121" spans="12:20" x14ac:dyDescent="0.45">
      <c r="L121" s="9">
        <v>117</v>
      </c>
      <c r="M121" s="9">
        <f t="shared" ca="1" si="15"/>
        <v>3</v>
      </c>
      <c r="N121" s="9" t="str">
        <f t="shared" ca="1" si="16"/>
        <v>OLW293</v>
      </c>
      <c r="O121" s="11">
        <f t="shared" ca="1" si="17"/>
        <v>0.91966022578845907</v>
      </c>
      <c r="P121" s="9">
        <f t="shared" ca="1" si="18"/>
        <v>1</v>
      </c>
      <c r="Q121" s="19">
        <f t="shared" ca="1" si="19"/>
        <v>26.181744384536774</v>
      </c>
      <c r="R121" s="10">
        <f t="shared" ca="1" si="20"/>
        <v>-3.7979255985130518</v>
      </c>
      <c r="S121" s="9">
        <f t="shared" ca="1" si="21"/>
        <v>3</v>
      </c>
      <c r="T121" s="9" t="str">
        <f t="shared" ca="1" si="22"/>
        <v>sí</v>
      </c>
    </row>
    <row r="122" spans="12:20" x14ac:dyDescent="0.45">
      <c r="L122" s="9">
        <v>118</v>
      </c>
      <c r="M122" s="9">
        <f t="shared" ca="1" si="15"/>
        <v>5</v>
      </c>
      <c r="N122" s="9" t="str">
        <f t="shared" ca="1" si="16"/>
        <v>LWN251</v>
      </c>
      <c r="O122" s="11">
        <f t="shared" ca="1" si="17"/>
        <v>0.8211897287457639</v>
      </c>
      <c r="P122" s="9">
        <f t="shared" ca="1" si="18"/>
        <v>2</v>
      </c>
      <c r="Q122" s="19">
        <f t="shared" ca="1" si="19"/>
        <v>19.401626150706772</v>
      </c>
      <c r="R122" s="10">
        <f t="shared" ca="1" si="20"/>
        <v>0.21652666549409116</v>
      </c>
      <c r="S122" s="9">
        <f t="shared" ca="1" si="21"/>
        <v>2</v>
      </c>
      <c r="T122" s="9" t="str">
        <f t="shared" ca="1" si="22"/>
        <v>sí</v>
      </c>
    </row>
    <row r="123" spans="12:20" x14ac:dyDescent="0.45">
      <c r="L123" s="9">
        <v>119</v>
      </c>
      <c r="M123" s="9">
        <f t="shared" ca="1" si="15"/>
        <v>2</v>
      </c>
      <c r="N123" s="9" t="str">
        <f t="shared" ca="1" si="16"/>
        <v>HZQ617</v>
      </c>
      <c r="O123" s="11">
        <f t="shared" ca="1" si="17"/>
        <v>0.82443222039550412</v>
      </c>
      <c r="P123" s="9">
        <f t="shared" ca="1" si="18"/>
        <v>1</v>
      </c>
      <c r="Q123" s="19">
        <f t="shared" ca="1" si="19"/>
        <v>17.231278372660103</v>
      </c>
      <c r="R123" s="10">
        <f t="shared" ca="1" si="20"/>
        <v>-1.5212938787105394</v>
      </c>
      <c r="S123" s="9">
        <f t="shared" ca="1" si="21"/>
        <v>1</v>
      </c>
      <c r="T123" s="9" t="str">
        <f t="shared" ca="1" si="22"/>
        <v>sí</v>
      </c>
    </row>
    <row r="124" spans="12:20" x14ac:dyDescent="0.45">
      <c r="L124" s="9">
        <v>120</v>
      </c>
      <c r="M124" s="9">
        <f t="shared" ca="1" si="15"/>
        <v>2</v>
      </c>
      <c r="N124" s="9" t="str">
        <f t="shared" ca="1" si="16"/>
        <v>ZVS439</v>
      </c>
      <c r="O124" s="11">
        <f t="shared" ca="1" si="17"/>
        <v>0.94310062430662145</v>
      </c>
      <c r="P124" s="9">
        <f t="shared" ca="1" si="18"/>
        <v>2</v>
      </c>
      <c r="Q124" s="19">
        <f t="shared" ca="1" si="19"/>
        <v>33.489247195483408</v>
      </c>
      <c r="R124" s="10">
        <f t="shared" ca="1" si="20"/>
        <v>6.2952589074512444</v>
      </c>
      <c r="S124" s="9">
        <f t="shared" ca="1" si="21"/>
        <v>1</v>
      </c>
      <c r="T124" s="9" t="str">
        <f t="shared" ca="1" si="22"/>
        <v>sí</v>
      </c>
    </row>
    <row r="125" spans="12:20" x14ac:dyDescent="0.45">
      <c r="L125" s="9">
        <v>121</v>
      </c>
      <c r="M125" s="9">
        <f t="shared" ca="1" si="15"/>
        <v>0</v>
      </c>
      <c r="N125" s="9" t="str">
        <f t="shared" ca="1" si="16"/>
        <v>MAI713</v>
      </c>
      <c r="O125" s="11">
        <f t="shared" ca="1" si="17"/>
        <v>0.97758400168078063</v>
      </c>
      <c r="P125" s="9">
        <f t="shared" ca="1" si="18"/>
        <v>1</v>
      </c>
      <c r="Q125" s="19">
        <f t="shared" ca="1" si="19"/>
        <v>28.557820980162873</v>
      </c>
      <c r="R125" s="10">
        <f t="shared" ca="1" si="20"/>
        <v>-0.31322607490490084</v>
      </c>
      <c r="S125" s="9">
        <f t="shared" ca="1" si="21"/>
        <v>1</v>
      </c>
      <c r="T125" s="9" t="str">
        <f t="shared" ca="1" si="22"/>
        <v>sí</v>
      </c>
    </row>
    <row r="126" spans="12:20" x14ac:dyDescent="0.45">
      <c r="L126" s="9">
        <v>122</v>
      </c>
      <c r="M126" s="9">
        <f t="shared" ca="1" si="15"/>
        <v>3</v>
      </c>
      <c r="N126" s="9" t="str">
        <f t="shared" ca="1" si="16"/>
        <v>BBP139</v>
      </c>
      <c r="O126" s="11">
        <f t="shared" ca="1" si="17"/>
        <v>0.99577024683934412</v>
      </c>
      <c r="P126" s="9">
        <f t="shared" ca="1" si="18"/>
        <v>1</v>
      </c>
      <c r="Q126" s="19">
        <f t="shared" ca="1" si="19"/>
        <v>30.264805005981476</v>
      </c>
      <c r="R126" s="10">
        <f t="shared" ca="1" si="20"/>
        <v>0.15579157307592661</v>
      </c>
      <c r="S126" s="9">
        <f t="shared" ca="1" si="21"/>
        <v>1</v>
      </c>
      <c r="T126" s="9" t="str">
        <f t="shared" ca="1" si="22"/>
        <v>sí</v>
      </c>
    </row>
    <row r="127" spans="12:20" x14ac:dyDescent="0.45">
      <c r="L127" s="9">
        <v>123</v>
      </c>
      <c r="M127" s="9">
        <f t="shared" ca="1" si="15"/>
        <v>2</v>
      </c>
      <c r="N127" s="9" t="str">
        <f t="shared" ca="1" si="16"/>
        <v>WEW232</v>
      </c>
      <c r="O127" s="11">
        <f t="shared" ca="1" si="17"/>
        <v>0.97131430309775246</v>
      </c>
      <c r="P127" s="9">
        <f t="shared" ca="1" si="18"/>
        <v>1</v>
      </c>
      <c r="Q127" s="19">
        <f t="shared" ca="1" si="19"/>
        <v>24.449624897133802</v>
      </c>
      <c r="R127" s="10">
        <f t="shared" ca="1" si="20"/>
        <v>1.8414732759205223</v>
      </c>
      <c r="S127" s="9">
        <f t="shared" ca="1" si="21"/>
        <v>1</v>
      </c>
      <c r="T127" s="9" t="str">
        <f t="shared" ca="1" si="22"/>
        <v>sí</v>
      </c>
    </row>
    <row r="128" spans="12:20" x14ac:dyDescent="0.45">
      <c r="L128" s="9">
        <v>124</v>
      </c>
      <c r="M128" s="9">
        <f t="shared" ca="1" si="15"/>
        <v>3</v>
      </c>
      <c r="N128" s="9" t="str">
        <f t="shared" ca="1" si="16"/>
        <v>OJP312</v>
      </c>
      <c r="O128" s="11">
        <f t="shared" ca="1" si="17"/>
        <v>0.94896449594075771</v>
      </c>
      <c r="P128" s="9">
        <f t="shared" ca="1" si="18"/>
        <v>1</v>
      </c>
      <c r="Q128" s="19">
        <f t="shared" ca="1" si="19"/>
        <v>27.752083797402552</v>
      </c>
      <c r="R128" s="10">
        <f t="shared" ca="1" si="20"/>
        <v>0.20916831010588585</v>
      </c>
      <c r="S128" s="9">
        <f t="shared" ca="1" si="21"/>
        <v>1</v>
      </c>
      <c r="T128" s="9" t="str">
        <f t="shared" ca="1" si="22"/>
        <v>sí</v>
      </c>
    </row>
    <row r="129" spans="12:20" x14ac:dyDescent="0.45">
      <c r="L129" s="9">
        <v>125</v>
      </c>
      <c r="M129" s="9">
        <f t="shared" ca="1" si="15"/>
        <v>2</v>
      </c>
      <c r="N129" s="9" t="str">
        <f t="shared" ca="1" si="16"/>
        <v>LLM443</v>
      </c>
      <c r="O129" s="11">
        <f t="shared" ca="1" si="17"/>
        <v>0.94496444238726685</v>
      </c>
      <c r="P129" s="9">
        <f t="shared" ca="1" si="18"/>
        <v>1</v>
      </c>
      <c r="Q129" s="19">
        <f t="shared" ca="1" si="19"/>
        <v>13.679813657249937</v>
      </c>
      <c r="R129" s="10">
        <f t="shared" ca="1" si="20"/>
        <v>3.3581756410197032</v>
      </c>
      <c r="S129" s="9">
        <f t="shared" ca="1" si="21"/>
        <v>2</v>
      </c>
      <c r="T129" s="9" t="str">
        <f t="shared" ca="1" si="22"/>
        <v>sí</v>
      </c>
    </row>
    <row r="130" spans="12:20" x14ac:dyDescent="0.45">
      <c r="L130" s="9">
        <v>126</v>
      </c>
      <c r="M130" s="9">
        <f t="shared" ca="1" si="15"/>
        <v>2</v>
      </c>
      <c r="N130" s="9" t="str">
        <f t="shared" ca="1" si="16"/>
        <v>LXV555</v>
      </c>
      <c r="O130" s="11">
        <f t="shared" ca="1" si="17"/>
        <v>0.90053106692071117</v>
      </c>
      <c r="P130" s="9">
        <f t="shared" ca="1" si="18"/>
        <v>1</v>
      </c>
      <c r="Q130" s="19">
        <f t="shared" ca="1" si="19"/>
        <v>33.575466298181034</v>
      </c>
      <c r="R130" s="10">
        <f t="shared" ca="1" si="20"/>
        <v>-2.197982061427362</v>
      </c>
      <c r="S130" s="9">
        <f t="shared" ca="1" si="21"/>
        <v>1</v>
      </c>
      <c r="T130" s="9" t="str">
        <f t="shared" ca="1" si="22"/>
        <v>sí</v>
      </c>
    </row>
    <row r="131" spans="12:20" x14ac:dyDescent="0.45">
      <c r="L131" s="9">
        <v>127</v>
      </c>
      <c r="M131" s="9">
        <f t="shared" ca="1" si="15"/>
        <v>2</v>
      </c>
      <c r="N131" s="9" t="str">
        <f t="shared" ca="1" si="16"/>
        <v>NZP109</v>
      </c>
      <c r="O131" s="11">
        <f t="shared" ca="1" si="17"/>
        <v>0.94231586223554498</v>
      </c>
      <c r="P131" s="9">
        <f t="shared" ca="1" si="18"/>
        <v>1</v>
      </c>
      <c r="Q131" s="19">
        <f t="shared" ca="1" si="19"/>
        <v>26.210838128119043</v>
      </c>
      <c r="R131" s="10">
        <f t="shared" ca="1" si="20"/>
        <v>3.900224373918844</v>
      </c>
      <c r="S131" s="9">
        <f t="shared" ca="1" si="21"/>
        <v>4</v>
      </c>
      <c r="T131" s="9" t="str">
        <f t="shared" ca="1" si="22"/>
        <v>sí</v>
      </c>
    </row>
    <row r="132" spans="12:20" x14ac:dyDescent="0.45">
      <c r="L132" s="9">
        <v>128</v>
      </c>
      <c r="M132" s="9">
        <f t="shared" ca="1" si="15"/>
        <v>5</v>
      </c>
      <c r="N132" s="9" t="str">
        <f t="shared" ca="1" si="16"/>
        <v>CXY685</v>
      </c>
      <c r="O132" s="11">
        <f t="shared" ca="1" si="17"/>
        <v>0.89638768955978521</v>
      </c>
      <c r="P132" s="9">
        <f t="shared" ca="1" si="18"/>
        <v>1</v>
      </c>
      <c r="Q132" s="19">
        <f t="shared" ca="1" si="19"/>
        <v>52.901910362059553</v>
      </c>
      <c r="R132" s="10">
        <f t="shared" ca="1" si="20"/>
        <v>-4.8723526772711026</v>
      </c>
      <c r="S132" s="9">
        <f t="shared" ca="1" si="21"/>
        <v>3</v>
      </c>
      <c r="T132" s="9" t="str">
        <f t="shared" ca="1" si="22"/>
        <v>sí</v>
      </c>
    </row>
    <row r="133" spans="12:20" x14ac:dyDescent="0.45">
      <c r="L133" s="9">
        <v>129</v>
      </c>
      <c r="M133" s="9">
        <f t="shared" ref="M133:M196" ca="1" si="23">INDEX($V$5:$V$45,MATCH(RAND(),$W$5:$W$45,1))</f>
        <v>3</v>
      </c>
      <c r="N133" s="9" t="str">
        <f t="shared" ref="N133:N196" ca="1" si="24">CHAR(65+INT(RAND()*26))&amp;CHAR(65+INT(RAND()*26))&amp;CHAR(65+INT(RAND()*26))&amp;TEXT(INT(RAND()*1000),"000")</f>
        <v>VRD544</v>
      </c>
      <c r="O133" s="11">
        <f t="shared" ref="O133:O196" ca="1" si="25">_xlfn.BETA.INV(RAND(),$C$10,$C$11)</f>
        <v>0.89978049763553625</v>
      </c>
      <c r="P133" s="9">
        <f t="shared" ref="P133:P196" ca="1" si="26">MAX(1,ROUNDUP(LN(1-RAND())/LN(1-$C$13),0))</f>
        <v>2</v>
      </c>
      <c r="Q133" s="19">
        <f t="shared" ref="Q133:Q196" ca="1" si="27">_xlfn.LOGNORM.INV(RAND(),LN($C$14),$C$15)</f>
        <v>19.352907492326619</v>
      </c>
      <c r="R133" s="10">
        <f t="shared" ref="R133:R196" ca="1" si="28">_xlfn.NORM.INV(RAND(),0,$C$16)</f>
        <v>-0.48945433749169653</v>
      </c>
      <c r="S133" s="9">
        <f t="shared" ref="S133:S196" ca="1" si="29">INDEX($V$6:$V$45,MATCH(RAND(),$X$6:$X$45,1))</f>
        <v>4</v>
      </c>
      <c r="T133" s="9" t="str">
        <f t="shared" ref="T133:T196" ca="1" si="30">IF(AND(O133&gt;=$C$12,P133&lt;=5),"sí","no")</f>
        <v>sí</v>
      </c>
    </row>
    <row r="134" spans="12:20" x14ac:dyDescent="0.45">
      <c r="L134" s="9">
        <v>130</v>
      </c>
      <c r="M134" s="9">
        <f t="shared" ca="1" si="23"/>
        <v>6</v>
      </c>
      <c r="N134" s="9" t="str">
        <f t="shared" ca="1" si="24"/>
        <v>HGM338</v>
      </c>
      <c r="O134" s="11">
        <f t="shared" ca="1" si="25"/>
        <v>0.9495237450045203</v>
      </c>
      <c r="P134" s="9">
        <f t="shared" ca="1" si="26"/>
        <v>1</v>
      </c>
      <c r="Q134" s="19">
        <f t="shared" ca="1" si="27"/>
        <v>42.179242255337378</v>
      </c>
      <c r="R134" s="10">
        <f t="shared" ca="1" si="28"/>
        <v>1.0251188108297824</v>
      </c>
      <c r="S134" s="9">
        <f t="shared" ca="1" si="29"/>
        <v>1</v>
      </c>
      <c r="T134" s="9" t="str">
        <f t="shared" ca="1" si="30"/>
        <v>sí</v>
      </c>
    </row>
    <row r="135" spans="12:20" x14ac:dyDescent="0.45">
      <c r="L135" s="9">
        <v>131</v>
      </c>
      <c r="M135" s="9">
        <f t="shared" ca="1" si="23"/>
        <v>4</v>
      </c>
      <c r="N135" s="9" t="str">
        <f t="shared" ca="1" si="24"/>
        <v>UGI690</v>
      </c>
      <c r="O135" s="11">
        <f t="shared" ca="1" si="25"/>
        <v>0.75645413393429428</v>
      </c>
      <c r="P135" s="9">
        <f t="shared" ca="1" si="26"/>
        <v>2</v>
      </c>
      <c r="Q135" s="19">
        <f t="shared" ca="1" si="27"/>
        <v>39.699648420671053</v>
      </c>
      <c r="R135" s="10">
        <f t="shared" ca="1" si="28"/>
        <v>5.1728451602089409</v>
      </c>
      <c r="S135" s="9">
        <f t="shared" ca="1" si="29"/>
        <v>2</v>
      </c>
      <c r="T135" s="9" t="str">
        <f t="shared" ca="1" si="30"/>
        <v>no</v>
      </c>
    </row>
    <row r="136" spans="12:20" x14ac:dyDescent="0.45">
      <c r="L136" s="9">
        <v>132</v>
      </c>
      <c r="M136" s="9">
        <f t="shared" ca="1" si="23"/>
        <v>4</v>
      </c>
      <c r="N136" s="9" t="str">
        <f t="shared" ca="1" si="24"/>
        <v>VCR986</v>
      </c>
      <c r="O136" s="11">
        <f t="shared" ca="1" si="25"/>
        <v>0.90524117175779217</v>
      </c>
      <c r="P136" s="9">
        <f t="shared" ca="1" si="26"/>
        <v>1</v>
      </c>
      <c r="Q136" s="19">
        <f t="shared" ca="1" si="27"/>
        <v>33.003170209889468</v>
      </c>
      <c r="R136" s="10">
        <f t="shared" ca="1" si="28"/>
        <v>-4.7842333660023842E-2</v>
      </c>
      <c r="S136" s="9">
        <f t="shared" ca="1" si="29"/>
        <v>2</v>
      </c>
      <c r="T136" s="9" t="str">
        <f t="shared" ca="1" si="30"/>
        <v>sí</v>
      </c>
    </row>
    <row r="137" spans="12:20" x14ac:dyDescent="0.45">
      <c r="L137" s="9">
        <v>133</v>
      </c>
      <c r="M137" s="9">
        <f t="shared" ca="1" si="23"/>
        <v>2</v>
      </c>
      <c r="N137" s="9" t="str">
        <f t="shared" ca="1" si="24"/>
        <v>EOS747</v>
      </c>
      <c r="O137" s="11">
        <f t="shared" ca="1" si="25"/>
        <v>0.95447040535858918</v>
      </c>
      <c r="P137" s="9">
        <f t="shared" ca="1" si="26"/>
        <v>1</v>
      </c>
      <c r="Q137" s="19">
        <f t="shared" ca="1" si="27"/>
        <v>30.572718909989643</v>
      </c>
      <c r="R137" s="10">
        <f t="shared" ca="1" si="28"/>
        <v>1.2824042446227111</v>
      </c>
      <c r="S137" s="9">
        <f t="shared" ca="1" si="29"/>
        <v>1</v>
      </c>
      <c r="T137" s="9" t="str">
        <f t="shared" ca="1" si="30"/>
        <v>sí</v>
      </c>
    </row>
    <row r="138" spans="12:20" x14ac:dyDescent="0.45">
      <c r="L138" s="9">
        <v>134</v>
      </c>
      <c r="M138" s="9">
        <f t="shared" ca="1" si="23"/>
        <v>3</v>
      </c>
      <c r="N138" s="9" t="str">
        <f t="shared" ca="1" si="24"/>
        <v>LWH707</v>
      </c>
      <c r="O138" s="11">
        <f t="shared" ca="1" si="25"/>
        <v>0.96037823993959859</v>
      </c>
      <c r="P138" s="9">
        <f t="shared" ca="1" si="26"/>
        <v>1</v>
      </c>
      <c r="Q138" s="19">
        <f t="shared" ca="1" si="27"/>
        <v>28.049286507559781</v>
      </c>
      <c r="R138" s="10">
        <f t="shared" ca="1" si="28"/>
        <v>-2.9028285288391187</v>
      </c>
      <c r="S138" s="9">
        <f t="shared" ca="1" si="29"/>
        <v>1</v>
      </c>
      <c r="T138" s="9" t="str">
        <f t="shared" ca="1" si="30"/>
        <v>sí</v>
      </c>
    </row>
    <row r="139" spans="12:20" x14ac:dyDescent="0.45">
      <c r="L139" s="9">
        <v>135</v>
      </c>
      <c r="M139" s="9">
        <f t="shared" ca="1" si="23"/>
        <v>4</v>
      </c>
      <c r="N139" s="9" t="str">
        <f t="shared" ca="1" si="24"/>
        <v>EJG451</v>
      </c>
      <c r="O139" s="11">
        <f t="shared" ca="1" si="25"/>
        <v>0.95649505318730499</v>
      </c>
      <c r="P139" s="9">
        <f t="shared" ca="1" si="26"/>
        <v>1</v>
      </c>
      <c r="Q139" s="19">
        <f t="shared" ca="1" si="27"/>
        <v>22.14500748314379</v>
      </c>
      <c r="R139" s="10">
        <f t="shared" ca="1" si="28"/>
        <v>1.1966300168795372</v>
      </c>
      <c r="S139" s="9">
        <f t="shared" ca="1" si="29"/>
        <v>1</v>
      </c>
      <c r="T139" s="9" t="str">
        <f t="shared" ca="1" si="30"/>
        <v>sí</v>
      </c>
    </row>
    <row r="140" spans="12:20" x14ac:dyDescent="0.45">
      <c r="L140" s="9">
        <v>136</v>
      </c>
      <c r="M140" s="9">
        <f t="shared" ca="1" si="23"/>
        <v>2</v>
      </c>
      <c r="N140" s="9" t="str">
        <f t="shared" ca="1" si="24"/>
        <v>HJO786</v>
      </c>
      <c r="O140" s="11">
        <f t="shared" ca="1" si="25"/>
        <v>0.83225368515225939</v>
      </c>
      <c r="P140" s="9">
        <f t="shared" ca="1" si="26"/>
        <v>1</v>
      </c>
      <c r="Q140" s="19">
        <f t="shared" ca="1" si="27"/>
        <v>33.904889061824406</v>
      </c>
      <c r="R140" s="10">
        <f t="shared" ca="1" si="28"/>
        <v>-1.8319513191746459</v>
      </c>
      <c r="S140" s="9">
        <f t="shared" ca="1" si="29"/>
        <v>2</v>
      </c>
      <c r="T140" s="9" t="str">
        <f t="shared" ca="1" si="30"/>
        <v>sí</v>
      </c>
    </row>
    <row r="141" spans="12:20" x14ac:dyDescent="0.45">
      <c r="L141" s="9">
        <v>137</v>
      </c>
      <c r="M141" s="9">
        <f t="shared" ca="1" si="23"/>
        <v>2</v>
      </c>
      <c r="N141" s="9" t="str">
        <f t="shared" ca="1" si="24"/>
        <v>BZJ874</v>
      </c>
      <c r="O141" s="11">
        <f t="shared" ca="1" si="25"/>
        <v>0.90140200226773171</v>
      </c>
      <c r="P141" s="9">
        <f t="shared" ca="1" si="26"/>
        <v>1</v>
      </c>
      <c r="Q141" s="19">
        <f t="shared" ca="1" si="27"/>
        <v>43.925723845374861</v>
      </c>
      <c r="R141" s="10">
        <f t="shared" ca="1" si="28"/>
        <v>6.9110087823081354</v>
      </c>
      <c r="S141" s="9">
        <f t="shared" ca="1" si="29"/>
        <v>1</v>
      </c>
      <c r="T141" s="9" t="str">
        <f t="shared" ca="1" si="30"/>
        <v>sí</v>
      </c>
    </row>
    <row r="142" spans="12:20" x14ac:dyDescent="0.45">
      <c r="L142" s="9">
        <v>138</v>
      </c>
      <c r="M142" s="9">
        <f t="shared" ca="1" si="23"/>
        <v>3</v>
      </c>
      <c r="N142" s="9" t="str">
        <f t="shared" ca="1" si="24"/>
        <v>HGM530</v>
      </c>
      <c r="O142" s="11">
        <f t="shared" ca="1" si="25"/>
        <v>0.93751068154524209</v>
      </c>
      <c r="P142" s="9">
        <f t="shared" ca="1" si="26"/>
        <v>1</v>
      </c>
      <c r="Q142" s="19">
        <f t="shared" ca="1" si="27"/>
        <v>22.048629521836276</v>
      </c>
      <c r="R142" s="10">
        <f t="shared" ca="1" si="28"/>
        <v>5.2073098271072515</v>
      </c>
      <c r="S142" s="9">
        <f t="shared" ca="1" si="29"/>
        <v>1</v>
      </c>
      <c r="T142" s="9" t="str">
        <f t="shared" ca="1" si="30"/>
        <v>sí</v>
      </c>
    </row>
    <row r="143" spans="12:20" x14ac:dyDescent="0.45">
      <c r="L143" s="9">
        <v>139</v>
      </c>
      <c r="M143" s="9">
        <f t="shared" ca="1" si="23"/>
        <v>2</v>
      </c>
      <c r="N143" s="9" t="str">
        <f t="shared" ca="1" si="24"/>
        <v>SON553</v>
      </c>
      <c r="O143" s="11">
        <f t="shared" ca="1" si="25"/>
        <v>0.96364901596987729</v>
      </c>
      <c r="P143" s="9">
        <f t="shared" ca="1" si="26"/>
        <v>1</v>
      </c>
      <c r="Q143" s="19">
        <f t="shared" ca="1" si="27"/>
        <v>22.067739675589745</v>
      </c>
      <c r="R143" s="10">
        <f t="shared" ca="1" si="28"/>
        <v>-3.4213073418834901</v>
      </c>
      <c r="S143" s="9">
        <f t="shared" ca="1" si="29"/>
        <v>1</v>
      </c>
      <c r="T143" s="9" t="str">
        <f t="shared" ca="1" si="30"/>
        <v>sí</v>
      </c>
    </row>
    <row r="144" spans="12:20" x14ac:dyDescent="0.45">
      <c r="L144" s="9">
        <v>140</v>
      </c>
      <c r="M144" s="9">
        <f t="shared" ca="1" si="23"/>
        <v>4</v>
      </c>
      <c r="N144" s="9" t="str">
        <f t="shared" ca="1" si="24"/>
        <v>EWZ395</v>
      </c>
      <c r="O144" s="11">
        <f t="shared" ca="1" si="25"/>
        <v>0.91196273390596716</v>
      </c>
      <c r="P144" s="9">
        <f t="shared" ca="1" si="26"/>
        <v>1</v>
      </c>
      <c r="Q144" s="19">
        <f t="shared" ca="1" si="27"/>
        <v>23.470951112700089</v>
      </c>
      <c r="R144" s="10">
        <f t="shared" ca="1" si="28"/>
        <v>0.64809281094604576</v>
      </c>
      <c r="S144" s="9">
        <f t="shared" ca="1" si="29"/>
        <v>2</v>
      </c>
      <c r="T144" s="9" t="str">
        <f t="shared" ca="1" si="30"/>
        <v>sí</v>
      </c>
    </row>
    <row r="145" spans="12:20" x14ac:dyDescent="0.45">
      <c r="L145" s="9">
        <v>141</v>
      </c>
      <c r="M145" s="9">
        <f t="shared" ca="1" si="23"/>
        <v>5</v>
      </c>
      <c r="N145" s="9" t="str">
        <f t="shared" ca="1" si="24"/>
        <v>QQJ307</v>
      </c>
      <c r="O145" s="11">
        <f t="shared" ca="1" si="25"/>
        <v>0.92453967465401143</v>
      </c>
      <c r="P145" s="9">
        <f t="shared" ca="1" si="26"/>
        <v>1</v>
      </c>
      <c r="Q145" s="19">
        <f t="shared" ca="1" si="27"/>
        <v>21.191210639224174</v>
      </c>
      <c r="R145" s="10">
        <f t="shared" ca="1" si="28"/>
        <v>-1.736130550632272</v>
      </c>
      <c r="S145" s="9">
        <f t="shared" ca="1" si="29"/>
        <v>1</v>
      </c>
      <c r="T145" s="9" t="str">
        <f t="shared" ca="1" si="30"/>
        <v>sí</v>
      </c>
    </row>
    <row r="146" spans="12:20" x14ac:dyDescent="0.45">
      <c r="L146" s="9">
        <v>142</v>
      </c>
      <c r="M146" s="9">
        <f t="shared" ca="1" si="23"/>
        <v>1</v>
      </c>
      <c r="N146" s="9" t="str">
        <f t="shared" ca="1" si="24"/>
        <v>RJL101</v>
      </c>
      <c r="O146" s="11">
        <f t="shared" ca="1" si="25"/>
        <v>0.89928876941645886</v>
      </c>
      <c r="P146" s="9">
        <f t="shared" ca="1" si="26"/>
        <v>1</v>
      </c>
      <c r="Q146" s="19">
        <f t="shared" ca="1" si="27"/>
        <v>22.168636220328903</v>
      </c>
      <c r="R146" s="10">
        <f t="shared" ca="1" si="28"/>
        <v>0.91278140163521737</v>
      </c>
      <c r="S146" s="9">
        <f t="shared" ca="1" si="29"/>
        <v>2</v>
      </c>
      <c r="T146" s="9" t="str">
        <f t="shared" ca="1" si="30"/>
        <v>sí</v>
      </c>
    </row>
    <row r="147" spans="12:20" x14ac:dyDescent="0.45">
      <c r="L147" s="9">
        <v>143</v>
      </c>
      <c r="M147" s="9">
        <f t="shared" ca="1" si="23"/>
        <v>2</v>
      </c>
      <c r="N147" s="9" t="str">
        <f t="shared" ca="1" si="24"/>
        <v>AGF297</v>
      </c>
      <c r="O147" s="11">
        <f t="shared" ca="1" si="25"/>
        <v>0.92874422566795301</v>
      </c>
      <c r="P147" s="9">
        <f t="shared" ca="1" si="26"/>
        <v>1</v>
      </c>
      <c r="Q147" s="19">
        <f t="shared" ca="1" si="27"/>
        <v>31.595796986625089</v>
      </c>
      <c r="R147" s="10">
        <f t="shared" ca="1" si="28"/>
        <v>-3.5259066305753102</v>
      </c>
      <c r="S147" s="9">
        <f t="shared" ca="1" si="29"/>
        <v>3</v>
      </c>
      <c r="T147" s="9" t="str">
        <f t="shared" ca="1" si="30"/>
        <v>sí</v>
      </c>
    </row>
    <row r="148" spans="12:20" x14ac:dyDescent="0.45">
      <c r="L148" s="9">
        <v>144</v>
      </c>
      <c r="M148" s="9">
        <f t="shared" ca="1" si="23"/>
        <v>1</v>
      </c>
      <c r="N148" s="9" t="str">
        <f t="shared" ca="1" si="24"/>
        <v>SYG050</v>
      </c>
      <c r="O148" s="11">
        <f t="shared" ca="1" si="25"/>
        <v>0.87922302524192775</v>
      </c>
      <c r="P148" s="9">
        <f t="shared" ca="1" si="26"/>
        <v>2</v>
      </c>
      <c r="Q148" s="19">
        <f t="shared" ca="1" si="27"/>
        <v>24.551792403935632</v>
      </c>
      <c r="R148" s="10">
        <f t="shared" ca="1" si="28"/>
        <v>2.5618824108239573</v>
      </c>
      <c r="S148" s="9">
        <f t="shared" ca="1" si="29"/>
        <v>2</v>
      </c>
      <c r="T148" s="9" t="str">
        <f t="shared" ca="1" si="30"/>
        <v>sí</v>
      </c>
    </row>
    <row r="149" spans="12:20" x14ac:dyDescent="0.45">
      <c r="L149" s="9">
        <v>145</v>
      </c>
      <c r="M149" s="9">
        <f t="shared" ca="1" si="23"/>
        <v>2</v>
      </c>
      <c r="N149" s="9" t="str">
        <f t="shared" ca="1" si="24"/>
        <v>ULC004</v>
      </c>
      <c r="O149" s="11">
        <f t="shared" ca="1" si="25"/>
        <v>0.88684086281166574</v>
      </c>
      <c r="P149" s="9">
        <f t="shared" ca="1" si="26"/>
        <v>1</v>
      </c>
      <c r="Q149" s="19">
        <f t="shared" ca="1" si="27"/>
        <v>28.274996327944507</v>
      </c>
      <c r="R149" s="10">
        <f t="shared" ca="1" si="28"/>
        <v>0.67282809960102574</v>
      </c>
      <c r="S149" s="9">
        <f t="shared" ca="1" si="29"/>
        <v>1</v>
      </c>
      <c r="T149" s="9" t="str">
        <f t="shared" ca="1" si="30"/>
        <v>sí</v>
      </c>
    </row>
    <row r="150" spans="12:20" x14ac:dyDescent="0.45">
      <c r="L150" s="9">
        <v>146</v>
      </c>
      <c r="M150" s="9">
        <f t="shared" ca="1" si="23"/>
        <v>2</v>
      </c>
      <c r="N150" s="9" t="str">
        <f t="shared" ca="1" si="24"/>
        <v>GMK719</v>
      </c>
      <c r="O150" s="11">
        <f t="shared" ca="1" si="25"/>
        <v>0.84969085133509414</v>
      </c>
      <c r="P150" s="9">
        <f t="shared" ca="1" si="26"/>
        <v>1</v>
      </c>
      <c r="Q150" s="19">
        <f t="shared" ca="1" si="27"/>
        <v>35.316694714707509</v>
      </c>
      <c r="R150" s="10">
        <f t="shared" ca="1" si="28"/>
        <v>-0.29318140067754483</v>
      </c>
      <c r="S150" s="9">
        <f t="shared" ca="1" si="29"/>
        <v>3</v>
      </c>
      <c r="T150" s="9" t="str">
        <f t="shared" ca="1" si="30"/>
        <v>sí</v>
      </c>
    </row>
    <row r="151" spans="12:20" x14ac:dyDescent="0.45">
      <c r="L151" s="9">
        <v>147</v>
      </c>
      <c r="M151" s="9">
        <f t="shared" ca="1" si="23"/>
        <v>3</v>
      </c>
      <c r="N151" s="9" t="str">
        <f t="shared" ca="1" si="24"/>
        <v>QTW670</v>
      </c>
      <c r="O151" s="11">
        <f t="shared" ca="1" si="25"/>
        <v>0.96511918878228409</v>
      </c>
      <c r="P151" s="9">
        <f t="shared" ca="1" si="26"/>
        <v>1</v>
      </c>
      <c r="Q151" s="19">
        <f t="shared" ca="1" si="27"/>
        <v>37.024365921201671</v>
      </c>
      <c r="R151" s="10">
        <f t="shared" ca="1" si="28"/>
        <v>-2.7202102578781076</v>
      </c>
      <c r="S151" s="9">
        <f t="shared" ca="1" si="29"/>
        <v>2</v>
      </c>
      <c r="T151" s="9" t="str">
        <f t="shared" ca="1" si="30"/>
        <v>sí</v>
      </c>
    </row>
    <row r="152" spans="12:20" x14ac:dyDescent="0.45">
      <c r="L152" s="9">
        <v>148</v>
      </c>
      <c r="M152" s="9">
        <f t="shared" ca="1" si="23"/>
        <v>4</v>
      </c>
      <c r="N152" s="9" t="str">
        <f t="shared" ca="1" si="24"/>
        <v>ZXV704</v>
      </c>
      <c r="O152" s="11">
        <f t="shared" ca="1" si="25"/>
        <v>0.90831137875268575</v>
      </c>
      <c r="P152" s="9">
        <f t="shared" ca="1" si="26"/>
        <v>1</v>
      </c>
      <c r="Q152" s="19">
        <f t="shared" ca="1" si="27"/>
        <v>23.011123519418163</v>
      </c>
      <c r="R152" s="10">
        <f t="shared" ca="1" si="28"/>
        <v>-0.63505752981457031</v>
      </c>
      <c r="S152" s="9">
        <f t="shared" ca="1" si="29"/>
        <v>2</v>
      </c>
      <c r="T152" s="9" t="str">
        <f t="shared" ca="1" si="30"/>
        <v>sí</v>
      </c>
    </row>
    <row r="153" spans="12:20" x14ac:dyDescent="0.45">
      <c r="L153" s="9">
        <v>149</v>
      </c>
      <c r="M153" s="9">
        <f t="shared" ca="1" si="23"/>
        <v>2</v>
      </c>
      <c r="N153" s="9" t="str">
        <f t="shared" ca="1" si="24"/>
        <v>TDG393</v>
      </c>
      <c r="O153" s="11">
        <f t="shared" ca="1" si="25"/>
        <v>0.92805198514407783</v>
      </c>
      <c r="P153" s="9">
        <f t="shared" ca="1" si="26"/>
        <v>2</v>
      </c>
      <c r="Q153" s="19">
        <f t="shared" ca="1" si="27"/>
        <v>28.030245358038933</v>
      </c>
      <c r="R153" s="10">
        <f t="shared" ca="1" si="28"/>
        <v>7.2068688640993983</v>
      </c>
      <c r="S153" s="9">
        <f t="shared" ca="1" si="29"/>
        <v>2</v>
      </c>
      <c r="T153" s="9" t="str">
        <f t="shared" ca="1" si="30"/>
        <v>sí</v>
      </c>
    </row>
    <row r="154" spans="12:20" x14ac:dyDescent="0.45">
      <c r="L154" s="9">
        <v>150</v>
      </c>
      <c r="M154" s="9">
        <f t="shared" ca="1" si="23"/>
        <v>4</v>
      </c>
      <c r="N154" s="9" t="str">
        <f t="shared" ca="1" si="24"/>
        <v>DPU172</v>
      </c>
      <c r="O154" s="11">
        <f t="shared" ca="1" si="25"/>
        <v>0.87041245021418445</v>
      </c>
      <c r="P154" s="9">
        <f t="shared" ca="1" si="26"/>
        <v>1</v>
      </c>
      <c r="Q154" s="19">
        <f t="shared" ca="1" si="27"/>
        <v>23.24482139100304</v>
      </c>
      <c r="R154" s="10">
        <f t="shared" ca="1" si="28"/>
        <v>5.6188550593349795</v>
      </c>
      <c r="S154" s="9">
        <f t="shared" ca="1" si="29"/>
        <v>1</v>
      </c>
      <c r="T154" s="9" t="str">
        <f t="shared" ca="1" si="30"/>
        <v>sí</v>
      </c>
    </row>
    <row r="155" spans="12:20" x14ac:dyDescent="0.45">
      <c r="L155" s="9">
        <v>151</v>
      </c>
      <c r="M155" s="9">
        <f t="shared" ca="1" si="23"/>
        <v>3</v>
      </c>
      <c r="N155" s="9" t="str">
        <f t="shared" ca="1" si="24"/>
        <v>NBN459</v>
      </c>
      <c r="O155" s="11">
        <f t="shared" ca="1" si="25"/>
        <v>0.98838156235022812</v>
      </c>
      <c r="P155" s="9">
        <f t="shared" ca="1" si="26"/>
        <v>2</v>
      </c>
      <c r="Q155" s="19">
        <f t="shared" ca="1" si="27"/>
        <v>21.353246131466332</v>
      </c>
      <c r="R155" s="10">
        <f t="shared" ca="1" si="28"/>
        <v>-2.3994818525812258</v>
      </c>
      <c r="S155" s="9">
        <f t="shared" ca="1" si="29"/>
        <v>2</v>
      </c>
      <c r="T155" s="9" t="str">
        <f t="shared" ca="1" si="30"/>
        <v>sí</v>
      </c>
    </row>
    <row r="156" spans="12:20" x14ac:dyDescent="0.45">
      <c r="L156" s="9">
        <v>152</v>
      </c>
      <c r="M156" s="9">
        <f t="shared" ca="1" si="23"/>
        <v>5</v>
      </c>
      <c r="N156" s="9" t="str">
        <f t="shared" ca="1" si="24"/>
        <v>LNN343</v>
      </c>
      <c r="O156" s="11">
        <f t="shared" ca="1" si="25"/>
        <v>0.97536420370943255</v>
      </c>
      <c r="P156" s="9">
        <f t="shared" ca="1" si="26"/>
        <v>2</v>
      </c>
      <c r="Q156" s="19">
        <f t="shared" ca="1" si="27"/>
        <v>25.927962459678326</v>
      </c>
      <c r="R156" s="10">
        <f t="shared" ca="1" si="28"/>
        <v>-5.4194192030004729</v>
      </c>
      <c r="S156" s="9">
        <f t="shared" ca="1" si="29"/>
        <v>3</v>
      </c>
      <c r="T156" s="9" t="str">
        <f t="shared" ca="1" si="30"/>
        <v>sí</v>
      </c>
    </row>
    <row r="157" spans="12:20" x14ac:dyDescent="0.45">
      <c r="L157" s="9">
        <v>153</v>
      </c>
      <c r="M157" s="9">
        <f t="shared" ca="1" si="23"/>
        <v>4</v>
      </c>
      <c r="N157" s="9" t="str">
        <f t="shared" ca="1" si="24"/>
        <v>DZP403</v>
      </c>
      <c r="O157" s="11">
        <f t="shared" ca="1" si="25"/>
        <v>0.89171002794788801</v>
      </c>
      <c r="P157" s="9">
        <f t="shared" ca="1" si="26"/>
        <v>1</v>
      </c>
      <c r="Q157" s="19">
        <f t="shared" ca="1" si="27"/>
        <v>23.886910515234604</v>
      </c>
      <c r="R157" s="10">
        <f t="shared" ca="1" si="28"/>
        <v>1.4425517331110524</v>
      </c>
      <c r="S157" s="9">
        <f t="shared" ca="1" si="29"/>
        <v>2</v>
      </c>
      <c r="T157" s="9" t="str">
        <f t="shared" ca="1" si="30"/>
        <v>sí</v>
      </c>
    </row>
    <row r="158" spans="12:20" x14ac:dyDescent="0.45">
      <c r="L158" s="9">
        <v>154</v>
      </c>
      <c r="M158" s="9">
        <f t="shared" ca="1" si="23"/>
        <v>3</v>
      </c>
      <c r="N158" s="9" t="str">
        <f t="shared" ca="1" si="24"/>
        <v>ZOE445</v>
      </c>
      <c r="O158" s="11">
        <f t="shared" ca="1" si="25"/>
        <v>0.97032573536088984</v>
      </c>
      <c r="P158" s="9">
        <f t="shared" ca="1" si="26"/>
        <v>1</v>
      </c>
      <c r="Q158" s="19">
        <f t="shared" ca="1" si="27"/>
        <v>24.19493135788737</v>
      </c>
      <c r="R158" s="10">
        <f t="shared" ca="1" si="28"/>
        <v>-4.1987568168364087</v>
      </c>
      <c r="S158" s="9">
        <f t="shared" ca="1" si="29"/>
        <v>1</v>
      </c>
      <c r="T158" s="9" t="str">
        <f t="shared" ca="1" si="30"/>
        <v>sí</v>
      </c>
    </row>
    <row r="159" spans="12:20" x14ac:dyDescent="0.45">
      <c r="L159" s="9">
        <v>155</v>
      </c>
      <c r="M159" s="9">
        <f t="shared" ca="1" si="23"/>
        <v>2</v>
      </c>
      <c r="N159" s="9" t="str">
        <f t="shared" ca="1" si="24"/>
        <v>EOO564</v>
      </c>
      <c r="O159" s="11">
        <f t="shared" ca="1" si="25"/>
        <v>0.81531030944804861</v>
      </c>
      <c r="P159" s="9">
        <f t="shared" ca="1" si="26"/>
        <v>1</v>
      </c>
      <c r="Q159" s="19">
        <f t="shared" ca="1" si="27"/>
        <v>27.106997953855554</v>
      </c>
      <c r="R159" s="10">
        <f t="shared" ca="1" si="28"/>
        <v>7.1084955895016108E-2</v>
      </c>
      <c r="S159" s="9">
        <f t="shared" ca="1" si="29"/>
        <v>1</v>
      </c>
      <c r="T159" s="9" t="str">
        <f t="shared" ca="1" si="30"/>
        <v>sí</v>
      </c>
    </row>
    <row r="160" spans="12:20" x14ac:dyDescent="0.45">
      <c r="L160" s="9">
        <v>156</v>
      </c>
      <c r="M160" s="9">
        <f t="shared" ca="1" si="23"/>
        <v>1</v>
      </c>
      <c r="N160" s="9" t="str">
        <f t="shared" ca="1" si="24"/>
        <v>YAK277</v>
      </c>
      <c r="O160" s="11">
        <f t="shared" ca="1" si="25"/>
        <v>0.818236365357631</v>
      </c>
      <c r="P160" s="9">
        <f t="shared" ca="1" si="26"/>
        <v>2</v>
      </c>
      <c r="Q160" s="19">
        <f t="shared" ca="1" si="27"/>
        <v>24.731733351954492</v>
      </c>
      <c r="R160" s="10">
        <f t="shared" ca="1" si="28"/>
        <v>-3.7029194113190558</v>
      </c>
      <c r="S160" s="9">
        <f t="shared" ca="1" si="29"/>
        <v>1</v>
      </c>
      <c r="T160" s="9" t="str">
        <f t="shared" ca="1" si="30"/>
        <v>sí</v>
      </c>
    </row>
    <row r="161" spans="12:20" x14ac:dyDescent="0.45">
      <c r="L161" s="9">
        <v>157</v>
      </c>
      <c r="M161" s="9">
        <f t="shared" ca="1" si="23"/>
        <v>6</v>
      </c>
      <c r="N161" s="9" t="str">
        <f t="shared" ca="1" si="24"/>
        <v>IYF496</v>
      </c>
      <c r="O161" s="11">
        <f t="shared" ca="1" si="25"/>
        <v>0.88517697284405272</v>
      </c>
      <c r="P161" s="9">
        <f t="shared" ca="1" si="26"/>
        <v>1</v>
      </c>
      <c r="Q161" s="19">
        <f t="shared" ca="1" si="27"/>
        <v>29.407112445636127</v>
      </c>
      <c r="R161" s="10">
        <f t="shared" ca="1" si="28"/>
        <v>-1.4597758523653481</v>
      </c>
      <c r="S161" s="9">
        <f t="shared" ca="1" si="29"/>
        <v>4</v>
      </c>
      <c r="T161" s="9" t="str">
        <f t="shared" ca="1" si="30"/>
        <v>sí</v>
      </c>
    </row>
    <row r="162" spans="12:20" x14ac:dyDescent="0.45">
      <c r="L162" s="9">
        <v>158</v>
      </c>
      <c r="M162" s="9">
        <f t="shared" ca="1" si="23"/>
        <v>3</v>
      </c>
      <c r="N162" s="9" t="str">
        <f t="shared" ca="1" si="24"/>
        <v>NZE064</v>
      </c>
      <c r="O162" s="11">
        <f t="shared" ca="1" si="25"/>
        <v>0.99032754759115504</v>
      </c>
      <c r="P162" s="9">
        <f t="shared" ca="1" si="26"/>
        <v>1</v>
      </c>
      <c r="Q162" s="19">
        <f t="shared" ca="1" si="27"/>
        <v>27.067736322760069</v>
      </c>
      <c r="R162" s="10">
        <f t="shared" ca="1" si="28"/>
        <v>3.2962553278861892</v>
      </c>
      <c r="S162" s="9">
        <f t="shared" ca="1" si="29"/>
        <v>1</v>
      </c>
      <c r="T162" s="9" t="str">
        <f t="shared" ca="1" si="30"/>
        <v>sí</v>
      </c>
    </row>
    <row r="163" spans="12:20" x14ac:dyDescent="0.45">
      <c r="L163" s="9">
        <v>159</v>
      </c>
      <c r="M163" s="9">
        <f t="shared" ca="1" si="23"/>
        <v>2</v>
      </c>
      <c r="N163" s="9" t="str">
        <f t="shared" ca="1" si="24"/>
        <v>ZXR355</v>
      </c>
      <c r="O163" s="11">
        <f t="shared" ca="1" si="25"/>
        <v>0.97027495184081269</v>
      </c>
      <c r="P163" s="9">
        <f t="shared" ca="1" si="26"/>
        <v>1</v>
      </c>
      <c r="Q163" s="19">
        <f t="shared" ca="1" si="27"/>
        <v>23.021441099381573</v>
      </c>
      <c r="R163" s="10">
        <f t="shared" ca="1" si="28"/>
        <v>-1.3308941877794793</v>
      </c>
      <c r="S163" s="9">
        <f t="shared" ca="1" si="29"/>
        <v>3</v>
      </c>
      <c r="T163" s="9" t="str">
        <f t="shared" ca="1" si="30"/>
        <v>sí</v>
      </c>
    </row>
    <row r="164" spans="12:20" x14ac:dyDescent="0.45">
      <c r="L164" s="9">
        <v>160</v>
      </c>
      <c r="M164" s="9">
        <f t="shared" ca="1" si="23"/>
        <v>1</v>
      </c>
      <c r="N164" s="9" t="str">
        <f t="shared" ca="1" si="24"/>
        <v>MSV930</v>
      </c>
      <c r="O164" s="11">
        <f t="shared" ca="1" si="25"/>
        <v>0.79734930291129291</v>
      </c>
      <c r="P164" s="9">
        <f t="shared" ca="1" si="26"/>
        <v>1</v>
      </c>
      <c r="Q164" s="19">
        <f t="shared" ca="1" si="27"/>
        <v>47.005879171977327</v>
      </c>
      <c r="R164" s="10">
        <f t="shared" ca="1" si="28"/>
        <v>8.0268754838746599</v>
      </c>
      <c r="S164" s="9">
        <f t="shared" ca="1" si="29"/>
        <v>2</v>
      </c>
      <c r="T164" s="9" t="str">
        <f t="shared" ca="1" si="30"/>
        <v>no</v>
      </c>
    </row>
    <row r="165" spans="12:20" x14ac:dyDescent="0.45">
      <c r="L165" s="9">
        <v>161</v>
      </c>
      <c r="M165" s="9">
        <f t="shared" ca="1" si="23"/>
        <v>4</v>
      </c>
      <c r="N165" s="9" t="str">
        <f t="shared" ca="1" si="24"/>
        <v>VBQ530</v>
      </c>
      <c r="O165" s="11">
        <f t="shared" ca="1" si="25"/>
        <v>0.94318280579107783</v>
      </c>
      <c r="P165" s="9">
        <f t="shared" ca="1" si="26"/>
        <v>1</v>
      </c>
      <c r="Q165" s="19">
        <f t="shared" ca="1" si="27"/>
        <v>30.528965533576681</v>
      </c>
      <c r="R165" s="10">
        <f t="shared" ca="1" si="28"/>
        <v>2.1888312357550683</v>
      </c>
      <c r="S165" s="9">
        <f t="shared" ca="1" si="29"/>
        <v>3</v>
      </c>
      <c r="T165" s="9" t="str">
        <f t="shared" ca="1" si="30"/>
        <v>sí</v>
      </c>
    </row>
    <row r="166" spans="12:20" x14ac:dyDescent="0.45">
      <c r="L166" s="9">
        <v>162</v>
      </c>
      <c r="M166" s="9">
        <f t="shared" ca="1" si="23"/>
        <v>3</v>
      </c>
      <c r="N166" s="9" t="str">
        <f t="shared" ca="1" si="24"/>
        <v>MBI286</v>
      </c>
      <c r="O166" s="11">
        <f t="shared" ca="1" si="25"/>
        <v>0.88307303756758482</v>
      </c>
      <c r="P166" s="9">
        <f t="shared" ca="1" si="26"/>
        <v>1</v>
      </c>
      <c r="Q166" s="19">
        <f t="shared" ca="1" si="27"/>
        <v>34.354105074163577</v>
      </c>
      <c r="R166" s="10">
        <f t="shared" ca="1" si="28"/>
        <v>4.3708723222424783</v>
      </c>
      <c r="S166" s="9">
        <f t="shared" ca="1" si="29"/>
        <v>1</v>
      </c>
      <c r="T166" s="9" t="str">
        <f t="shared" ca="1" si="30"/>
        <v>sí</v>
      </c>
    </row>
    <row r="167" spans="12:20" x14ac:dyDescent="0.45">
      <c r="L167" s="9">
        <v>163</v>
      </c>
      <c r="M167" s="9">
        <f t="shared" ca="1" si="23"/>
        <v>2</v>
      </c>
      <c r="N167" s="9" t="str">
        <f t="shared" ca="1" si="24"/>
        <v>GTV978</v>
      </c>
      <c r="O167" s="11">
        <f t="shared" ca="1" si="25"/>
        <v>0.84184453570690687</v>
      </c>
      <c r="P167" s="9">
        <f t="shared" ca="1" si="26"/>
        <v>1</v>
      </c>
      <c r="Q167" s="19">
        <f t="shared" ca="1" si="27"/>
        <v>28.810207052212746</v>
      </c>
      <c r="R167" s="10">
        <f t="shared" ca="1" si="28"/>
        <v>-2.982733343559953</v>
      </c>
      <c r="S167" s="9">
        <f t="shared" ca="1" si="29"/>
        <v>2</v>
      </c>
      <c r="T167" s="9" t="str">
        <f t="shared" ca="1" si="30"/>
        <v>sí</v>
      </c>
    </row>
    <row r="168" spans="12:20" x14ac:dyDescent="0.45">
      <c r="L168" s="9">
        <v>164</v>
      </c>
      <c r="M168" s="9">
        <f t="shared" ca="1" si="23"/>
        <v>1</v>
      </c>
      <c r="N168" s="9" t="str">
        <f t="shared" ca="1" si="24"/>
        <v>XIR166</v>
      </c>
      <c r="O168" s="11">
        <f t="shared" ca="1" si="25"/>
        <v>0.81172897983121017</v>
      </c>
      <c r="P168" s="9">
        <f t="shared" ca="1" si="26"/>
        <v>1</v>
      </c>
      <c r="Q168" s="19">
        <f t="shared" ca="1" si="27"/>
        <v>29.582796754501203</v>
      </c>
      <c r="R168" s="10">
        <f t="shared" ca="1" si="28"/>
        <v>2.5607937138271124</v>
      </c>
      <c r="S168" s="9">
        <f t="shared" ca="1" si="29"/>
        <v>1</v>
      </c>
      <c r="T168" s="9" t="str">
        <f t="shared" ca="1" si="30"/>
        <v>sí</v>
      </c>
    </row>
    <row r="169" spans="12:20" x14ac:dyDescent="0.45">
      <c r="L169" s="9">
        <v>165</v>
      </c>
      <c r="M169" s="9">
        <f t="shared" ca="1" si="23"/>
        <v>3</v>
      </c>
      <c r="N169" s="9" t="str">
        <f t="shared" ca="1" si="24"/>
        <v>VMC457</v>
      </c>
      <c r="O169" s="11">
        <f t="shared" ca="1" si="25"/>
        <v>0.8983145553752635</v>
      </c>
      <c r="P169" s="9">
        <f t="shared" ca="1" si="26"/>
        <v>1</v>
      </c>
      <c r="Q169" s="19">
        <f t="shared" ca="1" si="27"/>
        <v>27.348332461389894</v>
      </c>
      <c r="R169" s="10">
        <f t="shared" ca="1" si="28"/>
        <v>-3.7982299172468537</v>
      </c>
      <c r="S169" s="9">
        <f t="shared" ca="1" si="29"/>
        <v>1</v>
      </c>
      <c r="T169" s="9" t="str">
        <f t="shared" ca="1" si="30"/>
        <v>sí</v>
      </c>
    </row>
    <row r="170" spans="12:20" x14ac:dyDescent="0.45">
      <c r="L170" s="9">
        <v>166</v>
      </c>
      <c r="M170" s="9">
        <f t="shared" ca="1" si="23"/>
        <v>4</v>
      </c>
      <c r="N170" s="9" t="str">
        <f t="shared" ca="1" si="24"/>
        <v>XHF779</v>
      </c>
      <c r="O170" s="11">
        <f t="shared" ca="1" si="25"/>
        <v>0.92965833384424856</v>
      </c>
      <c r="P170" s="9">
        <f t="shared" ca="1" si="26"/>
        <v>1</v>
      </c>
      <c r="Q170" s="19">
        <f t="shared" ca="1" si="27"/>
        <v>30.254680283312947</v>
      </c>
      <c r="R170" s="10">
        <f t="shared" ca="1" si="28"/>
        <v>-1.6176300203920073</v>
      </c>
      <c r="S170" s="9">
        <f t="shared" ca="1" si="29"/>
        <v>3</v>
      </c>
      <c r="T170" s="9" t="str">
        <f t="shared" ca="1" si="30"/>
        <v>sí</v>
      </c>
    </row>
    <row r="171" spans="12:20" x14ac:dyDescent="0.45">
      <c r="L171" s="9">
        <v>167</v>
      </c>
      <c r="M171" s="9">
        <f t="shared" ca="1" si="23"/>
        <v>2</v>
      </c>
      <c r="N171" s="9" t="str">
        <f t="shared" ca="1" si="24"/>
        <v>ZLP673</v>
      </c>
      <c r="O171" s="11">
        <f t="shared" ca="1" si="25"/>
        <v>0.90499606846651481</v>
      </c>
      <c r="P171" s="9">
        <f t="shared" ca="1" si="26"/>
        <v>3</v>
      </c>
      <c r="Q171" s="19">
        <f t="shared" ca="1" si="27"/>
        <v>26.262916196525595</v>
      </c>
      <c r="R171" s="10">
        <f t="shared" ca="1" si="28"/>
        <v>2.0075146530245251</v>
      </c>
      <c r="S171" s="9">
        <f t="shared" ca="1" si="29"/>
        <v>2</v>
      </c>
      <c r="T171" s="9" t="str">
        <f t="shared" ca="1" si="30"/>
        <v>sí</v>
      </c>
    </row>
    <row r="172" spans="12:20" x14ac:dyDescent="0.45">
      <c r="L172" s="9">
        <v>168</v>
      </c>
      <c r="M172" s="9">
        <f t="shared" ca="1" si="23"/>
        <v>1</v>
      </c>
      <c r="N172" s="9" t="str">
        <f t="shared" ca="1" si="24"/>
        <v>NMT749</v>
      </c>
      <c r="O172" s="11">
        <f t="shared" ca="1" si="25"/>
        <v>0.90967592267029129</v>
      </c>
      <c r="P172" s="9">
        <f t="shared" ca="1" si="26"/>
        <v>1</v>
      </c>
      <c r="Q172" s="19">
        <f t="shared" ca="1" si="27"/>
        <v>41.888893692405119</v>
      </c>
      <c r="R172" s="10">
        <f t="shared" ca="1" si="28"/>
        <v>-4.8589499838380252</v>
      </c>
      <c r="S172" s="9">
        <f t="shared" ca="1" si="29"/>
        <v>1</v>
      </c>
      <c r="T172" s="9" t="str">
        <f t="shared" ca="1" si="30"/>
        <v>sí</v>
      </c>
    </row>
    <row r="173" spans="12:20" x14ac:dyDescent="0.45">
      <c r="L173" s="9">
        <v>169</v>
      </c>
      <c r="M173" s="9">
        <f t="shared" ca="1" si="23"/>
        <v>2</v>
      </c>
      <c r="N173" s="9" t="str">
        <f t="shared" ca="1" si="24"/>
        <v>TZT751</v>
      </c>
      <c r="O173" s="11">
        <f t="shared" ca="1" si="25"/>
        <v>0.95797790068412403</v>
      </c>
      <c r="P173" s="9">
        <f t="shared" ca="1" si="26"/>
        <v>1</v>
      </c>
      <c r="Q173" s="19">
        <f t="shared" ca="1" si="27"/>
        <v>43.726583099668119</v>
      </c>
      <c r="R173" s="10">
        <f t="shared" ca="1" si="28"/>
        <v>1.145694932893089</v>
      </c>
      <c r="S173" s="9">
        <f t="shared" ca="1" si="29"/>
        <v>1</v>
      </c>
      <c r="T173" s="9" t="str">
        <f t="shared" ca="1" si="30"/>
        <v>sí</v>
      </c>
    </row>
    <row r="174" spans="12:20" x14ac:dyDescent="0.45">
      <c r="L174" s="9">
        <v>170</v>
      </c>
      <c r="M174" s="9">
        <f t="shared" ca="1" si="23"/>
        <v>2</v>
      </c>
      <c r="N174" s="9" t="str">
        <f t="shared" ca="1" si="24"/>
        <v>SLF041</v>
      </c>
      <c r="O174" s="11">
        <f t="shared" ca="1" si="25"/>
        <v>0.92284500228346422</v>
      </c>
      <c r="P174" s="9">
        <f t="shared" ca="1" si="26"/>
        <v>2</v>
      </c>
      <c r="Q174" s="19">
        <f t="shared" ca="1" si="27"/>
        <v>20.623369185269215</v>
      </c>
      <c r="R174" s="10">
        <f t="shared" ca="1" si="28"/>
        <v>1.130158459542524</v>
      </c>
      <c r="S174" s="9">
        <f t="shared" ca="1" si="29"/>
        <v>1</v>
      </c>
      <c r="T174" s="9" t="str">
        <f t="shared" ca="1" si="30"/>
        <v>sí</v>
      </c>
    </row>
    <row r="175" spans="12:20" x14ac:dyDescent="0.45">
      <c r="L175" s="9">
        <v>171</v>
      </c>
      <c r="M175" s="9">
        <f t="shared" ca="1" si="23"/>
        <v>1</v>
      </c>
      <c r="N175" s="9" t="str">
        <f t="shared" ca="1" si="24"/>
        <v>AIJ997</v>
      </c>
      <c r="O175" s="11">
        <f t="shared" ca="1" si="25"/>
        <v>0.89753166439606047</v>
      </c>
      <c r="P175" s="9">
        <f t="shared" ca="1" si="26"/>
        <v>1</v>
      </c>
      <c r="Q175" s="19">
        <f t="shared" ca="1" si="27"/>
        <v>22.709329824510483</v>
      </c>
      <c r="R175" s="10">
        <f t="shared" ca="1" si="28"/>
        <v>-3.0893291228642004</v>
      </c>
      <c r="S175" s="9">
        <f t="shared" ca="1" si="29"/>
        <v>1</v>
      </c>
      <c r="T175" s="9" t="str">
        <f t="shared" ca="1" si="30"/>
        <v>sí</v>
      </c>
    </row>
    <row r="176" spans="12:20" x14ac:dyDescent="0.45">
      <c r="L176" s="9">
        <v>172</v>
      </c>
      <c r="M176" s="9">
        <f t="shared" ca="1" si="23"/>
        <v>3</v>
      </c>
      <c r="N176" s="9" t="str">
        <f t="shared" ca="1" si="24"/>
        <v>PDU933</v>
      </c>
      <c r="O176" s="11">
        <f t="shared" ca="1" si="25"/>
        <v>0.73702671916415607</v>
      </c>
      <c r="P176" s="9">
        <f t="shared" ca="1" si="26"/>
        <v>1</v>
      </c>
      <c r="Q176" s="19">
        <f t="shared" ca="1" si="27"/>
        <v>22.066500010403704</v>
      </c>
      <c r="R176" s="10">
        <f t="shared" ca="1" si="28"/>
        <v>-4.2270229568633422</v>
      </c>
      <c r="S176" s="9">
        <f t="shared" ca="1" si="29"/>
        <v>1</v>
      </c>
      <c r="T176" s="9" t="str">
        <f t="shared" ca="1" si="30"/>
        <v>no</v>
      </c>
    </row>
    <row r="177" spans="12:20" x14ac:dyDescent="0.45">
      <c r="L177" s="9">
        <v>173</v>
      </c>
      <c r="M177" s="9">
        <f t="shared" ca="1" si="23"/>
        <v>1</v>
      </c>
      <c r="N177" s="9" t="str">
        <f t="shared" ca="1" si="24"/>
        <v>KQZ622</v>
      </c>
      <c r="O177" s="11">
        <f t="shared" ca="1" si="25"/>
        <v>0.9083196775456871</v>
      </c>
      <c r="P177" s="9">
        <f t="shared" ca="1" si="26"/>
        <v>2</v>
      </c>
      <c r="Q177" s="19">
        <f t="shared" ca="1" si="27"/>
        <v>21.790691639517568</v>
      </c>
      <c r="R177" s="10">
        <f t="shared" ca="1" si="28"/>
        <v>1.7226980212821705</v>
      </c>
      <c r="S177" s="9">
        <f t="shared" ca="1" si="29"/>
        <v>1</v>
      </c>
      <c r="T177" s="9" t="str">
        <f t="shared" ca="1" si="30"/>
        <v>sí</v>
      </c>
    </row>
    <row r="178" spans="12:20" x14ac:dyDescent="0.45">
      <c r="L178" s="9">
        <v>174</v>
      </c>
      <c r="M178" s="9">
        <f t="shared" ca="1" si="23"/>
        <v>5</v>
      </c>
      <c r="N178" s="9" t="str">
        <f t="shared" ca="1" si="24"/>
        <v>BZZ010</v>
      </c>
      <c r="O178" s="11">
        <f t="shared" ca="1" si="25"/>
        <v>0.98234271981381382</v>
      </c>
      <c r="P178" s="9">
        <f t="shared" ca="1" si="26"/>
        <v>1</v>
      </c>
      <c r="Q178" s="19">
        <f t="shared" ca="1" si="27"/>
        <v>29.088863879262043</v>
      </c>
      <c r="R178" s="10">
        <f t="shared" ca="1" si="28"/>
        <v>-0.53056841105810737</v>
      </c>
      <c r="S178" s="9">
        <f t="shared" ca="1" si="29"/>
        <v>2</v>
      </c>
      <c r="T178" s="9" t="str">
        <f t="shared" ca="1" si="30"/>
        <v>sí</v>
      </c>
    </row>
    <row r="179" spans="12:20" x14ac:dyDescent="0.45">
      <c r="L179" s="9">
        <v>175</v>
      </c>
      <c r="M179" s="9">
        <f t="shared" ca="1" si="23"/>
        <v>5</v>
      </c>
      <c r="N179" s="9" t="str">
        <f t="shared" ca="1" si="24"/>
        <v>KYP764</v>
      </c>
      <c r="O179" s="11">
        <f t="shared" ca="1" si="25"/>
        <v>0.97339645701497712</v>
      </c>
      <c r="P179" s="9">
        <f t="shared" ca="1" si="26"/>
        <v>1</v>
      </c>
      <c r="Q179" s="19">
        <f t="shared" ca="1" si="27"/>
        <v>23.027472518557232</v>
      </c>
      <c r="R179" s="10">
        <f t="shared" ca="1" si="28"/>
        <v>3.168540536652757</v>
      </c>
      <c r="S179" s="9">
        <f t="shared" ca="1" si="29"/>
        <v>1</v>
      </c>
      <c r="T179" s="9" t="str">
        <f t="shared" ca="1" si="30"/>
        <v>sí</v>
      </c>
    </row>
    <row r="180" spans="12:20" x14ac:dyDescent="0.45">
      <c r="L180" s="9">
        <v>176</v>
      </c>
      <c r="M180" s="9">
        <f t="shared" ca="1" si="23"/>
        <v>6</v>
      </c>
      <c r="N180" s="9" t="str">
        <f t="shared" ca="1" si="24"/>
        <v>NWG583</v>
      </c>
      <c r="O180" s="11">
        <f t="shared" ca="1" si="25"/>
        <v>0.87698382376337636</v>
      </c>
      <c r="P180" s="9">
        <f t="shared" ca="1" si="26"/>
        <v>2</v>
      </c>
      <c r="Q180" s="19">
        <f t="shared" ca="1" si="27"/>
        <v>34.085207779181744</v>
      </c>
      <c r="R180" s="10">
        <f t="shared" ca="1" si="28"/>
        <v>-1.9101987200029575</v>
      </c>
      <c r="S180" s="9">
        <f t="shared" ca="1" si="29"/>
        <v>1</v>
      </c>
      <c r="T180" s="9" t="str">
        <f t="shared" ca="1" si="30"/>
        <v>sí</v>
      </c>
    </row>
    <row r="181" spans="12:20" x14ac:dyDescent="0.45">
      <c r="L181" s="9">
        <v>177</v>
      </c>
      <c r="M181" s="9">
        <f t="shared" ca="1" si="23"/>
        <v>4</v>
      </c>
      <c r="N181" s="9" t="str">
        <f t="shared" ca="1" si="24"/>
        <v>RPH287</v>
      </c>
      <c r="O181" s="11">
        <f t="shared" ca="1" si="25"/>
        <v>0.89315490507649908</v>
      </c>
      <c r="P181" s="9">
        <f t="shared" ca="1" si="26"/>
        <v>1</v>
      </c>
      <c r="Q181" s="19">
        <f t="shared" ca="1" si="27"/>
        <v>27.960473314469649</v>
      </c>
      <c r="R181" s="10">
        <f t="shared" ca="1" si="28"/>
        <v>-2.5510525126575727</v>
      </c>
      <c r="S181" s="9">
        <f t="shared" ca="1" si="29"/>
        <v>1</v>
      </c>
      <c r="T181" s="9" t="str">
        <f t="shared" ca="1" si="30"/>
        <v>sí</v>
      </c>
    </row>
    <row r="182" spans="12:20" x14ac:dyDescent="0.45">
      <c r="L182" s="9">
        <v>178</v>
      </c>
      <c r="M182" s="9">
        <f t="shared" ca="1" si="23"/>
        <v>3</v>
      </c>
      <c r="N182" s="9" t="str">
        <f t="shared" ca="1" si="24"/>
        <v>CJY684</v>
      </c>
      <c r="O182" s="11">
        <f t="shared" ca="1" si="25"/>
        <v>0.96918282373680908</v>
      </c>
      <c r="P182" s="9">
        <f t="shared" ca="1" si="26"/>
        <v>2</v>
      </c>
      <c r="Q182" s="19">
        <f t="shared" ca="1" si="27"/>
        <v>27.793663425771001</v>
      </c>
      <c r="R182" s="10">
        <f t="shared" ca="1" si="28"/>
        <v>1.3886520843024095</v>
      </c>
      <c r="S182" s="9">
        <f t="shared" ca="1" si="29"/>
        <v>1</v>
      </c>
      <c r="T182" s="9" t="str">
        <f t="shared" ca="1" si="30"/>
        <v>sí</v>
      </c>
    </row>
    <row r="183" spans="12:20" x14ac:dyDescent="0.45">
      <c r="L183" s="9">
        <v>179</v>
      </c>
      <c r="M183" s="9">
        <f t="shared" ca="1" si="23"/>
        <v>3</v>
      </c>
      <c r="N183" s="9" t="str">
        <f t="shared" ca="1" si="24"/>
        <v>JQX122</v>
      </c>
      <c r="O183" s="11">
        <f t="shared" ca="1" si="25"/>
        <v>0.82968758994217184</v>
      </c>
      <c r="P183" s="9">
        <f t="shared" ca="1" si="26"/>
        <v>2</v>
      </c>
      <c r="Q183" s="19">
        <f t="shared" ca="1" si="27"/>
        <v>32.672073896695174</v>
      </c>
      <c r="R183" s="10">
        <f t="shared" ca="1" si="28"/>
        <v>0.26830748650894082</v>
      </c>
      <c r="S183" s="9">
        <f t="shared" ca="1" si="29"/>
        <v>1</v>
      </c>
      <c r="T183" s="9" t="str">
        <f t="shared" ca="1" si="30"/>
        <v>sí</v>
      </c>
    </row>
    <row r="184" spans="12:20" x14ac:dyDescent="0.45">
      <c r="L184" s="9">
        <v>180</v>
      </c>
      <c r="M184" s="9">
        <f t="shared" ca="1" si="23"/>
        <v>2</v>
      </c>
      <c r="N184" s="9" t="str">
        <f t="shared" ca="1" si="24"/>
        <v>HWM540</v>
      </c>
      <c r="O184" s="11">
        <f t="shared" ca="1" si="25"/>
        <v>0.9147189778666156</v>
      </c>
      <c r="P184" s="9">
        <f t="shared" ca="1" si="26"/>
        <v>1</v>
      </c>
      <c r="Q184" s="19">
        <f t="shared" ca="1" si="27"/>
        <v>32.866777653757588</v>
      </c>
      <c r="R184" s="10">
        <f t="shared" ca="1" si="28"/>
        <v>4.4881692699066722</v>
      </c>
      <c r="S184" s="9">
        <f t="shared" ca="1" si="29"/>
        <v>1</v>
      </c>
      <c r="T184" s="9" t="str">
        <f t="shared" ca="1" si="30"/>
        <v>sí</v>
      </c>
    </row>
    <row r="185" spans="12:20" x14ac:dyDescent="0.45">
      <c r="L185" s="9">
        <v>181</v>
      </c>
      <c r="M185" s="9">
        <f t="shared" ca="1" si="23"/>
        <v>2</v>
      </c>
      <c r="N185" s="9" t="str">
        <f t="shared" ca="1" si="24"/>
        <v>PZN154</v>
      </c>
      <c r="O185" s="11">
        <f t="shared" ca="1" si="25"/>
        <v>0.97815492673803206</v>
      </c>
      <c r="P185" s="9">
        <f t="shared" ca="1" si="26"/>
        <v>1</v>
      </c>
      <c r="Q185" s="19">
        <f t="shared" ca="1" si="27"/>
        <v>29.07527876406461</v>
      </c>
      <c r="R185" s="10">
        <f t="shared" ca="1" si="28"/>
        <v>6.2088466219323291</v>
      </c>
      <c r="S185" s="9">
        <f t="shared" ca="1" si="29"/>
        <v>1</v>
      </c>
      <c r="T185" s="9" t="str">
        <f t="shared" ca="1" si="30"/>
        <v>sí</v>
      </c>
    </row>
    <row r="186" spans="12:20" x14ac:dyDescent="0.45">
      <c r="L186" s="9">
        <v>182</v>
      </c>
      <c r="M186" s="9">
        <f t="shared" ca="1" si="23"/>
        <v>5</v>
      </c>
      <c r="N186" s="9" t="str">
        <f t="shared" ca="1" si="24"/>
        <v>ZJN881</v>
      </c>
      <c r="O186" s="11">
        <f t="shared" ca="1" si="25"/>
        <v>0.80453401991948914</v>
      </c>
      <c r="P186" s="9">
        <f t="shared" ca="1" si="26"/>
        <v>1</v>
      </c>
      <c r="Q186" s="19">
        <f t="shared" ca="1" si="27"/>
        <v>43.406343616751307</v>
      </c>
      <c r="R186" s="10">
        <f t="shared" ca="1" si="28"/>
        <v>-2.9655633502595871</v>
      </c>
      <c r="S186" s="9">
        <f t="shared" ca="1" si="29"/>
        <v>2</v>
      </c>
      <c r="T186" s="9" t="str">
        <f t="shared" ca="1" si="30"/>
        <v>sí</v>
      </c>
    </row>
    <row r="187" spans="12:20" x14ac:dyDescent="0.45">
      <c r="L187" s="9">
        <v>183</v>
      </c>
      <c r="M187" s="9">
        <f t="shared" ca="1" si="23"/>
        <v>4</v>
      </c>
      <c r="N187" s="9" t="str">
        <f t="shared" ca="1" si="24"/>
        <v>WFP567</v>
      </c>
      <c r="O187" s="11">
        <f t="shared" ca="1" si="25"/>
        <v>0.91649141900087416</v>
      </c>
      <c r="P187" s="9">
        <f t="shared" ca="1" si="26"/>
        <v>1</v>
      </c>
      <c r="Q187" s="19">
        <f t="shared" ca="1" si="27"/>
        <v>48.570255001613624</v>
      </c>
      <c r="R187" s="10">
        <f t="shared" ca="1" si="28"/>
        <v>5.8428086975034645</v>
      </c>
      <c r="S187" s="9">
        <f t="shared" ca="1" si="29"/>
        <v>2</v>
      </c>
      <c r="T187" s="9" t="str">
        <f t="shared" ca="1" si="30"/>
        <v>sí</v>
      </c>
    </row>
    <row r="188" spans="12:20" x14ac:dyDescent="0.45">
      <c r="L188" s="9">
        <v>184</v>
      </c>
      <c r="M188" s="9">
        <f t="shared" ca="1" si="23"/>
        <v>1</v>
      </c>
      <c r="N188" s="9" t="str">
        <f t="shared" ca="1" si="24"/>
        <v>UYN447</v>
      </c>
      <c r="O188" s="11">
        <f t="shared" ca="1" si="25"/>
        <v>0.98174981165913988</v>
      </c>
      <c r="P188" s="9">
        <f t="shared" ca="1" si="26"/>
        <v>1</v>
      </c>
      <c r="Q188" s="19">
        <f t="shared" ca="1" si="27"/>
        <v>21.598840662068074</v>
      </c>
      <c r="R188" s="10">
        <f t="shared" ca="1" si="28"/>
        <v>0.37353985263930739</v>
      </c>
      <c r="S188" s="9">
        <f t="shared" ca="1" si="29"/>
        <v>3</v>
      </c>
      <c r="T188" s="9" t="str">
        <f t="shared" ca="1" si="30"/>
        <v>sí</v>
      </c>
    </row>
    <row r="189" spans="12:20" x14ac:dyDescent="0.45">
      <c r="L189" s="9">
        <v>185</v>
      </c>
      <c r="M189" s="9">
        <f t="shared" ca="1" si="23"/>
        <v>5</v>
      </c>
      <c r="N189" s="9" t="str">
        <f t="shared" ca="1" si="24"/>
        <v>FKD945</v>
      </c>
      <c r="O189" s="11">
        <f t="shared" ca="1" si="25"/>
        <v>0.90093704406034092</v>
      </c>
      <c r="P189" s="9">
        <f t="shared" ca="1" si="26"/>
        <v>1</v>
      </c>
      <c r="Q189" s="19">
        <f t="shared" ca="1" si="27"/>
        <v>25.659551273479401</v>
      </c>
      <c r="R189" s="10">
        <f t="shared" ca="1" si="28"/>
        <v>-1.0864215334312421</v>
      </c>
      <c r="S189" s="9">
        <f t="shared" ca="1" si="29"/>
        <v>2</v>
      </c>
      <c r="T189" s="9" t="str">
        <f t="shared" ca="1" si="30"/>
        <v>sí</v>
      </c>
    </row>
    <row r="190" spans="12:20" x14ac:dyDescent="0.45">
      <c r="L190" s="9">
        <v>186</v>
      </c>
      <c r="M190" s="9">
        <f t="shared" ca="1" si="23"/>
        <v>3</v>
      </c>
      <c r="N190" s="9" t="str">
        <f t="shared" ca="1" si="24"/>
        <v>UGI702</v>
      </c>
      <c r="O190" s="11">
        <f t="shared" ca="1" si="25"/>
        <v>0.95793271096577626</v>
      </c>
      <c r="P190" s="9">
        <f t="shared" ca="1" si="26"/>
        <v>2</v>
      </c>
      <c r="Q190" s="19">
        <f t="shared" ca="1" si="27"/>
        <v>27.795858696731557</v>
      </c>
      <c r="R190" s="10">
        <f t="shared" ca="1" si="28"/>
        <v>0.24073314766346895</v>
      </c>
      <c r="S190" s="9">
        <f t="shared" ca="1" si="29"/>
        <v>3</v>
      </c>
      <c r="T190" s="9" t="str">
        <f t="shared" ca="1" si="30"/>
        <v>sí</v>
      </c>
    </row>
    <row r="191" spans="12:20" x14ac:dyDescent="0.45">
      <c r="L191" s="9">
        <v>187</v>
      </c>
      <c r="M191" s="9">
        <f t="shared" ca="1" si="23"/>
        <v>4</v>
      </c>
      <c r="N191" s="9" t="str">
        <f t="shared" ca="1" si="24"/>
        <v>EJV370</v>
      </c>
      <c r="O191" s="11">
        <f t="shared" ca="1" si="25"/>
        <v>0.92080715301970628</v>
      </c>
      <c r="P191" s="9">
        <f t="shared" ca="1" si="26"/>
        <v>2</v>
      </c>
      <c r="Q191" s="19">
        <f t="shared" ca="1" si="27"/>
        <v>31.908568154211594</v>
      </c>
      <c r="R191" s="10">
        <f t="shared" ca="1" si="28"/>
        <v>5.1198631420912299</v>
      </c>
      <c r="S191" s="9">
        <f t="shared" ca="1" si="29"/>
        <v>3</v>
      </c>
      <c r="T191" s="9" t="str">
        <f t="shared" ca="1" si="30"/>
        <v>sí</v>
      </c>
    </row>
    <row r="192" spans="12:20" x14ac:dyDescent="0.45">
      <c r="L192" s="9">
        <v>188</v>
      </c>
      <c r="M192" s="9">
        <f t="shared" ca="1" si="23"/>
        <v>3</v>
      </c>
      <c r="N192" s="9" t="str">
        <f t="shared" ca="1" si="24"/>
        <v>DBV861</v>
      </c>
      <c r="O192" s="11">
        <f t="shared" ca="1" si="25"/>
        <v>0.94117219053745993</v>
      </c>
      <c r="P192" s="9">
        <f t="shared" ca="1" si="26"/>
        <v>1</v>
      </c>
      <c r="Q192" s="19">
        <f t="shared" ca="1" si="27"/>
        <v>32.203559544192878</v>
      </c>
      <c r="R192" s="10">
        <f t="shared" ca="1" si="28"/>
        <v>0.24693991285848405</v>
      </c>
      <c r="S192" s="9">
        <f t="shared" ca="1" si="29"/>
        <v>1</v>
      </c>
      <c r="T192" s="9" t="str">
        <f t="shared" ca="1" si="30"/>
        <v>sí</v>
      </c>
    </row>
    <row r="193" spans="12:20" x14ac:dyDescent="0.45">
      <c r="L193" s="9">
        <v>189</v>
      </c>
      <c r="M193" s="9">
        <f t="shared" ca="1" si="23"/>
        <v>4</v>
      </c>
      <c r="N193" s="9" t="str">
        <f t="shared" ca="1" si="24"/>
        <v>FHV612</v>
      </c>
      <c r="O193" s="11">
        <f t="shared" ca="1" si="25"/>
        <v>0.78706482621396401</v>
      </c>
      <c r="P193" s="9">
        <f t="shared" ca="1" si="26"/>
        <v>2</v>
      </c>
      <c r="Q193" s="19">
        <f t="shared" ca="1" si="27"/>
        <v>48.557485430484817</v>
      </c>
      <c r="R193" s="10">
        <f t="shared" ca="1" si="28"/>
        <v>0.21623189965142278</v>
      </c>
      <c r="S193" s="9">
        <f t="shared" ca="1" si="29"/>
        <v>1</v>
      </c>
      <c r="T193" s="9" t="str">
        <f t="shared" ca="1" si="30"/>
        <v>no</v>
      </c>
    </row>
    <row r="194" spans="12:20" x14ac:dyDescent="0.45">
      <c r="L194" s="9">
        <v>190</v>
      </c>
      <c r="M194" s="9">
        <f t="shared" ca="1" si="23"/>
        <v>1</v>
      </c>
      <c r="N194" s="9" t="str">
        <f t="shared" ca="1" si="24"/>
        <v>TBZ355</v>
      </c>
      <c r="O194" s="11">
        <f t="shared" ca="1" si="25"/>
        <v>0.91565528547142294</v>
      </c>
      <c r="P194" s="9">
        <f t="shared" ca="1" si="26"/>
        <v>2</v>
      </c>
      <c r="Q194" s="19">
        <f t="shared" ca="1" si="27"/>
        <v>26.727039675338016</v>
      </c>
      <c r="R194" s="10">
        <f t="shared" ca="1" si="28"/>
        <v>-0.68742828928547195</v>
      </c>
      <c r="S194" s="9">
        <f t="shared" ca="1" si="29"/>
        <v>1</v>
      </c>
      <c r="T194" s="9" t="str">
        <f t="shared" ca="1" si="30"/>
        <v>sí</v>
      </c>
    </row>
    <row r="195" spans="12:20" x14ac:dyDescent="0.45">
      <c r="L195" s="9">
        <v>191</v>
      </c>
      <c r="M195" s="9">
        <f t="shared" ca="1" si="23"/>
        <v>2</v>
      </c>
      <c r="N195" s="9" t="str">
        <f t="shared" ca="1" si="24"/>
        <v>PWD312</v>
      </c>
      <c r="O195" s="11">
        <f t="shared" ca="1" si="25"/>
        <v>0.9779640724096168</v>
      </c>
      <c r="P195" s="9">
        <f t="shared" ca="1" si="26"/>
        <v>1</v>
      </c>
      <c r="Q195" s="19">
        <f t="shared" ca="1" si="27"/>
        <v>29.237163714580639</v>
      </c>
      <c r="R195" s="10">
        <f t="shared" ca="1" si="28"/>
        <v>-1.8155636062779901</v>
      </c>
      <c r="S195" s="9">
        <f t="shared" ca="1" si="29"/>
        <v>1</v>
      </c>
      <c r="T195" s="9" t="str">
        <f t="shared" ca="1" si="30"/>
        <v>sí</v>
      </c>
    </row>
    <row r="196" spans="12:20" x14ac:dyDescent="0.45">
      <c r="L196" s="9">
        <v>192</v>
      </c>
      <c r="M196" s="9">
        <f t="shared" ca="1" si="23"/>
        <v>5</v>
      </c>
      <c r="N196" s="9" t="str">
        <f t="shared" ca="1" si="24"/>
        <v>IPX077</v>
      </c>
      <c r="O196" s="11">
        <f t="shared" ca="1" si="25"/>
        <v>0.84070362888172645</v>
      </c>
      <c r="P196" s="9">
        <f t="shared" ca="1" si="26"/>
        <v>2</v>
      </c>
      <c r="Q196" s="19">
        <f t="shared" ca="1" si="27"/>
        <v>27.093634029241809</v>
      </c>
      <c r="R196" s="10">
        <f t="shared" ca="1" si="28"/>
        <v>2.1438783283208895</v>
      </c>
      <c r="S196" s="9">
        <f t="shared" ca="1" si="29"/>
        <v>1</v>
      </c>
      <c r="T196" s="9" t="str">
        <f t="shared" ca="1" si="30"/>
        <v>sí</v>
      </c>
    </row>
    <row r="197" spans="12:20" x14ac:dyDescent="0.45">
      <c r="L197" s="9">
        <v>193</v>
      </c>
      <c r="M197" s="9">
        <f t="shared" ref="M197:M244" ca="1" si="31">INDEX($V$5:$V$45,MATCH(RAND(),$W$5:$W$45,1))</f>
        <v>3</v>
      </c>
      <c r="N197" s="9" t="str">
        <f t="shared" ref="N197:N260" ca="1" si="32">CHAR(65+INT(RAND()*26))&amp;CHAR(65+INT(RAND()*26))&amp;CHAR(65+INT(RAND()*26))&amp;TEXT(INT(RAND()*1000),"000")</f>
        <v>KOO355</v>
      </c>
      <c r="O197" s="11">
        <f t="shared" ref="O197:O260" ca="1" si="33">_xlfn.BETA.INV(RAND(),$C$10,$C$11)</f>
        <v>0.95367003228793157</v>
      </c>
      <c r="P197" s="9">
        <f t="shared" ref="P197:P260" ca="1" si="34">MAX(1,ROUNDUP(LN(1-RAND())/LN(1-$C$13),0))</f>
        <v>1</v>
      </c>
      <c r="Q197" s="19">
        <f t="shared" ref="Q197:Q260" ca="1" si="35">_xlfn.LOGNORM.INV(RAND(),LN($C$14),$C$15)</f>
        <v>14.688678027499298</v>
      </c>
      <c r="R197" s="10">
        <f t="shared" ref="R197:R260" ca="1" si="36">_xlfn.NORM.INV(RAND(),0,$C$16)</f>
        <v>-4.6820848655770417</v>
      </c>
      <c r="S197" s="9">
        <f t="shared" ref="S197:S260" ca="1" si="37">INDEX($V$6:$V$45,MATCH(RAND(),$X$6:$X$45,1))</f>
        <v>2</v>
      </c>
      <c r="T197" s="9" t="str">
        <f t="shared" ref="T197:T260" ca="1" si="38">IF(AND(O197&gt;=$C$12,P197&lt;=5),"sí","no")</f>
        <v>sí</v>
      </c>
    </row>
    <row r="198" spans="12:20" x14ac:dyDescent="0.45">
      <c r="L198" s="9">
        <v>194</v>
      </c>
      <c r="M198" s="9">
        <f t="shared" ca="1" si="31"/>
        <v>2</v>
      </c>
      <c r="N198" s="9" t="str">
        <f t="shared" ca="1" si="32"/>
        <v>QEF499</v>
      </c>
      <c r="O198" s="11">
        <f t="shared" ca="1" si="33"/>
        <v>0.8641236320284853</v>
      </c>
      <c r="P198" s="9">
        <f t="shared" ca="1" si="34"/>
        <v>1</v>
      </c>
      <c r="Q198" s="19">
        <f t="shared" ca="1" si="35"/>
        <v>40.786333824255955</v>
      </c>
      <c r="R198" s="10">
        <f t="shared" ca="1" si="36"/>
        <v>-2.9222282197374891</v>
      </c>
      <c r="S198" s="9">
        <f t="shared" ca="1" si="37"/>
        <v>1</v>
      </c>
      <c r="T198" s="9" t="str">
        <f t="shared" ca="1" si="38"/>
        <v>sí</v>
      </c>
    </row>
    <row r="199" spans="12:20" x14ac:dyDescent="0.45">
      <c r="L199" s="9">
        <v>195</v>
      </c>
      <c r="M199" s="9">
        <f t="shared" ca="1" si="31"/>
        <v>3</v>
      </c>
      <c r="N199" s="9" t="str">
        <f t="shared" ca="1" si="32"/>
        <v>NMK707</v>
      </c>
      <c r="O199" s="11">
        <f t="shared" ca="1" si="33"/>
        <v>0.95164966491218561</v>
      </c>
      <c r="P199" s="9">
        <f t="shared" ca="1" si="34"/>
        <v>3</v>
      </c>
      <c r="Q199" s="19">
        <f t="shared" ca="1" si="35"/>
        <v>21.727346010121945</v>
      </c>
      <c r="R199" s="10">
        <f t="shared" ca="1" si="36"/>
        <v>-2.9718522421547715</v>
      </c>
      <c r="S199" s="9">
        <f t="shared" ca="1" si="37"/>
        <v>1</v>
      </c>
      <c r="T199" s="9" t="str">
        <f t="shared" ca="1" si="38"/>
        <v>sí</v>
      </c>
    </row>
    <row r="200" spans="12:20" x14ac:dyDescent="0.45">
      <c r="L200" s="9">
        <v>196</v>
      </c>
      <c r="M200" s="9">
        <f t="shared" ca="1" si="31"/>
        <v>7</v>
      </c>
      <c r="N200" s="9" t="str">
        <f t="shared" ca="1" si="32"/>
        <v>HUV836</v>
      </c>
      <c r="O200" s="11">
        <f t="shared" ca="1" si="33"/>
        <v>0.85006902958496267</v>
      </c>
      <c r="P200" s="9">
        <f t="shared" ca="1" si="34"/>
        <v>1</v>
      </c>
      <c r="Q200" s="19">
        <f t="shared" ca="1" si="35"/>
        <v>31.360042339729802</v>
      </c>
      <c r="R200" s="10">
        <f t="shared" ca="1" si="36"/>
        <v>2.3072263609999646</v>
      </c>
      <c r="S200" s="9">
        <f t="shared" ca="1" si="37"/>
        <v>2</v>
      </c>
      <c r="T200" s="9" t="str">
        <f t="shared" ca="1" si="38"/>
        <v>sí</v>
      </c>
    </row>
    <row r="201" spans="12:20" x14ac:dyDescent="0.45">
      <c r="L201" s="9">
        <v>197</v>
      </c>
      <c r="M201" s="9">
        <f t="shared" ca="1" si="31"/>
        <v>2</v>
      </c>
      <c r="N201" s="9" t="str">
        <f t="shared" ca="1" si="32"/>
        <v>VDX101</v>
      </c>
      <c r="O201" s="11">
        <f t="shared" ca="1" si="33"/>
        <v>0.97144173657901645</v>
      </c>
      <c r="P201" s="9">
        <f t="shared" ca="1" si="34"/>
        <v>1</v>
      </c>
      <c r="Q201" s="19">
        <f t="shared" ca="1" si="35"/>
        <v>45.605629415178328</v>
      </c>
      <c r="R201" s="10">
        <f t="shared" ca="1" si="36"/>
        <v>0.68744105600518901</v>
      </c>
      <c r="S201" s="9">
        <f t="shared" ca="1" si="37"/>
        <v>1</v>
      </c>
      <c r="T201" s="9" t="str">
        <f t="shared" ca="1" si="38"/>
        <v>sí</v>
      </c>
    </row>
    <row r="202" spans="12:20" x14ac:dyDescent="0.45">
      <c r="L202" s="9">
        <v>198</v>
      </c>
      <c r="M202" s="9">
        <f t="shared" ca="1" si="31"/>
        <v>7</v>
      </c>
      <c r="N202" s="9" t="str">
        <f t="shared" ca="1" si="32"/>
        <v>DYM285</v>
      </c>
      <c r="O202" s="11">
        <f t="shared" ca="1" si="33"/>
        <v>0.91400878289005205</v>
      </c>
      <c r="P202" s="9">
        <f t="shared" ca="1" si="34"/>
        <v>1</v>
      </c>
      <c r="Q202" s="19">
        <f t="shared" ca="1" si="35"/>
        <v>27.776221888068594</v>
      </c>
      <c r="R202" s="10">
        <f t="shared" ca="1" si="36"/>
        <v>-0.97559332387826536</v>
      </c>
      <c r="S202" s="9">
        <f t="shared" ca="1" si="37"/>
        <v>4</v>
      </c>
      <c r="T202" s="9" t="str">
        <f t="shared" ca="1" si="38"/>
        <v>sí</v>
      </c>
    </row>
    <row r="203" spans="12:20" x14ac:dyDescent="0.45">
      <c r="L203" s="9">
        <v>199</v>
      </c>
      <c r="M203" s="9">
        <f t="shared" ca="1" si="31"/>
        <v>2</v>
      </c>
      <c r="N203" s="9" t="str">
        <f t="shared" ca="1" si="32"/>
        <v>YTG793</v>
      </c>
      <c r="O203" s="11">
        <f t="shared" ca="1" si="33"/>
        <v>0.9813538577494938</v>
      </c>
      <c r="P203" s="9">
        <f t="shared" ca="1" si="34"/>
        <v>1</v>
      </c>
      <c r="Q203" s="19">
        <f t="shared" ca="1" si="35"/>
        <v>23.690826783902953</v>
      </c>
      <c r="R203" s="10">
        <f t="shared" ca="1" si="36"/>
        <v>-1.227250469186222</v>
      </c>
      <c r="S203" s="9">
        <f t="shared" ca="1" si="37"/>
        <v>3</v>
      </c>
      <c r="T203" s="9" t="str">
        <f t="shared" ca="1" si="38"/>
        <v>sí</v>
      </c>
    </row>
    <row r="204" spans="12:20" x14ac:dyDescent="0.45">
      <c r="L204" s="9">
        <v>200</v>
      </c>
      <c r="M204" s="9">
        <f t="shared" ca="1" si="31"/>
        <v>3</v>
      </c>
      <c r="N204" s="9" t="str">
        <f t="shared" ca="1" si="32"/>
        <v>AYV582</v>
      </c>
      <c r="O204" s="11">
        <f t="shared" ca="1" si="33"/>
        <v>0.91457963453568558</v>
      </c>
      <c r="P204" s="9">
        <f t="shared" ca="1" si="34"/>
        <v>1</v>
      </c>
      <c r="Q204" s="19">
        <f t="shared" ca="1" si="35"/>
        <v>51.109578637961242</v>
      </c>
      <c r="R204" s="10">
        <f t="shared" ca="1" si="36"/>
        <v>-2.5011139636667972</v>
      </c>
      <c r="S204" s="9">
        <f t="shared" ca="1" si="37"/>
        <v>1</v>
      </c>
      <c r="T204" s="9" t="str">
        <f t="shared" ca="1" si="38"/>
        <v>sí</v>
      </c>
    </row>
    <row r="205" spans="12:20" x14ac:dyDescent="0.45">
      <c r="L205" s="9">
        <v>201</v>
      </c>
      <c r="M205" s="9">
        <f t="shared" ca="1" si="31"/>
        <v>4</v>
      </c>
      <c r="N205" s="9" t="str">
        <f t="shared" ca="1" si="32"/>
        <v>YAG180</v>
      </c>
      <c r="O205" s="11">
        <f t="shared" ca="1" si="33"/>
        <v>0.97095732034034132</v>
      </c>
      <c r="P205" s="9">
        <f t="shared" ca="1" si="34"/>
        <v>1</v>
      </c>
      <c r="Q205" s="19">
        <f t="shared" ca="1" si="35"/>
        <v>18.747262662167035</v>
      </c>
      <c r="R205" s="10">
        <f t="shared" ca="1" si="36"/>
        <v>-5.805583690879871</v>
      </c>
      <c r="S205" s="9">
        <f t="shared" ca="1" si="37"/>
        <v>2</v>
      </c>
      <c r="T205" s="9" t="str">
        <f t="shared" ca="1" si="38"/>
        <v>sí</v>
      </c>
    </row>
    <row r="206" spans="12:20" x14ac:dyDescent="0.45">
      <c r="L206" s="9">
        <v>202</v>
      </c>
      <c r="M206" s="9">
        <f t="shared" ca="1" si="31"/>
        <v>1</v>
      </c>
      <c r="N206" s="9" t="str">
        <f t="shared" ca="1" si="32"/>
        <v>LAV067</v>
      </c>
      <c r="O206" s="11">
        <f t="shared" ca="1" si="33"/>
        <v>0.88894911939517463</v>
      </c>
      <c r="P206" s="9">
        <f t="shared" ca="1" si="34"/>
        <v>1</v>
      </c>
      <c r="Q206" s="19">
        <f t="shared" ca="1" si="35"/>
        <v>22.602697594596791</v>
      </c>
      <c r="R206" s="10">
        <f t="shared" ca="1" si="36"/>
        <v>3.2864743103198037</v>
      </c>
      <c r="S206" s="9">
        <f t="shared" ca="1" si="37"/>
        <v>1</v>
      </c>
      <c r="T206" s="9" t="str">
        <f t="shared" ca="1" si="38"/>
        <v>sí</v>
      </c>
    </row>
    <row r="207" spans="12:20" x14ac:dyDescent="0.45">
      <c r="L207" s="9">
        <v>203</v>
      </c>
      <c r="M207" s="9">
        <f t="shared" ca="1" si="31"/>
        <v>2</v>
      </c>
      <c r="N207" s="9" t="str">
        <f t="shared" ca="1" si="32"/>
        <v>LZR671</v>
      </c>
      <c r="O207" s="11">
        <f t="shared" ca="1" si="33"/>
        <v>0.92973786185384499</v>
      </c>
      <c r="P207" s="9">
        <f t="shared" ca="1" si="34"/>
        <v>1</v>
      </c>
      <c r="Q207" s="19">
        <f t="shared" ca="1" si="35"/>
        <v>36.974707822806081</v>
      </c>
      <c r="R207" s="10">
        <f t="shared" ca="1" si="36"/>
        <v>-0.77105005702241525</v>
      </c>
      <c r="S207" s="9">
        <f t="shared" ca="1" si="37"/>
        <v>2</v>
      </c>
      <c r="T207" s="9" t="str">
        <f t="shared" ca="1" si="38"/>
        <v>sí</v>
      </c>
    </row>
    <row r="208" spans="12:20" x14ac:dyDescent="0.45">
      <c r="L208" s="9">
        <v>204</v>
      </c>
      <c r="M208" s="9">
        <f t="shared" ca="1" si="31"/>
        <v>1</v>
      </c>
      <c r="N208" s="9" t="str">
        <f t="shared" ca="1" si="32"/>
        <v>DAD315</v>
      </c>
      <c r="O208" s="11">
        <f t="shared" ca="1" si="33"/>
        <v>0.93824002408133877</v>
      </c>
      <c r="P208" s="9">
        <f t="shared" ca="1" si="34"/>
        <v>1</v>
      </c>
      <c r="Q208" s="19">
        <f t="shared" ca="1" si="35"/>
        <v>31.890428444966204</v>
      </c>
      <c r="R208" s="10">
        <f t="shared" ca="1" si="36"/>
        <v>2.4511713579724024</v>
      </c>
      <c r="S208" s="9">
        <f t="shared" ca="1" si="37"/>
        <v>3</v>
      </c>
      <c r="T208" s="9" t="str">
        <f t="shared" ca="1" si="38"/>
        <v>sí</v>
      </c>
    </row>
    <row r="209" spans="12:20" x14ac:dyDescent="0.45">
      <c r="L209" s="9">
        <v>205</v>
      </c>
      <c r="M209" s="9">
        <f t="shared" ca="1" si="31"/>
        <v>2</v>
      </c>
      <c r="N209" s="9" t="str">
        <f t="shared" ca="1" si="32"/>
        <v>PKQ135</v>
      </c>
      <c r="O209" s="11">
        <f t="shared" ca="1" si="33"/>
        <v>0.82936990187161108</v>
      </c>
      <c r="P209" s="9">
        <f t="shared" ca="1" si="34"/>
        <v>1</v>
      </c>
      <c r="Q209" s="19">
        <f t="shared" ca="1" si="35"/>
        <v>22.677750994185278</v>
      </c>
      <c r="R209" s="10">
        <f t="shared" ca="1" si="36"/>
        <v>-2.4399483586030324</v>
      </c>
      <c r="S209" s="9">
        <f t="shared" ca="1" si="37"/>
        <v>1</v>
      </c>
      <c r="T209" s="9" t="str">
        <f t="shared" ca="1" si="38"/>
        <v>sí</v>
      </c>
    </row>
    <row r="210" spans="12:20" x14ac:dyDescent="0.45">
      <c r="L210" s="9">
        <v>206</v>
      </c>
      <c r="M210" s="9">
        <f t="shared" ca="1" si="31"/>
        <v>5</v>
      </c>
      <c r="N210" s="9" t="str">
        <f t="shared" ca="1" si="32"/>
        <v>GPN641</v>
      </c>
      <c r="O210" s="11">
        <f t="shared" ca="1" si="33"/>
        <v>0.98606339711834834</v>
      </c>
      <c r="P210" s="9">
        <f t="shared" ca="1" si="34"/>
        <v>1</v>
      </c>
      <c r="Q210" s="19">
        <f t="shared" ca="1" si="35"/>
        <v>40.183050213778543</v>
      </c>
      <c r="R210" s="10">
        <f t="shared" ca="1" si="36"/>
        <v>4.9351445759426316</v>
      </c>
      <c r="S210" s="9">
        <f t="shared" ca="1" si="37"/>
        <v>1</v>
      </c>
      <c r="T210" s="9" t="str">
        <f t="shared" ca="1" si="38"/>
        <v>sí</v>
      </c>
    </row>
    <row r="211" spans="12:20" x14ac:dyDescent="0.45">
      <c r="L211" s="9">
        <v>207</v>
      </c>
      <c r="M211" s="9">
        <f t="shared" ca="1" si="31"/>
        <v>3</v>
      </c>
      <c r="N211" s="9" t="str">
        <f t="shared" ca="1" si="32"/>
        <v>ZFW794</v>
      </c>
      <c r="O211" s="11">
        <f t="shared" ca="1" si="33"/>
        <v>0.89741526782090686</v>
      </c>
      <c r="P211" s="9">
        <f t="shared" ca="1" si="34"/>
        <v>1</v>
      </c>
      <c r="Q211" s="19">
        <f t="shared" ca="1" si="35"/>
        <v>32.105862110660212</v>
      </c>
      <c r="R211" s="10">
        <f t="shared" ca="1" si="36"/>
        <v>-4.3646138527236547</v>
      </c>
      <c r="S211" s="9">
        <f t="shared" ca="1" si="37"/>
        <v>1</v>
      </c>
      <c r="T211" s="9" t="str">
        <f t="shared" ca="1" si="38"/>
        <v>sí</v>
      </c>
    </row>
    <row r="212" spans="12:20" x14ac:dyDescent="0.45">
      <c r="L212" s="9">
        <v>208</v>
      </c>
      <c r="M212" s="9">
        <f t="shared" ca="1" si="31"/>
        <v>3</v>
      </c>
      <c r="N212" s="9" t="str">
        <f t="shared" ca="1" si="32"/>
        <v>UTY351</v>
      </c>
      <c r="O212" s="11">
        <f t="shared" ca="1" si="33"/>
        <v>0.89776391215677676</v>
      </c>
      <c r="P212" s="9">
        <f t="shared" ca="1" si="34"/>
        <v>1</v>
      </c>
      <c r="Q212" s="19">
        <f t="shared" ca="1" si="35"/>
        <v>46.718828924515819</v>
      </c>
      <c r="R212" s="10">
        <f t="shared" ca="1" si="36"/>
        <v>3.0968185026531669</v>
      </c>
      <c r="S212" s="9">
        <f t="shared" ca="1" si="37"/>
        <v>2</v>
      </c>
      <c r="T212" s="9" t="str">
        <f t="shared" ca="1" si="38"/>
        <v>sí</v>
      </c>
    </row>
    <row r="213" spans="12:20" x14ac:dyDescent="0.45">
      <c r="L213" s="9">
        <v>209</v>
      </c>
      <c r="M213" s="9">
        <f t="shared" ca="1" si="31"/>
        <v>2</v>
      </c>
      <c r="N213" s="9" t="str">
        <f t="shared" ca="1" si="32"/>
        <v>YGR291</v>
      </c>
      <c r="O213" s="11">
        <f t="shared" ca="1" si="33"/>
        <v>0.95013039363413254</v>
      </c>
      <c r="P213" s="9">
        <f t="shared" ca="1" si="34"/>
        <v>1</v>
      </c>
      <c r="Q213" s="19">
        <f t="shared" ca="1" si="35"/>
        <v>41.47018201874392</v>
      </c>
      <c r="R213" s="10">
        <f t="shared" ca="1" si="36"/>
        <v>-2.6150763555770897</v>
      </c>
      <c r="S213" s="9">
        <f t="shared" ca="1" si="37"/>
        <v>1</v>
      </c>
      <c r="T213" s="9" t="str">
        <f t="shared" ca="1" si="38"/>
        <v>sí</v>
      </c>
    </row>
    <row r="214" spans="12:20" x14ac:dyDescent="0.45">
      <c r="L214" s="9">
        <v>210</v>
      </c>
      <c r="M214" s="9">
        <f t="shared" ca="1" si="31"/>
        <v>2</v>
      </c>
      <c r="N214" s="9" t="str">
        <f t="shared" ca="1" si="32"/>
        <v>EKE324</v>
      </c>
      <c r="O214" s="11">
        <f t="shared" ca="1" si="33"/>
        <v>0.91024419910845711</v>
      </c>
      <c r="P214" s="9">
        <f t="shared" ca="1" si="34"/>
        <v>1</v>
      </c>
      <c r="Q214" s="19">
        <f t="shared" ca="1" si="35"/>
        <v>42.969582157743247</v>
      </c>
      <c r="R214" s="10">
        <f t="shared" ca="1" si="36"/>
        <v>2.4292074509539567</v>
      </c>
      <c r="S214" s="9">
        <f t="shared" ca="1" si="37"/>
        <v>1</v>
      </c>
      <c r="T214" s="9" t="str">
        <f t="shared" ca="1" si="38"/>
        <v>sí</v>
      </c>
    </row>
    <row r="215" spans="12:20" x14ac:dyDescent="0.45">
      <c r="L215" s="9">
        <v>211</v>
      </c>
      <c r="M215" s="9">
        <f t="shared" ca="1" si="31"/>
        <v>5</v>
      </c>
      <c r="N215" s="9" t="str">
        <f t="shared" ca="1" si="32"/>
        <v>JWX452</v>
      </c>
      <c r="O215" s="11">
        <f t="shared" ca="1" si="33"/>
        <v>0.99218576376902301</v>
      </c>
      <c r="P215" s="9">
        <f t="shared" ca="1" si="34"/>
        <v>1</v>
      </c>
      <c r="Q215" s="19">
        <f t="shared" ca="1" si="35"/>
        <v>29.913903117114675</v>
      </c>
      <c r="R215" s="10">
        <f t="shared" ca="1" si="36"/>
        <v>0.18246784884397224</v>
      </c>
      <c r="S215" s="9">
        <f t="shared" ca="1" si="37"/>
        <v>1</v>
      </c>
      <c r="T215" s="9" t="str">
        <f t="shared" ca="1" si="38"/>
        <v>sí</v>
      </c>
    </row>
    <row r="216" spans="12:20" x14ac:dyDescent="0.45">
      <c r="L216" s="9">
        <v>212</v>
      </c>
      <c r="M216" s="9">
        <f t="shared" ca="1" si="31"/>
        <v>2</v>
      </c>
      <c r="N216" s="9" t="str">
        <f t="shared" ca="1" si="32"/>
        <v>DMZ570</v>
      </c>
      <c r="O216" s="11">
        <f t="shared" ca="1" si="33"/>
        <v>0.93437755730100513</v>
      </c>
      <c r="P216" s="9">
        <f t="shared" ca="1" si="34"/>
        <v>1</v>
      </c>
      <c r="Q216" s="19">
        <f t="shared" ca="1" si="35"/>
        <v>18.472610820469846</v>
      </c>
      <c r="R216" s="10">
        <f t="shared" ca="1" si="36"/>
        <v>2.6756735363190893</v>
      </c>
      <c r="S216" s="9">
        <f t="shared" ca="1" si="37"/>
        <v>1</v>
      </c>
      <c r="T216" s="9" t="str">
        <f t="shared" ca="1" si="38"/>
        <v>sí</v>
      </c>
    </row>
    <row r="217" spans="12:20" x14ac:dyDescent="0.45">
      <c r="L217" s="9">
        <v>213</v>
      </c>
      <c r="M217" s="9">
        <f t="shared" ca="1" si="31"/>
        <v>4</v>
      </c>
      <c r="N217" s="9" t="str">
        <f t="shared" ca="1" si="32"/>
        <v>UHF592</v>
      </c>
      <c r="O217" s="11">
        <f t="shared" ca="1" si="33"/>
        <v>0.85761223745281623</v>
      </c>
      <c r="P217" s="9">
        <f t="shared" ca="1" si="34"/>
        <v>2</v>
      </c>
      <c r="Q217" s="19">
        <f t="shared" ca="1" si="35"/>
        <v>39.762365126601082</v>
      </c>
      <c r="R217" s="10">
        <f t="shared" ca="1" si="36"/>
        <v>0.16489635738040481</v>
      </c>
      <c r="S217" s="9">
        <f t="shared" ca="1" si="37"/>
        <v>1</v>
      </c>
      <c r="T217" s="9" t="str">
        <f t="shared" ca="1" si="38"/>
        <v>sí</v>
      </c>
    </row>
    <row r="218" spans="12:20" x14ac:dyDescent="0.45">
      <c r="L218" s="9">
        <v>214</v>
      </c>
      <c r="M218" s="9">
        <f t="shared" ca="1" si="31"/>
        <v>4</v>
      </c>
      <c r="N218" s="9" t="str">
        <f t="shared" ca="1" si="32"/>
        <v>MYE411</v>
      </c>
      <c r="O218" s="11">
        <f t="shared" ca="1" si="33"/>
        <v>0.93086911345144274</v>
      </c>
      <c r="P218" s="9">
        <f t="shared" ca="1" si="34"/>
        <v>1</v>
      </c>
      <c r="Q218" s="19">
        <f t="shared" ca="1" si="35"/>
        <v>32.675300803650018</v>
      </c>
      <c r="R218" s="10">
        <f t="shared" ca="1" si="36"/>
        <v>-1.7683328955154034</v>
      </c>
      <c r="S218" s="9">
        <f t="shared" ca="1" si="37"/>
        <v>2</v>
      </c>
      <c r="T218" s="9" t="str">
        <f t="shared" ca="1" si="38"/>
        <v>sí</v>
      </c>
    </row>
    <row r="219" spans="12:20" x14ac:dyDescent="0.45">
      <c r="L219" s="9">
        <v>215</v>
      </c>
      <c r="M219" s="9">
        <f t="shared" ca="1" si="31"/>
        <v>3</v>
      </c>
      <c r="N219" s="9" t="str">
        <f t="shared" ca="1" si="32"/>
        <v>VJQ850</v>
      </c>
      <c r="O219" s="11">
        <f t="shared" ca="1" si="33"/>
        <v>0.98138191623737714</v>
      </c>
      <c r="P219" s="9">
        <f t="shared" ca="1" si="34"/>
        <v>1</v>
      </c>
      <c r="Q219" s="19">
        <f t="shared" ca="1" si="35"/>
        <v>32.504654553955184</v>
      </c>
      <c r="R219" s="10">
        <f t="shared" ca="1" si="36"/>
        <v>1.4509656269603104</v>
      </c>
      <c r="S219" s="9">
        <f t="shared" ca="1" si="37"/>
        <v>1</v>
      </c>
      <c r="T219" s="9" t="str">
        <f t="shared" ca="1" si="38"/>
        <v>sí</v>
      </c>
    </row>
    <row r="220" spans="12:20" x14ac:dyDescent="0.45">
      <c r="L220" s="9">
        <v>216</v>
      </c>
      <c r="M220" s="9">
        <f t="shared" ca="1" si="31"/>
        <v>1</v>
      </c>
      <c r="N220" s="9" t="str">
        <f t="shared" ca="1" si="32"/>
        <v>USE853</v>
      </c>
      <c r="O220" s="11">
        <f t="shared" ca="1" si="33"/>
        <v>0.98423974661047775</v>
      </c>
      <c r="P220" s="9">
        <f t="shared" ca="1" si="34"/>
        <v>1</v>
      </c>
      <c r="Q220" s="19">
        <f t="shared" ca="1" si="35"/>
        <v>35.089702033838869</v>
      </c>
      <c r="R220" s="10">
        <f t="shared" ca="1" si="36"/>
        <v>0.77513777062117928</v>
      </c>
      <c r="S220" s="9">
        <f t="shared" ca="1" si="37"/>
        <v>2</v>
      </c>
      <c r="T220" s="9" t="str">
        <f t="shared" ca="1" si="38"/>
        <v>sí</v>
      </c>
    </row>
    <row r="221" spans="12:20" x14ac:dyDescent="0.45">
      <c r="L221" s="9">
        <v>217</v>
      </c>
      <c r="M221" s="9">
        <f t="shared" ca="1" si="31"/>
        <v>1</v>
      </c>
      <c r="N221" s="9" t="str">
        <f t="shared" ca="1" si="32"/>
        <v>WHU374</v>
      </c>
      <c r="O221" s="11">
        <f t="shared" ca="1" si="33"/>
        <v>0.92831352928478783</v>
      </c>
      <c r="P221" s="9">
        <f t="shared" ca="1" si="34"/>
        <v>1</v>
      </c>
      <c r="Q221" s="19">
        <f t="shared" ca="1" si="35"/>
        <v>35.986926140533008</v>
      </c>
      <c r="R221" s="10">
        <f t="shared" ca="1" si="36"/>
        <v>-0.72204353670910915</v>
      </c>
      <c r="S221" s="9">
        <f t="shared" ca="1" si="37"/>
        <v>1</v>
      </c>
      <c r="T221" s="9" t="str">
        <f t="shared" ca="1" si="38"/>
        <v>sí</v>
      </c>
    </row>
    <row r="222" spans="12:20" x14ac:dyDescent="0.45">
      <c r="L222" s="9">
        <v>218</v>
      </c>
      <c r="M222" s="9">
        <f t="shared" ca="1" si="31"/>
        <v>2</v>
      </c>
      <c r="N222" s="9" t="str">
        <f t="shared" ca="1" si="32"/>
        <v>YUS133</v>
      </c>
      <c r="O222" s="11">
        <f t="shared" ca="1" si="33"/>
        <v>0.83318512469035377</v>
      </c>
      <c r="P222" s="9">
        <f t="shared" ca="1" si="34"/>
        <v>1</v>
      </c>
      <c r="Q222" s="19">
        <f t="shared" ca="1" si="35"/>
        <v>25.181215084099655</v>
      </c>
      <c r="R222" s="10">
        <f t="shared" ca="1" si="36"/>
        <v>-0.65196867753979904</v>
      </c>
      <c r="S222" s="9">
        <f t="shared" ca="1" si="37"/>
        <v>3</v>
      </c>
      <c r="T222" s="9" t="str">
        <f t="shared" ca="1" si="38"/>
        <v>sí</v>
      </c>
    </row>
    <row r="223" spans="12:20" x14ac:dyDescent="0.45">
      <c r="L223" s="9">
        <v>219</v>
      </c>
      <c r="M223" s="9">
        <f t="shared" ca="1" si="31"/>
        <v>4</v>
      </c>
      <c r="N223" s="9" t="str">
        <f t="shared" ca="1" si="32"/>
        <v>LAU351</v>
      </c>
      <c r="O223" s="11">
        <f t="shared" ca="1" si="33"/>
        <v>0.9156687384496347</v>
      </c>
      <c r="P223" s="9">
        <f t="shared" ca="1" si="34"/>
        <v>2</v>
      </c>
      <c r="Q223" s="19">
        <f t="shared" ca="1" si="35"/>
        <v>38.495793704514327</v>
      </c>
      <c r="R223" s="10">
        <f t="shared" ca="1" si="36"/>
        <v>-2.2690471414172215</v>
      </c>
      <c r="S223" s="9">
        <f t="shared" ca="1" si="37"/>
        <v>1</v>
      </c>
      <c r="T223" s="9" t="str">
        <f t="shared" ca="1" si="38"/>
        <v>sí</v>
      </c>
    </row>
    <row r="224" spans="12:20" x14ac:dyDescent="0.45">
      <c r="L224" s="9">
        <v>220</v>
      </c>
      <c r="M224" s="9">
        <f t="shared" ca="1" si="31"/>
        <v>2</v>
      </c>
      <c r="N224" s="9" t="str">
        <f t="shared" ca="1" si="32"/>
        <v>CQL947</v>
      </c>
      <c r="O224" s="11">
        <f t="shared" ca="1" si="33"/>
        <v>0.90946814601879922</v>
      </c>
      <c r="P224" s="9">
        <f t="shared" ca="1" si="34"/>
        <v>1</v>
      </c>
      <c r="Q224" s="19">
        <f t="shared" ca="1" si="35"/>
        <v>24.236768857039333</v>
      </c>
      <c r="R224" s="10">
        <f t="shared" ca="1" si="36"/>
        <v>-1.417994604329597</v>
      </c>
      <c r="S224" s="9">
        <f t="shared" ca="1" si="37"/>
        <v>1</v>
      </c>
      <c r="T224" s="9" t="str">
        <f t="shared" ca="1" si="38"/>
        <v>sí</v>
      </c>
    </row>
    <row r="225" spans="12:20" x14ac:dyDescent="0.45">
      <c r="L225" s="9">
        <v>221</v>
      </c>
      <c r="M225" s="9">
        <f t="shared" ca="1" si="31"/>
        <v>2</v>
      </c>
      <c r="N225" s="9" t="str">
        <f t="shared" ca="1" si="32"/>
        <v>XVG573</v>
      </c>
      <c r="O225" s="11">
        <f t="shared" ca="1" si="33"/>
        <v>0.81749609290183978</v>
      </c>
      <c r="P225" s="9">
        <f t="shared" ca="1" si="34"/>
        <v>2</v>
      </c>
      <c r="Q225" s="19">
        <f t="shared" ca="1" si="35"/>
        <v>30.246582430851138</v>
      </c>
      <c r="R225" s="10">
        <f t="shared" ca="1" si="36"/>
        <v>-2.9037698813011694</v>
      </c>
      <c r="S225" s="9">
        <f t="shared" ca="1" si="37"/>
        <v>3</v>
      </c>
      <c r="T225" s="9" t="str">
        <f t="shared" ca="1" si="38"/>
        <v>sí</v>
      </c>
    </row>
    <row r="226" spans="12:20" x14ac:dyDescent="0.45">
      <c r="L226" s="9">
        <v>222</v>
      </c>
      <c r="M226" s="9">
        <f t="shared" ca="1" si="31"/>
        <v>3</v>
      </c>
      <c r="N226" s="9" t="str">
        <f t="shared" ca="1" si="32"/>
        <v>YBQ879</v>
      </c>
      <c r="O226" s="11">
        <f t="shared" ca="1" si="33"/>
        <v>0.60291808390742618</v>
      </c>
      <c r="P226" s="9">
        <f t="shared" ca="1" si="34"/>
        <v>1</v>
      </c>
      <c r="Q226" s="19">
        <f t="shared" ca="1" si="35"/>
        <v>32.727630561278929</v>
      </c>
      <c r="R226" s="10">
        <f t="shared" ca="1" si="36"/>
        <v>1.815521480657909</v>
      </c>
      <c r="S226" s="9">
        <f t="shared" ca="1" si="37"/>
        <v>1</v>
      </c>
      <c r="T226" s="9" t="str">
        <f t="shared" ca="1" si="38"/>
        <v>no</v>
      </c>
    </row>
    <row r="227" spans="12:20" x14ac:dyDescent="0.45">
      <c r="L227" s="9">
        <v>223</v>
      </c>
      <c r="M227" s="9">
        <f t="shared" ca="1" si="31"/>
        <v>6</v>
      </c>
      <c r="N227" s="9" t="str">
        <f t="shared" ca="1" si="32"/>
        <v>KXF024</v>
      </c>
      <c r="O227" s="11">
        <f t="shared" ca="1" si="33"/>
        <v>0.84682474849029921</v>
      </c>
      <c r="P227" s="9">
        <f t="shared" ca="1" si="34"/>
        <v>1</v>
      </c>
      <c r="Q227" s="19">
        <f t="shared" ca="1" si="35"/>
        <v>20.645046230134007</v>
      </c>
      <c r="R227" s="10">
        <f t="shared" ca="1" si="36"/>
        <v>2.4932126216221109</v>
      </c>
      <c r="S227" s="9">
        <f t="shared" ca="1" si="37"/>
        <v>1</v>
      </c>
      <c r="T227" s="9" t="str">
        <f t="shared" ca="1" si="38"/>
        <v>sí</v>
      </c>
    </row>
    <row r="228" spans="12:20" x14ac:dyDescent="0.45">
      <c r="L228" s="9">
        <v>224</v>
      </c>
      <c r="M228" s="9">
        <f t="shared" ca="1" si="31"/>
        <v>5</v>
      </c>
      <c r="N228" s="9" t="str">
        <f t="shared" ca="1" si="32"/>
        <v>ABE436</v>
      </c>
      <c r="O228" s="11">
        <f t="shared" ca="1" si="33"/>
        <v>0.9171199770625228</v>
      </c>
      <c r="P228" s="9">
        <f t="shared" ca="1" si="34"/>
        <v>1</v>
      </c>
      <c r="Q228" s="19">
        <f t="shared" ca="1" si="35"/>
        <v>29.549560506413918</v>
      </c>
      <c r="R228" s="10">
        <f t="shared" ca="1" si="36"/>
        <v>1.2084905109284361</v>
      </c>
      <c r="S228" s="9">
        <f t="shared" ca="1" si="37"/>
        <v>1</v>
      </c>
      <c r="T228" s="9" t="str">
        <f t="shared" ca="1" si="38"/>
        <v>sí</v>
      </c>
    </row>
    <row r="229" spans="12:20" x14ac:dyDescent="0.45">
      <c r="L229" s="9">
        <v>225</v>
      </c>
      <c r="M229" s="9">
        <f t="shared" ca="1" si="31"/>
        <v>3</v>
      </c>
      <c r="N229" s="9" t="str">
        <f t="shared" ca="1" si="32"/>
        <v>DQY226</v>
      </c>
      <c r="O229" s="11">
        <f t="shared" ca="1" si="33"/>
        <v>0.90856951908287908</v>
      </c>
      <c r="P229" s="9">
        <f t="shared" ca="1" si="34"/>
        <v>1</v>
      </c>
      <c r="Q229" s="19">
        <f t="shared" ca="1" si="35"/>
        <v>20.680057097964415</v>
      </c>
      <c r="R229" s="10">
        <f t="shared" ca="1" si="36"/>
        <v>1.3151300455686179</v>
      </c>
      <c r="S229" s="9">
        <f t="shared" ca="1" si="37"/>
        <v>2</v>
      </c>
      <c r="T229" s="9" t="str">
        <f t="shared" ca="1" si="38"/>
        <v>sí</v>
      </c>
    </row>
    <row r="230" spans="12:20" x14ac:dyDescent="0.45">
      <c r="L230" s="9">
        <v>226</v>
      </c>
      <c r="M230" s="9">
        <f t="shared" ca="1" si="31"/>
        <v>2</v>
      </c>
      <c r="N230" s="9" t="str">
        <f t="shared" ca="1" si="32"/>
        <v>HGD323</v>
      </c>
      <c r="O230" s="11">
        <f t="shared" ca="1" si="33"/>
        <v>0.89980649582168748</v>
      </c>
      <c r="P230" s="9">
        <f t="shared" ca="1" si="34"/>
        <v>1</v>
      </c>
      <c r="Q230" s="19">
        <f t="shared" ca="1" si="35"/>
        <v>42.3829605279494</v>
      </c>
      <c r="R230" s="10">
        <f t="shared" ca="1" si="36"/>
        <v>-3.2980343374655652</v>
      </c>
      <c r="S230" s="9">
        <f t="shared" ca="1" si="37"/>
        <v>1</v>
      </c>
      <c r="T230" s="9" t="str">
        <f t="shared" ca="1" si="38"/>
        <v>sí</v>
      </c>
    </row>
    <row r="231" spans="12:20" x14ac:dyDescent="0.45">
      <c r="L231" s="9">
        <v>227</v>
      </c>
      <c r="M231" s="9">
        <f t="shared" ca="1" si="31"/>
        <v>2</v>
      </c>
      <c r="N231" s="9" t="str">
        <f t="shared" ca="1" si="32"/>
        <v>RPC281</v>
      </c>
      <c r="O231" s="11">
        <f t="shared" ca="1" si="33"/>
        <v>0.9147264241383648</v>
      </c>
      <c r="P231" s="9">
        <f t="shared" ca="1" si="34"/>
        <v>1</v>
      </c>
      <c r="Q231" s="19">
        <f t="shared" ca="1" si="35"/>
        <v>26.742400535476047</v>
      </c>
      <c r="R231" s="10">
        <f t="shared" ca="1" si="36"/>
        <v>0.2664049855061173</v>
      </c>
      <c r="S231" s="9">
        <f t="shared" ca="1" si="37"/>
        <v>2</v>
      </c>
      <c r="T231" s="9" t="str">
        <f t="shared" ca="1" si="38"/>
        <v>sí</v>
      </c>
    </row>
    <row r="232" spans="12:20" x14ac:dyDescent="0.45">
      <c r="L232" s="9">
        <v>228</v>
      </c>
      <c r="M232" s="9">
        <f t="shared" ca="1" si="31"/>
        <v>3</v>
      </c>
      <c r="N232" s="9" t="str">
        <f t="shared" ca="1" si="32"/>
        <v>EKL499</v>
      </c>
      <c r="O232" s="11">
        <f t="shared" ca="1" si="33"/>
        <v>0.92661555593122258</v>
      </c>
      <c r="P232" s="9">
        <f t="shared" ca="1" si="34"/>
        <v>1</v>
      </c>
      <c r="Q232" s="19">
        <f t="shared" ca="1" si="35"/>
        <v>26.678810383808752</v>
      </c>
      <c r="R232" s="10">
        <f t="shared" ca="1" si="36"/>
        <v>4.2728344102657356</v>
      </c>
      <c r="S232" s="9">
        <f t="shared" ca="1" si="37"/>
        <v>2</v>
      </c>
      <c r="T232" s="9" t="str">
        <f t="shared" ca="1" si="38"/>
        <v>sí</v>
      </c>
    </row>
    <row r="233" spans="12:20" x14ac:dyDescent="0.45">
      <c r="L233" s="9">
        <v>229</v>
      </c>
      <c r="M233" s="9">
        <f t="shared" ca="1" si="31"/>
        <v>2</v>
      </c>
      <c r="N233" s="9" t="str">
        <f t="shared" ca="1" si="32"/>
        <v>LZP333</v>
      </c>
      <c r="O233" s="11">
        <f t="shared" ca="1" si="33"/>
        <v>0.96314696601932392</v>
      </c>
      <c r="P233" s="9">
        <f t="shared" ca="1" si="34"/>
        <v>2</v>
      </c>
      <c r="Q233" s="19">
        <f t="shared" ca="1" si="35"/>
        <v>21.035482656516574</v>
      </c>
      <c r="R233" s="10">
        <f t="shared" ca="1" si="36"/>
        <v>0.4076260509872307</v>
      </c>
      <c r="S233" s="9">
        <f t="shared" ca="1" si="37"/>
        <v>2</v>
      </c>
      <c r="T233" s="9" t="str">
        <f t="shared" ca="1" si="38"/>
        <v>sí</v>
      </c>
    </row>
    <row r="234" spans="12:20" x14ac:dyDescent="0.45">
      <c r="L234" s="9">
        <v>230</v>
      </c>
      <c r="M234" s="9">
        <f t="shared" ca="1" si="31"/>
        <v>2</v>
      </c>
      <c r="N234" s="9" t="str">
        <f t="shared" ca="1" si="32"/>
        <v>UKP763</v>
      </c>
      <c r="O234" s="11">
        <f t="shared" ca="1" si="33"/>
        <v>0.88569817537170747</v>
      </c>
      <c r="P234" s="9">
        <f t="shared" ca="1" si="34"/>
        <v>1</v>
      </c>
      <c r="Q234" s="19">
        <f t="shared" ca="1" si="35"/>
        <v>20.469770232919821</v>
      </c>
      <c r="R234" s="10">
        <f t="shared" ca="1" si="36"/>
        <v>0.50755022454122978</v>
      </c>
      <c r="S234" s="9">
        <f t="shared" ca="1" si="37"/>
        <v>1</v>
      </c>
      <c r="T234" s="9" t="str">
        <f t="shared" ca="1" si="38"/>
        <v>sí</v>
      </c>
    </row>
    <row r="235" spans="12:20" x14ac:dyDescent="0.45">
      <c r="L235" s="9">
        <v>231</v>
      </c>
      <c r="M235" s="9">
        <f t="shared" ca="1" si="31"/>
        <v>4</v>
      </c>
      <c r="N235" s="9" t="str">
        <f t="shared" ca="1" si="32"/>
        <v>EPH289</v>
      </c>
      <c r="O235" s="11">
        <f t="shared" ca="1" si="33"/>
        <v>0.74664752627383102</v>
      </c>
      <c r="P235" s="9">
        <f t="shared" ca="1" si="34"/>
        <v>1</v>
      </c>
      <c r="Q235" s="19">
        <f t="shared" ca="1" si="35"/>
        <v>17.045529751864006</v>
      </c>
      <c r="R235" s="10">
        <f t="shared" ca="1" si="36"/>
        <v>0.32797132951118785</v>
      </c>
      <c r="S235" s="9">
        <f t="shared" ca="1" si="37"/>
        <v>1</v>
      </c>
      <c r="T235" s="9" t="str">
        <f t="shared" ca="1" si="38"/>
        <v>no</v>
      </c>
    </row>
    <row r="236" spans="12:20" x14ac:dyDescent="0.45">
      <c r="L236" s="9">
        <v>232</v>
      </c>
      <c r="M236" s="9">
        <f t="shared" ca="1" si="31"/>
        <v>3</v>
      </c>
      <c r="N236" s="9" t="str">
        <f t="shared" ca="1" si="32"/>
        <v>IHY185</v>
      </c>
      <c r="O236" s="11">
        <f t="shared" ca="1" si="33"/>
        <v>0.79671003944175411</v>
      </c>
      <c r="P236" s="9">
        <f t="shared" ca="1" si="34"/>
        <v>1</v>
      </c>
      <c r="Q236" s="19">
        <f t="shared" ca="1" si="35"/>
        <v>25.685928023806561</v>
      </c>
      <c r="R236" s="10">
        <f t="shared" ca="1" si="36"/>
        <v>-2.6085516199572476</v>
      </c>
      <c r="S236" s="9">
        <f t="shared" ca="1" si="37"/>
        <v>1</v>
      </c>
      <c r="T236" s="9" t="str">
        <f t="shared" ca="1" si="38"/>
        <v>no</v>
      </c>
    </row>
    <row r="237" spans="12:20" x14ac:dyDescent="0.45">
      <c r="L237" s="9">
        <v>233</v>
      </c>
      <c r="M237" s="9">
        <f t="shared" ca="1" si="31"/>
        <v>2</v>
      </c>
      <c r="N237" s="9" t="str">
        <f t="shared" ca="1" si="32"/>
        <v>EGL377</v>
      </c>
      <c r="O237" s="11">
        <f t="shared" ca="1" si="33"/>
        <v>0.91668113505431981</v>
      </c>
      <c r="P237" s="9">
        <f t="shared" ca="1" si="34"/>
        <v>1</v>
      </c>
      <c r="Q237" s="19">
        <f t="shared" ca="1" si="35"/>
        <v>33.326760704552967</v>
      </c>
      <c r="R237" s="10">
        <f t="shared" ca="1" si="36"/>
        <v>-1.0425458309090692</v>
      </c>
      <c r="S237" s="9">
        <f t="shared" ca="1" si="37"/>
        <v>1</v>
      </c>
      <c r="T237" s="9" t="str">
        <f t="shared" ca="1" si="38"/>
        <v>sí</v>
      </c>
    </row>
    <row r="238" spans="12:20" x14ac:dyDescent="0.45">
      <c r="L238" s="9">
        <v>234</v>
      </c>
      <c r="M238" s="9">
        <f t="shared" ca="1" si="31"/>
        <v>3</v>
      </c>
      <c r="N238" s="9" t="str">
        <f t="shared" ca="1" si="32"/>
        <v>ILZ678</v>
      </c>
      <c r="O238" s="11">
        <f t="shared" ca="1" si="33"/>
        <v>0.92389063309692887</v>
      </c>
      <c r="P238" s="9">
        <f t="shared" ca="1" si="34"/>
        <v>1</v>
      </c>
      <c r="Q238" s="19">
        <f t="shared" ca="1" si="35"/>
        <v>31.542448462531507</v>
      </c>
      <c r="R238" s="10">
        <f t="shared" ca="1" si="36"/>
        <v>3.3931697150254614</v>
      </c>
      <c r="S238" s="9">
        <f t="shared" ca="1" si="37"/>
        <v>1</v>
      </c>
      <c r="T238" s="9" t="str">
        <f t="shared" ca="1" si="38"/>
        <v>sí</v>
      </c>
    </row>
    <row r="239" spans="12:20" x14ac:dyDescent="0.45">
      <c r="L239" s="9">
        <v>235</v>
      </c>
      <c r="M239" s="9">
        <f t="shared" ca="1" si="31"/>
        <v>1</v>
      </c>
      <c r="N239" s="9" t="str">
        <f t="shared" ca="1" si="32"/>
        <v>JZY394</v>
      </c>
      <c r="O239" s="11">
        <f t="shared" ca="1" si="33"/>
        <v>0.87313972305848653</v>
      </c>
      <c r="P239" s="9">
        <f t="shared" ca="1" si="34"/>
        <v>1</v>
      </c>
      <c r="Q239" s="19">
        <f t="shared" ca="1" si="35"/>
        <v>41.91848879269471</v>
      </c>
      <c r="R239" s="10">
        <f t="shared" ca="1" si="36"/>
        <v>-1.7349634530645515</v>
      </c>
      <c r="S239" s="9">
        <f t="shared" ca="1" si="37"/>
        <v>2</v>
      </c>
      <c r="T239" s="9" t="str">
        <f t="shared" ca="1" si="38"/>
        <v>sí</v>
      </c>
    </row>
    <row r="240" spans="12:20" x14ac:dyDescent="0.45">
      <c r="L240" s="9">
        <v>236</v>
      </c>
      <c r="M240" s="9">
        <f t="shared" ca="1" si="31"/>
        <v>5</v>
      </c>
      <c r="N240" s="9" t="str">
        <f t="shared" ca="1" si="32"/>
        <v>DJW522</v>
      </c>
      <c r="O240" s="11">
        <f t="shared" ca="1" si="33"/>
        <v>0.92381600993239998</v>
      </c>
      <c r="P240" s="9">
        <f t="shared" ca="1" si="34"/>
        <v>1</v>
      </c>
      <c r="Q240" s="19">
        <f t="shared" ca="1" si="35"/>
        <v>38.193856225111389</v>
      </c>
      <c r="R240" s="10">
        <f t="shared" ca="1" si="36"/>
        <v>-1.7677334288067119</v>
      </c>
      <c r="S240" s="9">
        <f t="shared" ca="1" si="37"/>
        <v>1</v>
      </c>
      <c r="T240" s="9" t="str">
        <f t="shared" ca="1" si="38"/>
        <v>sí</v>
      </c>
    </row>
    <row r="241" spans="12:20" x14ac:dyDescent="0.45">
      <c r="L241" s="9">
        <v>237</v>
      </c>
      <c r="M241" s="9">
        <f t="shared" ca="1" si="31"/>
        <v>8</v>
      </c>
      <c r="N241" s="9" t="str">
        <f t="shared" ca="1" si="32"/>
        <v>EWM844</v>
      </c>
      <c r="O241" s="11">
        <f t="shared" ca="1" si="33"/>
        <v>0.94763824017061449</v>
      </c>
      <c r="P241" s="9">
        <f t="shared" ca="1" si="34"/>
        <v>1</v>
      </c>
      <c r="Q241" s="19">
        <f t="shared" ca="1" si="35"/>
        <v>26.96476750901649</v>
      </c>
      <c r="R241" s="10">
        <f t="shared" ca="1" si="36"/>
        <v>-3.3257966726036461</v>
      </c>
      <c r="S241" s="9">
        <f t="shared" ca="1" si="37"/>
        <v>1</v>
      </c>
      <c r="T241" s="9" t="str">
        <f t="shared" ca="1" si="38"/>
        <v>sí</v>
      </c>
    </row>
    <row r="242" spans="12:20" x14ac:dyDescent="0.45">
      <c r="L242" s="9">
        <v>238</v>
      </c>
      <c r="M242" s="9">
        <f t="shared" ca="1" si="31"/>
        <v>3</v>
      </c>
      <c r="N242" s="9" t="str">
        <f t="shared" ca="1" si="32"/>
        <v>QDN986</v>
      </c>
      <c r="O242" s="11">
        <f t="shared" ca="1" si="33"/>
        <v>0.95735985702880422</v>
      </c>
      <c r="P242" s="9">
        <f t="shared" ca="1" si="34"/>
        <v>1</v>
      </c>
      <c r="Q242" s="19">
        <f t="shared" ca="1" si="35"/>
        <v>28.723667138487741</v>
      </c>
      <c r="R242" s="10">
        <f t="shared" ca="1" si="36"/>
        <v>-1.6819469860186937</v>
      </c>
      <c r="S242" s="9">
        <f t="shared" ca="1" si="37"/>
        <v>1</v>
      </c>
      <c r="T242" s="9" t="str">
        <f t="shared" ca="1" si="38"/>
        <v>sí</v>
      </c>
    </row>
    <row r="243" spans="12:20" x14ac:dyDescent="0.45">
      <c r="L243" s="9">
        <v>239</v>
      </c>
      <c r="M243" s="9">
        <f t="shared" ca="1" si="31"/>
        <v>4</v>
      </c>
      <c r="N243" s="9" t="str">
        <f t="shared" ca="1" si="32"/>
        <v>XBV595</v>
      </c>
      <c r="O243" s="11">
        <f t="shared" ca="1" si="33"/>
        <v>0.82011929854678078</v>
      </c>
      <c r="P243" s="9">
        <f t="shared" ca="1" si="34"/>
        <v>1</v>
      </c>
      <c r="Q243" s="19">
        <f t="shared" ca="1" si="35"/>
        <v>25.503555503890531</v>
      </c>
      <c r="R243" s="10">
        <f t="shared" ca="1" si="36"/>
        <v>-6.9129259352594854</v>
      </c>
      <c r="S243" s="9">
        <f t="shared" ca="1" si="37"/>
        <v>1</v>
      </c>
      <c r="T243" s="9" t="str">
        <f t="shared" ca="1" si="38"/>
        <v>sí</v>
      </c>
    </row>
    <row r="244" spans="12:20" x14ac:dyDescent="0.45">
      <c r="L244" s="9">
        <v>240</v>
      </c>
      <c r="M244" s="9">
        <f t="shared" ca="1" si="31"/>
        <v>4</v>
      </c>
      <c r="N244" s="9" t="str">
        <f t="shared" ca="1" si="32"/>
        <v>FMU872</v>
      </c>
      <c r="O244" s="11">
        <f t="shared" ca="1" si="33"/>
        <v>0.91570595322160808</v>
      </c>
      <c r="P244" s="9">
        <f t="shared" ca="1" si="34"/>
        <v>1</v>
      </c>
      <c r="Q244" s="19">
        <f t="shared" ca="1" si="35"/>
        <v>29.382365954615576</v>
      </c>
      <c r="R244" s="10">
        <f t="shared" ca="1" si="36"/>
        <v>-1.9370019306907484</v>
      </c>
      <c r="S244" s="9">
        <f t="shared" ca="1" si="37"/>
        <v>2</v>
      </c>
      <c r="T244" s="9" t="str">
        <f t="shared" ca="1" si="38"/>
        <v>sí</v>
      </c>
    </row>
    <row r="245" spans="12:20" x14ac:dyDescent="0.45">
      <c r="L245" s="9">
        <v>241</v>
      </c>
      <c r="M245" s="9" t="str">
        <f>""</f>
        <v/>
      </c>
      <c r="N245" s="9" t="str">
        <f t="shared" ca="1" si="32"/>
        <v>VRF522</v>
      </c>
      <c r="O245" s="11">
        <f t="shared" ca="1" si="33"/>
        <v>0.96478936842427299</v>
      </c>
      <c r="P245" s="9">
        <f t="shared" ca="1" si="34"/>
        <v>1</v>
      </c>
      <c r="Q245" s="19">
        <f t="shared" ca="1" si="35"/>
        <v>40.301765415535762</v>
      </c>
      <c r="R245" s="10">
        <f t="shared" ca="1" si="36"/>
        <v>0.45693952454094489</v>
      </c>
      <c r="S245" s="9">
        <f t="shared" ca="1" si="37"/>
        <v>5</v>
      </c>
      <c r="T245" s="9" t="str">
        <f t="shared" ca="1" si="38"/>
        <v>sí</v>
      </c>
    </row>
    <row r="246" spans="12:20" x14ac:dyDescent="0.45">
      <c r="L246" s="9">
        <v>242</v>
      </c>
      <c r="M246" s="9" t="str">
        <f>""</f>
        <v/>
      </c>
      <c r="N246" s="9" t="str">
        <f t="shared" ca="1" si="32"/>
        <v>EOI817</v>
      </c>
      <c r="O246" s="11">
        <f t="shared" ca="1" si="33"/>
        <v>0.95369557366720414</v>
      </c>
      <c r="P246" s="9">
        <f t="shared" ca="1" si="34"/>
        <v>2</v>
      </c>
      <c r="Q246" s="19">
        <f t="shared" ca="1" si="35"/>
        <v>29.38849733659201</v>
      </c>
      <c r="R246" s="10">
        <f t="shared" ca="1" si="36"/>
        <v>1.2037396257511359</v>
      </c>
      <c r="S246" s="9">
        <f t="shared" ca="1" si="37"/>
        <v>1</v>
      </c>
      <c r="T246" s="9" t="str">
        <f t="shared" ca="1" si="38"/>
        <v>sí</v>
      </c>
    </row>
    <row r="247" spans="12:20" x14ac:dyDescent="0.45">
      <c r="L247" s="9">
        <v>243</v>
      </c>
      <c r="M247" s="9" t="str">
        <f>""</f>
        <v/>
      </c>
      <c r="N247" s="9" t="str">
        <f t="shared" ca="1" si="32"/>
        <v>CEE242</v>
      </c>
      <c r="O247" s="11">
        <f t="shared" ca="1" si="33"/>
        <v>0.94005248912045758</v>
      </c>
      <c r="P247" s="9">
        <f t="shared" ca="1" si="34"/>
        <v>3</v>
      </c>
      <c r="Q247" s="19">
        <f t="shared" ca="1" si="35"/>
        <v>37.674789052413118</v>
      </c>
      <c r="R247" s="10">
        <f t="shared" ca="1" si="36"/>
        <v>-5.8831307317358768</v>
      </c>
      <c r="S247" s="9">
        <f t="shared" ca="1" si="37"/>
        <v>5</v>
      </c>
      <c r="T247" s="9" t="str">
        <f t="shared" ca="1" si="38"/>
        <v>sí</v>
      </c>
    </row>
    <row r="248" spans="12:20" x14ac:dyDescent="0.45">
      <c r="L248" s="9">
        <v>244</v>
      </c>
      <c r="M248" s="9" t="str">
        <f>""</f>
        <v/>
      </c>
      <c r="N248" s="9" t="str">
        <f t="shared" ca="1" si="32"/>
        <v>RIW946</v>
      </c>
      <c r="O248" s="11">
        <f t="shared" ca="1" si="33"/>
        <v>0.92935433995586636</v>
      </c>
      <c r="P248" s="9">
        <f t="shared" ca="1" si="34"/>
        <v>1</v>
      </c>
      <c r="Q248" s="19">
        <f t="shared" ca="1" si="35"/>
        <v>24.252108745728261</v>
      </c>
      <c r="R248" s="10">
        <f t="shared" ca="1" si="36"/>
        <v>0.53785229732817585</v>
      </c>
      <c r="S248" s="9">
        <f t="shared" ca="1" si="37"/>
        <v>2</v>
      </c>
      <c r="T248" s="9" t="str">
        <f t="shared" ca="1" si="38"/>
        <v>sí</v>
      </c>
    </row>
    <row r="249" spans="12:20" x14ac:dyDescent="0.45">
      <c r="L249" s="9">
        <v>245</v>
      </c>
      <c r="M249" s="9" t="str">
        <f>""</f>
        <v/>
      </c>
      <c r="N249" s="9" t="str">
        <f t="shared" ca="1" si="32"/>
        <v>GFJ611</v>
      </c>
      <c r="O249" s="11">
        <f t="shared" ca="1" si="33"/>
        <v>0.99323436878934634</v>
      </c>
      <c r="P249" s="9">
        <f t="shared" ca="1" si="34"/>
        <v>1</v>
      </c>
      <c r="Q249" s="19">
        <f t="shared" ca="1" si="35"/>
        <v>31.396143913351867</v>
      </c>
      <c r="R249" s="10">
        <f t="shared" ca="1" si="36"/>
        <v>3.3998252316876725</v>
      </c>
      <c r="S249" s="9">
        <f t="shared" ca="1" si="37"/>
        <v>1</v>
      </c>
      <c r="T249" s="9" t="str">
        <f t="shared" ca="1" si="38"/>
        <v>sí</v>
      </c>
    </row>
    <row r="250" spans="12:20" x14ac:dyDescent="0.45">
      <c r="L250" s="9">
        <v>246</v>
      </c>
      <c r="M250" s="9" t="str">
        <f>""</f>
        <v/>
      </c>
      <c r="N250" s="9" t="str">
        <f t="shared" ca="1" si="32"/>
        <v>ICX762</v>
      </c>
      <c r="O250" s="11">
        <f t="shared" ca="1" si="33"/>
        <v>0.91390550371116475</v>
      </c>
      <c r="P250" s="9">
        <f t="shared" ca="1" si="34"/>
        <v>1</v>
      </c>
      <c r="Q250" s="19">
        <f t="shared" ca="1" si="35"/>
        <v>24.482053368674634</v>
      </c>
      <c r="R250" s="10">
        <f t="shared" ca="1" si="36"/>
        <v>0.93552499214611284</v>
      </c>
      <c r="S250" s="9">
        <f t="shared" ca="1" si="37"/>
        <v>2</v>
      </c>
      <c r="T250" s="9" t="str">
        <f t="shared" ca="1" si="38"/>
        <v>sí</v>
      </c>
    </row>
    <row r="251" spans="12:20" x14ac:dyDescent="0.45">
      <c r="L251" s="9">
        <v>247</v>
      </c>
      <c r="M251" s="9" t="str">
        <f>""</f>
        <v/>
      </c>
      <c r="N251" s="9" t="str">
        <f t="shared" ca="1" si="32"/>
        <v>WFM886</v>
      </c>
      <c r="O251" s="11">
        <f t="shared" ca="1" si="33"/>
        <v>0.92993036590978417</v>
      </c>
      <c r="P251" s="9">
        <f t="shared" ca="1" si="34"/>
        <v>2</v>
      </c>
      <c r="Q251" s="19">
        <f t="shared" ca="1" si="35"/>
        <v>20.765878132938258</v>
      </c>
      <c r="R251" s="10">
        <f t="shared" ca="1" si="36"/>
        <v>1.224004332727513</v>
      </c>
      <c r="S251" s="9">
        <f t="shared" ca="1" si="37"/>
        <v>1</v>
      </c>
      <c r="T251" s="9" t="str">
        <f t="shared" ca="1" si="38"/>
        <v>sí</v>
      </c>
    </row>
    <row r="252" spans="12:20" x14ac:dyDescent="0.45">
      <c r="L252" s="9">
        <v>248</v>
      </c>
      <c r="M252" s="9" t="str">
        <f>""</f>
        <v/>
      </c>
      <c r="N252" s="9" t="str">
        <f t="shared" ca="1" si="32"/>
        <v>SOD639</v>
      </c>
      <c r="O252" s="11">
        <f t="shared" ca="1" si="33"/>
        <v>0.79361659994617972</v>
      </c>
      <c r="P252" s="9">
        <f t="shared" ca="1" si="34"/>
        <v>1</v>
      </c>
      <c r="Q252" s="19">
        <f t="shared" ca="1" si="35"/>
        <v>32.53906424029897</v>
      </c>
      <c r="R252" s="10">
        <f t="shared" ca="1" si="36"/>
        <v>-1.4977001332465139</v>
      </c>
      <c r="S252" s="9">
        <f t="shared" ca="1" si="37"/>
        <v>1</v>
      </c>
      <c r="T252" s="9" t="str">
        <f t="shared" ca="1" si="38"/>
        <v>no</v>
      </c>
    </row>
    <row r="253" spans="12:20" x14ac:dyDescent="0.45">
      <c r="L253" s="9">
        <v>249</v>
      </c>
      <c r="M253" s="9" t="str">
        <f>""</f>
        <v/>
      </c>
      <c r="N253" s="9" t="str">
        <f t="shared" ca="1" si="32"/>
        <v>DKH479</v>
      </c>
      <c r="O253" s="11">
        <f t="shared" ca="1" si="33"/>
        <v>0.94598251706409531</v>
      </c>
      <c r="P253" s="9">
        <f t="shared" ca="1" si="34"/>
        <v>1</v>
      </c>
      <c r="Q253" s="19">
        <f t="shared" ca="1" si="35"/>
        <v>33.375969318514635</v>
      </c>
      <c r="R253" s="10">
        <f t="shared" ca="1" si="36"/>
        <v>4.7738673114670158</v>
      </c>
      <c r="S253" s="9">
        <f t="shared" ca="1" si="37"/>
        <v>2</v>
      </c>
      <c r="T253" s="9" t="str">
        <f t="shared" ca="1" si="38"/>
        <v>sí</v>
      </c>
    </row>
    <row r="254" spans="12:20" x14ac:dyDescent="0.45">
      <c r="L254" s="9">
        <v>250</v>
      </c>
      <c r="M254" s="9" t="str">
        <f>""</f>
        <v/>
      </c>
      <c r="N254" s="9" t="str">
        <f t="shared" ca="1" si="32"/>
        <v>DUB275</v>
      </c>
      <c r="O254" s="11">
        <f t="shared" ca="1" si="33"/>
        <v>0.90422248169911246</v>
      </c>
      <c r="P254" s="9">
        <f t="shared" ca="1" si="34"/>
        <v>1</v>
      </c>
      <c r="Q254" s="19">
        <f t="shared" ca="1" si="35"/>
        <v>19.13145073936419</v>
      </c>
      <c r="R254" s="10">
        <f t="shared" ca="1" si="36"/>
        <v>-0.30846282749110199</v>
      </c>
      <c r="S254" s="9">
        <f t="shared" ca="1" si="37"/>
        <v>1</v>
      </c>
      <c r="T254" s="9" t="str">
        <f t="shared" ca="1" si="38"/>
        <v>sí</v>
      </c>
    </row>
    <row r="255" spans="12:20" x14ac:dyDescent="0.45">
      <c r="L255" s="9">
        <v>251</v>
      </c>
      <c r="M255" s="9" t="str">
        <f>""</f>
        <v/>
      </c>
      <c r="N255" s="9" t="str">
        <f t="shared" ca="1" si="32"/>
        <v>AJR066</v>
      </c>
      <c r="O255" s="11">
        <f t="shared" ca="1" si="33"/>
        <v>0.93858955896474516</v>
      </c>
      <c r="P255" s="9">
        <f t="shared" ca="1" si="34"/>
        <v>1</v>
      </c>
      <c r="Q255" s="19">
        <f t="shared" ca="1" si="35"/>
        <v>25.911345267302746</v>
      </c>
      <c r="R255" s="10">
        <f t="shared" ca="1" si="36"/>
        <v>-2.0949825566207694</v>
      </c>
      <c r="S255" s="9">
        <f t="shared" ca="1" si="37"/>
        <v>1</v>
      </c>
      <c r="T255" s="9" t="str">
        <f t="shared" ca="1" si="38"/>
        <v>sí</v>
      </c>
    </row>
    <row r="256" spans="12:20" x14ac:dyDescent="0.45">
      <c r="L256" s="9">
        <v>252</v>
      </c>
      <c r="M256" s="9" t="str">
        <f>""</f>
        <v/>
      </c>
      <c r="N256" s="9" t="str">
        <f t="shared" ca="1" si="32"/>
        <v>ZMV383</v>
      </c>
      <c r="O256" s="11">
        <f t="shared" ca="1" si="33"/>
        <v>0.99648770100675566</v>
      </c>
      <c r="P256" s="9">
        <f t="shared" ca="1" si="34"/>
        <v>1</v>
      </c>
      <c r="Q256" s="19">
        <f t="shared" ca="1" si="35"/>
        <v>35.513825972367208</v>
      </c>
      <c r="R256" s="10">
        <f t="shared" ca="1" si="36"/>
        <v>3.3280039123805256</v>
      </c>
      <c r="S256" s="9">
        <f t="shared" ca="1" si="37"/>
        <v>1</v>
      </c>
      <c r="T256" s="9" t="str">
        <f t="shared" ca="1" si="38"/>
        <v>sí</v>
      </c>
    </row>
    <row r="257" spans="12:20" x14ac:dyDescent="0.45">
      <c r="L257" s="9">
        <v>253</v>
      </c>
      <c r="M257" s="9" t="str">
        <f>""</f>
        <v/>
      </c>
      <c r="N257" s="9" t="str">
        <f t="shared" ca="1" si="32"/>
        <v>AKQ437</v>
      </c>
      <c r="O257" s="11">
        <f t="shared" ca="1" si="33"/>
        <v>0.95676996145646109</v>
      </c>
      <c r="P257" s="9">
        <f t="shared" ca="1" si="34"/>
        <v>1</v>
      </c>
      <c r="Q257" s="19">
        <f t="shared" ca="1" si="35"/>
        <v>25.911414986672135</v>
      </c>
      <c r="R257" s="10">
        <f t="shared" ca="1" si="36"/>
        <v>2.7947582680795442</v>
      </c>
      <c r="S257" s="9">
        <f t="shared" ca="1" si="37"/>
        <v>1</v>
      </c>
      <c r="T257" s="9" t="str">
        <f t="shared" ca="1" si="38"/>
        <v>sí</v>
      </c>
    </row>
    <row r="258" spans="12:20" x14ac:dyDescent="0.45">
      <c r="L258" s="9">
        <v>254</v>
      </c>
      <c r="M258" s="9" t="str">
        <f>""</f>
        <v/>
      </c>
      <c r="N258" s="9" t="str">
        <f t="shared" ca="1" si="32"/>
        <v>WZU116</v>
      </c>
      <c r="O258" s="11">
        <f t="shared" ca="1" si="33"/>
        <v>0.88129081034785228</v>
      </c>
      <c r="P258" s="9">
        <f t="shared" ca="1" si="34"/>
        <v>1</v>
      </c>
      <c r="Q258" s="19">
        <f t="shared" ca="1" si="35"/>
        <v>29.372386221043588</v>
      </c>
      <c r="R258" s="10">
        <f t="shared" ca="1" si="36"/>
        <v>0.10551502279806019</v>
      </c>
      <c r="S258" s="9">
        <f t="shared" ca="1" si="37"/>
        <v>1</v>
      </c>
      <c r="T258" s="9" t="str">
        <f t="shared" ca="1" si="38"/>
        <v>sí</v>
      </c>
    </row>
    <row r="259" spans="12:20" x14ac:dyDescent="0.45">
      <c r="L259" s="9">
        <v>255</v>
      </c>
      <c r="M259" s="9" t="str">
        <f>""</f>
        <v/>
      </c>
      <c r="N259" s="9" t="str">
        <f t="shared" ca="1" si="32"/>
        <v>NHC272</v>
      </c>
      <c r="O259" s="11">
        <f t="shared" ca="1" si="33"/>
        <v>0.97352280463578289</v>
      </c>
      <c r="P259" s="9">
        <f t="shared" ca="1" si="34"/>
        <v>1</v>
      </c>
      <c r="Q259" s="19">
        <f t="shared" ca="1" si="35"/>
        <v>21.764215076430379</v>
      </c>
      <c r="R259" s="10">
        <f t="shared" ca="1" si="36"/>
        <v>2.7687843648246133</v>
      </c>
      <c r="S259" s="9">
        <f t="shared" ca="1" si="37"/>
        <v>1</v>
      </c>
      <c r="T259" s="9" t="str">
        <f t="shared" ca="1" si="38"/>
        <v>sí</v>
      </c>
    </row>
    <row r="260" spans="12:20" x14ac:dyDescent="0.45">
      <c r="L260" s="9">
        <v>256</v>
      </c>
      <c r="M260" s="9" t="str">
        <f>""</f>
        <v/>
      </c>
      <c r="N260" s="9" t="str">
        <f t="shared" ca="1" si="32"/>
        <v>TGP869</v>
      </c>
      <c r="O260" s="11">
        <f t="shared" ca="1" si="33"/>
        <v>0.97356526238332308</v>
      </c>
      <c r="P260" s="9">
        <f t="shared" ca="1" si="34"/>
        <v>2</v>
      </c>
      <c r="Q260" s="19">
        <f t="shared" ca="1" si="35"/>
        <v>23.150863522927988</v>
      </c>
      <c r="R260" s="10">
        <f t="shared" ca="1" si="36"/>
        <v>0.36534418810520758</v>
      </c>
      <c r="S260" s="9">
        <f t="shared" ca="1" si="37"/>
        <v>1</v>
      </c>
      <c r="T260" s="9" t="str">
        <f t="shared" ca="1" si="38"/>
        <v>sí</v>
      </c>
    </row>
    <row r="261" spans="12:20" x14ac:dyDescent="0.45">
      <c r="L261" s="9">
        <v>257</v>
      </c>
      <c r="M261" s="9" t="str">
        <f>""</f>
        <v/>
      </c>
      <c r="N261" s="9" t="str">
        <f t="shared" ref="N261:N304" ca="1" si="39">CHAR(65+INT(RAND()*26))&amp;CHAR(65+INT(RAND()*26))&amp;CHAR(65+INT(RAND()*26))&amp;TEXT(INT(RAND()*1000),"000")</f>
        <v>UKI091</v>
      </c>
      <c r="O261" s="11">
        <f t="shared" ref="O261:O304" ca="1" si="40">_xlfn.BETA.INV(RAND(),$C$10,$C$11)</f>
        <v>0.8444345308598189</v>
      </c>
      <c r="P261" s="9">
        <f t="shared" ref="P261:P304" ca="1" si="41">MAX(1,ROUNDUP(LN(1-RAND())/LN(1-$C$13),0))</f>
        <v>2</v>
      </c>
      <c r="Q261" s="19">
        <f t="shared" ref="Q261:Q304" ca="1" si="42">_xlfn.LOGNORM.INV(RAND(),LN($C$14),$C$15)</f>
        <v>32.203995576808666</v>
      </c>
      <c r="R261" s="10">
        <f t="shared" ref="R261:R304" ca="1" si="43">_xlfn.NORM.INV(RAND(),0,$C$16)</f>
        <v>2.9243874507578709</v>
      </c>
      <c r="S261" s="9">
        <f t="shared" ref="S261:S304" ca="1" si="44">INDEX($V$6:$V$45,MATCH(RAND(),$X$6:$X$45,1))</f>
        <v>1</v>
      </c>
      <c r="T261" s="9" t="str">
        <f t="shared" ref="T261:T304" ca="1" si="45">IF(AND(O261&gt;=$C$12,P261&lt;=5),"sí","no")</f>
        <v>sí</v>
      </c>
    </row>
    <row r="262" spans="12:20" x14ac:dyDescent="0.45">
      <c r="L262" s="9">
        <v>258</v>
      </c>
      <c r="M262" s="9" t="str">
        <f>""</f>
        <v/>
      </c>
      <c r="N262" s="9" t="str">
        <f t="shared" ca="1" si="39"/>
        <v>DNV222</v>
      </c>
      <c r="O262" s="11">
        <f t="shared" ca="1" si="40"/>
        <v>0.93627142895905879</v>
      </c>
      <c r="P262" s="9">
        <f t="shared" ca="1" si="41"/>
        <v>1</v>
      </c>
      <c r="Q262" s="19">
        <f t="shared" ca="1" si="42"/>
        <v>32.755975777890505</v>
      </c>
      <c r="R262" s="10">
        <f t="shared" ca="1" si="43"/>
        <v>-2.9011752240756642E-2</v>
      </c>
      <c r="S262" s="9">
        <f t="shared" ca="1" si="44"/>
        <v>1</v>
      </c>
      <c r="T262" s="9" t="str">
        <f t="shared" ca="1" si="45"/>
        <v>sí</v>
      </c>
    </row>
    <row r="263" spans="12:20" x14ac:dyDescent="0.45">
      <c r="L263" s="9">
        <v>259</v>
      </c>
      <c r="M263" s="9" t="str">
        <f>""</f>
        <v/>
      </c>
      <c r="N263" s="9" t="str">
        <f t="shared" ca="1" si="39"/>
        <v>DMQ570</v>
      </c>
      <c r="O263" s="11">
        <f t="shared" ca="1" si="40"/>
        <v>0.95411918518849603</v>
      </c>
      <c r="P263" s="9">
        <f t="shared" ca="1" si="41"/>
        <v>1</v>
      </c>
      <c r="Q263" s="19">
        <f t="shared" ca="1" si="42"/>
        <v>31.222617073093506</v>
      </c>
      <c r="R263" s="10">
        <f t="shared" ca="1" si="43"/>
        <v>-0.87173939128691891</v>
      </c>
      <c r="S263" s="9">
        <f t="shared" ca="1" si="44"/>
        <v>10</v>
      </c>
      <c r="T263" s="9" t="str">
        <f t="shared" ca="1" si="45"/>
        <v>sí</v>
      </c>
    </row>
    <row r="264" spans="12:20" x14ac:dyDescent="0.45">
      <c r="L264" s="9">
        <v>260</v>
      </c>
      <c r="M264" s="9" t="str">
        <f>""</f>
        <v/>
      </c>
      <c r="N264" s="9" t="str">
        <f t="shared" ca="1" si="39"/>
        <v>SMC308</v>
      </c>
      <c r="O264" s="11">
        <f t="shared" ca="1" si="40"/>
        <v>0.95006292919531266</v>
      </c>
      <c r="P264" s="9">
        <f t="shared" ca="1" si="41"/>
        <v>1</v>
      </c>
      <c r="Q264" s="19">
        <f t="shared" ca="1" si="42"/>
        <v>29.332919783158665</v>
      </c>
      <c r="R264" s="10">
        <f t="shared" ca="1" si="43"/>
        <v>-1.5680274946147592</v>
      </c>
      <c r="S264" s="9">
        <f t="shared" ca="1" si="44"/>
        <v>2</v>
      </c>
      <c r="T264" s="9" t="str">
        <f t="shared" ca="1" si="45"/>
        <v>sí</v>
      </c>
    </row>
    <row r="265" spans="12:20" x14ac:dyDescent="0.45">
      <c r="L265" s="9">
        <v>261</v>
      </c>
      <c r="M265" s="9" t="str">
        <f>""</f>
        <v/>
      </c>
      <c r="N265" s="9" t="str">
        <f t="shared" ca="1" si="39"/>
        <v>JHH830</v>
      </c>
      <c r="O265" s="11">
        <f t="shared" ca="1" si="40"/>
        <v>0.97394443834005062</v>
      </c>
      <c r="P265" s="9">
        <f t="shared" ca="1" si="41"/>
        <v>1</v>
      </c>
      <c r="Q265" s="19">
        <f t="shared" ca="1" si="42"/>
        <v>28.038981050129028</v>
      </c>
      <c r="R265" s="10">
        <f t="shared" ca="1" si="43"/>
        <v>-0.54675943548582739</v>
      </c>
      <c r="S265" s="9">
        <f t="shared" ca="1" si="44"/>
        <v>1</v>
      </c>
      <c r="T265" s="9" t="str">
        <f t="shared" ca="1" si="45"/>
        <v>sí</v>
      </c>
    </row>
    <row r="266" spans="12:20" x14ac:dyDescent="0.45">
      <c r="L266" s="9">
        <v>262</v>
      </c>
      <c r="M266" s="9" t="str">
        <f>""</f>
        <v/>
      </c>
      <c r="N266" s="9" t="str">
        <f t="shared" ca="1" si="39"/>
        <v>OOJ056</v>
      </c>
      <c r="O266" s="11">
        <f t="shared" ca="1" si="40"/>
        <v>0.79525735873597481</v>
      </c>
      <c r="P266" s="9">
        <f t="shared" ca="1" si="41"/>
        <v>1</v>
      </c>
      <c r="Q266" s="19">
        <f t="shared" ca="1" si="42"/>
        <v>24.776011861185527</v>
      </c>
      <c r="R266" s="10">
        <f t="shared" ca="1" si="43"/>
        <v>-1.4716340097710803</v>
      </c>
      <c r="S266" s="9">
        <f t="shared" ca="1" si="44"/>
        <v>1</v>
      </c>
      <c r="T266" s="9" t="str">
        <f t="shared" ca="1" si="45"/>
        <v>no</v>
      </c>
    </row>
    <row r="267" spans="12:20" x14ac:dyDescent="0.45">
      <c r="L267" s="9">
        <v>263</v>
      </c>
      <c r="M267" s="9" t="str">
        <f>""</f>
        <v/>
      </c>
      <c r="N267" s="9" t="str">
        <f t="shared" ca="1" si="39"/>
        <v>FUW856</v>
      </c>
      <c r="O267" s="11">
        <f t="shared" ca="1" si="40"/>
        <v>0.83583174734105459</v>
      </c>
      <c r="P267" s="9">
        <f t="shared" ca="1" si="41"/>
        <v>2</v>
      </c>
      <c r="Q267" s="19">
        <f t="shared" ca="1" si="42"/>
        <v>31.761823741914817</v>
      </c>
      <c r="R267" s="10">
        <f t="shared" ca="1" si="43"/>
        <v>0.96863114551964746</v>
      </c>
      <c r="S267" s="9">
        <f t="shared" ca="1" si="44"/>
        <v>2</v>
      </c>
      <c r="T267" s="9" t="str">
        <f t="shared" ca="1" si="45"/>
        <v>sí</v>
      </c>
    </row>
    <row r="268" spans="12:20" x14ac:dyDescent="0.45">
      <c r="L268" s="9">
        <v>264</v>
      </c>
      <c r="M268" s="9" t="str">
        <f>""</f>
        <v/>
      </c>
      <c r="N268" s="9" t="str">
        <f t="shared" ca="1" si="39"/>
        <v>PCD351</v>
      </c>
      <c r="O268" s="11">
        <f t="shared" ca="1" si="40"/>
        <v>0.94002928748772918</v>
      </c>
      <c r="P268" s="9">
        <f t="shared" ca="1" si="41"/>
        <v>1</v>
      </c>
      <c r="Q268" s="19">
        <f t="shared" ca="1" si="42"/>
        <v>19.672682485674247</v>
      </c>
      <c r="R268" s="10">
        <f t="shared" ca="1" si="43"/>
        <v>-0.72734057040516231</v>
      </c>
      <c r="S268" s="9">
        <f t="shared" ca="1" si="44"/>
        <v>1</v>
      </c>
      <c r="T268" s="9" t="str">
        <f t="shared" ca="1" si="45"/>
        <v>sí</v>
      </c>
    </row>
    <row r="269" spans="12:20" x14ac:dyDescent="0.45">
      <c r="L269" s="9">
        <v>265</v>
      </c>
      <c r="M269" s="9" t="str">
        <f>""</f>
        <v/>
      </c>
      <c r="N269" s="9" t="str">
        <f t="shared" ca="1" si="39"/>
        <v>FAU824</v>
      </c>
      <c r="O269" s="11">
        <f t="shared" ca="1" si="40"/>
        <v>0.89693716026144665</v>
      </c>
      <c r="P269" s="9">
        <f t="shared" ca="1" si="41"/>
        <v>1</v>
      </c>
      <c r="Q269" s="19">
        <f t="shared" ca="1" si="42"/>
        <v>36.380313005470271</v>
      </c>
      <c r="R269" s="10">
        <f t="shared" ca="1" si="43"/>
        <v>-1.3168075434627569</v>
      </c>
      <c r="S269" s="9">
        <f t="shared" ca="1" si="44"/>
        <v>2</v>
      </c>
      <c r="T269" s="9" t="str">
        <f t="shared" ca="1" si="45"/>
        <v>sí</v>
      </c>
    </row>
    <row r="270" spans="12:20" x14ac:dyDescent="0.45">
      <c r="L270" s="9">
        <v>266</v>
      </c>
      <c r="M270" s="9" t="str">
        <f>""</f>
        <v/>
      </c>
      <c r="N270" s="9" t="str">
        <f t="shared" ca="1" si="39"/>
        <v>KIP035</v>
      </c>
      <c r="O270" s="11">
        <f t="shared" ca="1" si="40"/>
        <v>0.89326366521391765</v>
      </c>
      <c r="P270" s="9">
        <f t="shared" ca="1" si="41"/>
        <v>1</v>
      </c>
      <c r="Q270" s="19">
        <f t="shared" ca="1" si="42"/>
        <v>32.642278940055441</v>
      </c>
      <c r="R270" s="10">
        <f t="shared" ca="1" si="43"/>
        <v>2.643305918673641</v>
      </c>
      <c r="S270" s="9">
        <f t="shared" ca="1" si="44"/>
        <v>2</v>
      </c>
      <c r="T270" s="9" t="str">
        <f t="shared" ca="1" si="45"/>
        <v>sí</v>
      </c>
    </row>
    <row r="271" spans="12:20" x14ac:dyDescent="0.45">
      <c r="L271" s="9">
        <v>267</v>
      </c>
      <c r="M271" s="9" t="str">
        <f>""</f>
        <v/>
      </c>
      <c r="N271" s="9" t="str">
        <f t="shared" ca="1" si="39"/>
        <v>MRR050</v>
      </c>
      <c r="O271" s="11">
        <f t="shared" ca="1" si="40"/>
        <v>0.92509367671793596</v>
      </c>
      <c r="P271" s="9">
        <f t="shared" ca="1" si="41"/>
        <v>1</v>
      </c>
      <c r="Q271" s="19">
        <f t="shared" ca="1" si="42"/>
        <v>29.672390802536341</v>
      </c>
      <c r="R271" s="10">
        <f t="shared" ca="1" si="43"/>
        <v>-2.2206602484026465</v>
      </c>
      <c r="S271" s="9">
        <f t="shared" ca="1" si="44"/>
        <v>1</v>
      </c>
      <c r="T271" s="9" t="str">
        <f t="shared" ca="1" si="45"/>
        <v>sí</v>
      </c>
    </row>
    <row r="272" spans="12:20" x14ac:dyDescent="0.45">
      <c r="L272" s="9">
        <v>268</v>
      </c>
      <c r="M272" s="9" t="str">
        <f>""</f>
        <v/>
      </c>
      <c r="N272" s="9" t="str">
        <f t="shared" ca="1" si="39"/>
        <v>DNZ485</v>
      </c>
      <c r="O272" s="11">
        <f t="shared" ca="1" si="40"/>
        <v>0.88181291497755887</v>
      </c>
      <c r="P272" s="9">
        <f t="shared" ca="1" si="41"/>
        <v>1</v>
      </c>
      <c r="Q272" s="19">
        <f t="shared" ca="1" si="42"/>
        <v>26.743055637569203</v>
      </c>
      <c r="R272" s="10">
        <f t="shared" ca="1" si="43"/>
        <v>8.4202750758308369</v>
      </c>
      <c r="S272" s="9">
        <f t="shared" ca="1" si="44"/>
        <v>1</v>
      </c>
      <c r="T272" s="9" t="str">
        <f t="shared" ca="1" si="45"/>
        <v>sí</v>
      </c>
    </row>
    <row r="273" spans="12:20" x14ac:dyDescent="0.45">
      <c r="L273" s="9">
        <v>269</v>
      </c>
      <c r="M273" s="9" t="str">
        <f>""</f>
        <v/>
      </c>
      <c r="N273" s="9" t="str">
        <f t="shared" ca="1" si="39"/>
        <v>YGA316</v>
      </c>
      <c r="O273" s="11">
        <f t="shared" ca="1" si="40"/>
        <v>0.92426648176406134</v>
      </c>
      <c r="P273" s="9">
        <f t="shared" ca="1" si="41"/>
        <v>1</v>
      </c>
      <c r="Q273" s="19">
        <f t="shared" ca="1" si="42"/>
        <v>38.618547818664766</v>
      </c>
      <c r="R273" s="10">
        <f t="shared" ca="1" si="43"/>
        <v>-0.38406970999165579</v>
      </c>
      <c r="S273" s="9">
        <f t="shared" ca="1" si="44"/>
        <v>7</v>
      </c>
      <c r="T273" s="9" t="str">
        <f t="shared" ca="1" si="45"/>
        <v>sí</v>
      </c>
    </row>
    <row r="274" spans="12:20" x14ac:dyDescent="0.45">
      <c r="L274" s="9">
        <v>270</v>
      </c>
      <c r="M274" s="9" t="str">
        <f>""</f>
        <v/>
      </c>
      <c r="N274" s="9" t="str">
        <f t="shared" ca="1" si="39"/>
        <v>HAT733</v>
      </c>
      <c r="O274" s="11">
        <f t="shared" ca="1" si="40"/>
        <v>0.8884790918124944</v>
      </c>
      <c r="P274" s="9">
        <f t="shared" ca="1" si="41"/>
        <v>1</v>
      </c>
      <c r="Q274" s="19">
        <f t="shared" ca="1" si="42"/>
        <v>26.394387111259604</v>
      </c>
      <c r="R274" s="10">
        <f t="shared" ca="1" si="43"/>
        <v>-2.6256822506340547</v>
      </c>
      <c r="S274" s="9">
        <f t="shared" ca="1" si="44"/>
        <v>1</v>
      </c>
      <c r="T274" s="9" t="str">
        <f t="shared" ca="1" si="45"/>
        <v>sí</v>
      </c>
    </row>
    <row r="275" spans="12:20" x14ac:dyDescent="0.45">
      <c r="L275" s="9">
        <v>271</v>
      </c>
      <c r="M275" s="9" t="str">
        <f>""</f>
        <v/>
      </c>
      <c r="N275" s="9" t="str">
        <f t="shared" ca="1" si="39"/>
        <v>ACR855</v>
      </c>
      <c r="O275" s="11">
        <f t="shared" ca="1" si="40"/>
        <v>0.94591932902966414</v>
      </c>
      <c r="P275" s="9">
        <f t="shared" ca="1" si="41"/>
        <v>2</v>
      </c>
      <c r="Q275" s="19">
        <f t="shared" ca="1" si="42"/>
        <v>24.091700442357187</v>
      </c>
      <c r="R275" s="10">
        <f t="shared" ca="1" si="43"/>
        <v>-1.1812376457282785</v>
      </c>
      <c r="S275" s="9">
        <f t="shared" ca="1" si="44"/>
        <v>1</v>
      </c>
      <c r="T275" s="9" t="str">
        <f t="shared" ca="1" si="45"/>
        <v>sí</v>
      </c>
    </row>
    <row r="276" spans="12:20" x14ac:dyDescent="0.45">
      <c r="L276" s="9">
        <v>272</v>
      </c>
      <c r="M276" s="9" t="str">
        <f>""</f>
        <v/>
      </c>
      <c r="N276" s="9" t="str">
        <f t="shared" ca="1" si="39"/>
        <v>KVG222</v>
      </c>
      <c r="O276" s="11">
        <f t="shared" ca="1" si="40"/>
        <v>0.94926112898895199</v>
      </c>
      <c r="P276" s="9">
        <f t="shared" ca="1" si="41"/>
        <v>1</v>
      </c>
      <c r="Q276" s="19">
        <f t="shared" ca="1" si="42"/>
        <v>21.169029132740988</v>
      </c>
      <c r="R276" s="10">
        <f t="shared" ca="1" si="43"/>
        <v>4.1082033755969718</v>
      </c>
      <c r="S276" s="9">
        <f t="shared" ca="1" si="44"/>
        <v>1</v>
      </c>
      <c r="T276" s="9" t="str">
        <f t="shared" ca="1" si="45"/>
        <v>sí</v>
      </c>
    </row>
    <row r="277" spans="12:20" x14ac:dyDescent="0.45">
      <c r="L277" s="9">
        <v>273</v>
      </c>
      <c r="M277" s="9" t="str">
        <f>""</f>
        <v/>
      </c>
      <c r="N277" s="9" t="str">
        <f t="shared" ca="1" si="39"/>
        <v>GXG778</v>
      </c>
      <c r="O277" s="11">
        <f t="shared" ca="1" si="40"/>
        <v>0.71692582825995455</v>
      </c>
      <c r="P277" s="9">
        <f t="shared" ca="1" si="41"/>
        <v>1</v>
      </c>
      <c r="Q277" s="19">
        <f t="shared" ca="1" si="42"/>
        <v>23.274562345701806</v>
      </c>
      <c r="R277" s="10">
        <f t="shared" ca="1" si="43"/>
        <v>3.8736971635235848</v>
      </c>
      <c r="S277" s="9">
        <f t="shared" ca="1" si="44"/>
        <v>1</v>
      </c>
      <c r="T277" s="9" t="str">
        <f t="shared" ca="1" si="45"/>
        <v>no</v>
      </c>
    </row>
    <row r="278" spans="12:20" x14ac:dyDescent="0.45">
      <c r="L278" s="9">
        <v>274</v>
      </c>
      <c r="M278" s="9" t="str">
        <f>""</f>
        <v/>
      </c>
      <c r="N278" s="9" t="str">
        <f t="shared" ca="1" si="39"/>
        <v>ZSX238</v>
      </c>
      <c r="O278" s="11">
        <f t="shared" ca="1" si="40"/>
        <v>0.96039197249446762</v>
      </c>
      <c r="P278" s="9">
        <f t="shared" ca="1" si="41"/>
        <v>1</v>
      </c>
      <c r="Q278" s="19">
        <f t="shared" ca="1" si="42"/>
        <v>23.57648827075063</v>
      </c>
      <c r="R278" s="10">
        <f t="shared" ca="1" si="43"/>
        <v>3.6850521126424587</v>
      </c>
      <c r="S278" s="9">
        <f t="shared" ca="1" si="44"/>
        <v>2</v>
      </c>
      <c r="T278" s="9" t="str">
        <f t="shared" ca="1" si="45"/>
        <v>sí</v>
      </c>
    </row>
    <row r="279" spans="12:20" x14ac:dyDescent="0.45">
      <c r="L279" s="9">
        <v>275</v>
      </c>
      <c r="M279" s="9" t="str">
        <f>""</f>
        <v/>
      </c>
      <c r="N279" s="9" t="str">
        <f t="shared" ca="1" si="39"/>
        <v>ZSZ854</v>
      </c>
      <c r="O279" s="11">
        <f t="shared" ca="1" si="40"/>
        <v>0.94831368072423505</v>
      </c>
      <c r="P279" s="9">
        <f t="shared" ca="1" si="41"/>
        <v>1</v>
      </c>
      <c r="Q279" s="19">
        <f t="shared" ca="1" si="42"/>
        <v>24.28929373565391</v>
      </c>
      <c r="R279" s="10">
        <f t="shared" ca="1" si="43"/>
        <v>5.1015798312376957</v>
      </c>
      <c r="S279" s="9">
        <f t="shared" ca="1" si="44"/>
        <v>2</v>
      </c>
      <c r="T279" s="9" t="str">
        <f t="shared" ca="1" si="45"/>
        <v>sí</v>
      </c>
    </row>
    <row r="280" spans="12:20" x14ac:dyDescent="0.45">
      <c r="L280" s="9">
        <v>276</v>
      </c>
      <c r="M280" s="9" t="str">
        <f>""</f>
        <v/>
      </c>
      <c r="N280" s="9" t="str">
        <f t="shared" ca="1" si="39"/>
        <v>CIK505</v>
      </c>
      <c r="O280" s="11">
        <f t="shared" ca="1" si="40"/>
        <v>0.88119631831813505</v>
      </c>
      <c r="P280" s="9">
        <f t="shared" ca="1" si="41"/>
        <v>1</v>
      </c>
      <c r="Q280" s="19">
        <f t="shared" ca="1" si="42"/>
        <v>30.135831068597632</v>
      </c>
      <c r="R280" s="10">
        <f t="shared" ca="1" si="43"/>
        <v>-0.93149642364223628</v>
      </c>
      <c r="S280" s="9">
        <f t="shared" ca="1" si="44"/>
        <v>1</v>
      </c>
      <c r="T280" s="9" t="str">
        <f t="shared" ca="1" si="45"/>
        <v>sí</v>
      </c>
    </row>
    <row r="281" spans="12:20" x14ac:dyDescent="0.45">
      <c r="L281" s="9">
        <v>277</v>
      </c>
      <c r="M281" s="9" t="str">
        <f>""</f>
        <v/>
      </c>
      <c r="N281" s="9" t="str">
        <f t="shared" ca="1" si="39"/>
        <v>JPP355</v>
      </c>
      <c r="O281" s="11">
        <f t="shared" ca="1" si="40"/>
        <v>0.80106022833311219</v>
      </c>
      <c r="P281" s="9">
        <f t="shared" ca="1" si="41"/>
        <v>1</v>
      </c>
      <c r="Q281" s="19">
        <f t="shared" ca="1" si="42"/>
        <v>41.544531120350491</v>
      </c>
      <c r="R281" s="10">
        <f t="shared" ca="1" si="43"/>
        <v>2.4410574514829655</v>
      </c>
      <c r="S281" s="9">
        <f t="shared" ca="1" si="44"/>
        <v>1</v>
      </c>
      <c r="T281" s="9" t="str">
        <f t="shared" ca="1" si="45"/>
        <v>sí</v>
      </c>
    </row>
    <row r="282" spans="12:20" x14ac:dyDescent="0.45">
      <c r="L282" s="9">
        <v>278</v>
      </c>
      <c r="M282" s="9" t="str">
        <f>""</f>
        <v/>
      </c>
      <c r="N282" s="9" t="str">
        <f t="shared" ca="1" si="39"/>
        <v>XND463</v>
      </c>
      <c r="O282" s="11">
        <f t="shared" ca="1" si="40"/>
        <v>0.93185962127534894</v>
      </c>
      <c r="P282" s="9">
        <f t="shared" ca="1" si="41"/>
        <v>1</v>
      </c>
      <c r="Q282" s="19">
        <f t="shared" ca="1" si="42"/>
        <v>29.008647213796941</v>
      </c>
      <c r="R282" s="10">
        <f t="shared" ca="1" si="43"/>
        <v>7.6755587011905746</v>
      </c>
      <c r="S282" s="9">
        <f t="shared" ca="1" si="44"/>
        <v>1</v>
      </c>
      <c r="T282" s="9" t="str">
        <f t="shared" ca="1" si="45"/>
        <v>sí</v>
      </c>
    </row>
    <row r="283" spans="12:20" x14ac:dyDescent="0.45">
      <c r="L283" s="9">
        <v>279</v>
      </c>
      <c r="M283" s="9" t="str">
        <f>""</f>
        <v/>
      </c>
      <c r="N283" s="9" t="str">
        <f t="shared" ca="1" si="39"/>
        <v>PID608</v>
      </c>
      <c r="O283" s="11">
        <f t="shared" ca="1" si="40"/>
        <v>0.92023063993959475</v>
      </c>
      <c r="P283" s="9">
        <f t="shared" ca="1" si="41"/>
        <v>1</v>
      </c>
      <c r="Q283" s="19">
        <f t="shared" ca="1" si="42"/>
        <v>27.232606861569987</v>
      </c>
      <c r="R283" s="10">
        <f t="shared" ca="1" si="43"/>
        <v>-4.2421107992807032</v>
      </c>
      <c r="S283" s="9">
        <f t="shared" ca="1" si="44"/>
        <v>3</v>
      </c>
      <c r="T283" s="9" t="str">
        <f t="shared" ca="1" si="45"/>
        <v>sí</v>
      </c>
    </row>
    <row r="284" spans="12:20" x14ac:dyDescent="0.45">
      <c r="L284" s="9">
        <v>280</v>
      </c>
      <c r="M284" s="9" t="str">
        <f>""</f>
        <v/>
      </c>
      <c r="N284" s="9" t="str">
        <f t="shared" ca="1" si="39"/>
        <v>FVF819</v>
      </c>
      <c r="O284" s="11">
        <f t="shared" ca="1" si="40"/>
        <v>0.84102853166553726</v>
      </c>
      <c r="P284" s="9">
        <f t="shared" ca="1" si="41"/>
        <v>1</v>
      </c>
      <c r="Q284" s="19">
        <f t="shared" ca="1" si="42"/>
        <v>23.857561149683459</v>
      </c>
      <c r="R284" s="10">
        <f t="shared" ca="1" si="43"/>
        <v>-1.6739787993721909</v>
      </c>
      <c r="S284" s="9">
        <f t="shared" ca="1" si="44"/>
        <v>4</v>
      </c>
      <c r="T284" s="9" t="str">
        <f t="shared" ca="1" si="45"/>
        <v>sí</v>
      </c>
    </row>
    <row r="285" spans="12:20" x14ac:dyDescent="0.45">
      <c r="L285" s="9">
        <v>281</v>
      </c>
      <c r="M285" s="9" t="str">
        <f>""</f>
        <v/>
      </c>
      <c r="N285" s="9" t="str">
        <f t="shared" ca="1" si="39"/>
        <v>JSZ979</v>
      </c>
      <c r="O285" s="11">
        <f t="shared" ca="1" si="40"/>
        <v>0.88777378937035567</v>
      </c>
      <c r="P285" s="9">
        <f t="shared" ca="1" si="41"/>
        <v>3</v>
      </c>
      <c r="Q285" s="19">
        <f t="shared" ca="1" si="42"/>
        <v>30.491720317930078</v>
      </c>
      <c r="R285" s="10">
        <f t="shared" ca="1" si="43"/>
        <v>1.3354606467104888</v>
      </c>
      <c r="S285" s="9">
        <f t="shared" ca="1" si="44"/>
        <v>1</v>
      </c>
      <c r="T285" s="9" t="str">
        <f t="shared" ca="1" si="45"/>
        <v>sí</v>
      </c>
    </row>
    <row r="286" spans="12:20" x14ac:dyDescent="0.45">
      <c r="L286" s="9">
        <v>282</v>
      </c>
      <c r="M286" s="9" t="str">
        <f>""</f>
        <v/>
      </c>
      <c r="N286" s="9" t="str">
        <f t="shared" ca="1" si="39"/>
        <v>UYL001</v>
      </c>
      <c r="O286" s="11">
        <f t="shared" ca="1" si="40"/>
        <v>0.85141021191078958</v>
      </c>
      <c r="P286" s="9">
        <f t="shared" ca="1" si="41"/>
        <v>2</v>
      </c>
      <c r="Q286" s="19">
        <f t="shared" ca="1" si="42"/>
        <v>40.420619033480584</v>
      </c>
      <c r="R286" s="10">
        <f t="shared" ca="1" si="43"/>
        <v>-0.10923574241179594</v>
      </c>
      <c r="S286" s="9">
        <f t="shared" ca="1" si="44"/>
        <v>3</v>
      </c>
      <c r="T286" s="9" t="str">
        <f t="shared" ca="1" si="45"/>
        <v>sí</v>
      </c>
    </row>
    <row r="287" spans="12:20" x14ac:dyDescent="0.45">
      <c r="L287" s="9">
        <v>283</v>
      </c>
      <c r="M287" s="9" t="str">
        <f>""</f>
        <v/>
      </c>
      <c r="N287" s="9" t="str">
        <f t="shared" ca="1" si="39"/>
        <v>VOT734</v>
      </c>
      <c r="O287" s="11">
        <f t="shared" ca="1" si="40"/>
        <v>0.87454352366350285</v>
      </c>
      <c r="P287" s="9">
        <f t="shared" ca="1" si="41"/>
        <v>1</v>
      </c>
      <c r="Q287" s="19">
        <f t="shared" ca="1" si="42"/>
        <v>17.771824774364632</v>
      </c>
      <c r="R287" s="10">
        <f t="shared" ca="1" si="43"/>
        <v>1.3189930387957278</v>
      </c>
      <c r="S287" s="9">
        <f t="shared" ca="1" si="44"/>
        <v>3</v>
      </c>
      <c r="T287" s="9" t="str">
        <f t="shared" ca="1" si="45"/>
        <v>sí</v>
      </c>
    </row>
    <row r="288" spans="12:20" x14ac:dyDescent="0.45">
      <c r="L288" s="9">
        <v>284</v>
      </c>
      <c r="M288" s="9" t="str">
        <f>""</f>
        <v/>
      </c>
      <c r="N288" s="9" t="str">
        <f t="shared" ca="1" si="39"/>
        <v>AJX673</v>
      </c>
      <c r="O288" s="11">
        <f t="shared" ca="1" si="40"/>
        <v>0.94185371242049953</v>
      </c>
      <c r="P288" s="9">
        <f t="shared" ca="1" si="41"/>
        <v>1</v>
      </c>
      <c r="Q288" s="19">
        <f t="shared" ca="1" si="42"/>
        <v>13.223137059605792</v>
      </c>
      <c r="R288" s="10">
        <f t="shared" ca="1" si="43"/>
        <v>1.8092221677690299</v>
      </c>
      <c r="S288" s="9">
        <f t="shared" ca="1" si="44"/>
        <v>1</v>
      </c>
      <c r="T288" s="9" t="str">
        <f t="shared" ca="1" si="45"/>
        <v>sí</v>
      </c>
    </row>
    <row r="289" spans="12:20" x14ac:dyDescent="0.45">
      <c r="L289" s="9">
        <v>285</v>
      </c>
      <c r="M289" s="9" t="str">
        <f>""</f>
        <v/>
      </c>
      <c r="N289" s="9" t="str">
        <f t="shared" ca="1" si="39"/>
        <v>NVY890</v>
      </c>
      <c r="O289" s="11">
        <f t="shared" ca="1" si="40"/>
        <v>0.94417641557868304</v>
      </c>
      <c r="P289" s="9">
        <f t="shared" ca="1" si="41"/>
        <v>1</v>
      </c>
      <c r="Q289" s="19">
        <f t="shared" ca="1" si="42"/>
        <v>52.694111161878382</v>
      </c>
      <c r="R289" s="10">
        <f t="shared" ca="1" si="43"/>
        <v>-7.2315469433624866</v>
      </c>
      <c r="S289" s="9">
        <f t="shared" ca="1" si="44"/>
        <v>1</v>
      </c>
      <c r="T289" s="9" t="str">
        <f t="shared" ca="1" si="45"/>
        <v>sí</v>
      </c>
    </row>
    <row r="290" spans="12:20" x14ac:dyDescent="0.45">
      <c r="L290" s="9">
        <v>286</v>
      </c>
      <c r="M290" s="9" t="str">
        <f>""</f>
        <v/>
      </c>
      <c r="N290" s="9" t="str">
        <f t="shared" ca="1" si="39"/>
        <v>FDH617</v>
      </c>
      <c r="O290" s="11">
        <f t="shared" ca="1" si="40"/>
        <v>0.84546679814070413</v>
      </c>
      <c r="P290" s="9">
        <f t="shared" ca="1" si="41"/>
        <v>1</v>
      </c>
      <c r="Q290" s="19">
        <f t="shared" ca="1" si="42"/>
        <v>28.330412834104294</v>
      </c>
      <c r="R290" s="10">
        <f t="shared" ca="1" si="43"/>
        <v>0.40582536268900904</v>
      </c>
      <c r="S290" s="9">
        <f t="shared" ca="1" si="44"/>
        <v>1</v>
      </c>
      <c r="T290" s="9" t="str">
        <f t="shared" ca="1" si="45"/>
        <v>sí</v>
      </c>
    </row>
    <row r="291" spans="12:20" x14ac:dyDescent="0.45">
      <c r="L291" s="9">
        <v>287</v>
      </c>
      <c r="M291" s="9" t="str">
        <f>""</f>
        <v/>
      </c>
      <c r="N291" s="9" t="str">
        <f t="shared" ca="1" si="39"/>
        <v>KXD036</v>
      </c>
      <c r="O291" s="11">
        <f t="shared" ca="1" si="40"/>
        <v>0.86925366452634223</v>
      </c>
      <c r="P291" s="9">
        <f t="shared" ca="1" si="41"/>
        <v>1</v>
      </c>
      <c r="Q291" s="19">
        <f t="shared" ca="1" si="42"/>
        <v>31.08858208224845</v>
      </c>
      <c r="R291" s="10">
        <f t="shared" ca="1" si="43"/>
        <v>0.40705132933538313</v>
      </c>
      <c r="S291" s="9">
        <f t="shared" ca="1" si="44"/>
        <v>1</v>
      </c>
      <c r="T291" s="9" t="str">
        <f t="shared" ca="1" si="45"/>
        <v>sí</v>
      </c>
    </row>
    <row r="292" spans="12:20" x14ac:dyDescent="0.45">
      <c r="L292" s="9">
        <v>288</v>
      </c>
      <c r="M292" s="9" t="str">
        <f>""</f>
        <v/>
      </c>
      <c r="N292" s="9" t="str">
        <f t="shared" ca="1" si="39"/>
        <v>FSY195</v>
      </c>
      <c r="O292" s="11">
        <f t="shared" ca="1" si="40"/>
        <v>0.95190941411508112</v>
      </c>
      <c r="P292" s="9">
        <f t="shared" ca="1" si="41"/>
        <v>1</v>
      </c>
      <c r="Q292" s="19">
        <f t="shared" ca="1" si="42"/>
        <v>36.030245320435043</v>
      </c>
      <c r="R292" s="10">
        <f t="shared" ca="1" si="43"/>
        <v>-1.8708426129702698</v>
      </c>
      <c r="S292" s="9">
        <f t="shared" ca="1" si="44"/>
        <v>3</v>
      </c>
      <c r="T292" s="9" t="str">
        <f t="shared" ca="1" si="45"/>
        <v>sí</v>
      </c>
    </row>
    <row r="293" spans="12:20" x14ac:dyDescent="0.45">
      <c r="L293" s="9">
        <v>289</v>
      </c>
      <c r="M293" s="9" t="str">
        <f>""</f>
        <v/>
      </c>
      <c r="N293" s="9" t="str">
        <f t="shared" ca="1" si="39"/>
        <v>KLH800</v>
      </c>
      <c r="O293" s="11">
        <f t="shared" ca="1" si="40"/>
        <v>0.81807700301598074</v>
      </c>
      <c r="P293" s="9">
        <f t="shared" ca="1" si="41"/>
        <v>1</v>
      </c>
      <c r="Q293" s="19">
        <f t="shared" ca="1" si="42"/>
        <v>34.131519424047319</v>
      </c>
      <c r="R293" s="10">
        <f t="shared" ca="1" si="43"/>
        <v>3.4944692401874935</v>
      </c>
      <c r="S293" s="9">
        <f t="shared" ca="1" si="44"/>
        <v>1</v>
      </c>
      <c r="T293" s="9" t="str">
        <f t="shared" ca="1" si="45"/>
        <v>sí</v>
      </c>
    </row>
    <row r="294" spans="12:20" x14ac:dyDescent="0.45">
      <c r="L294" s="9">
        <v>290</v>
      </c>
      <c r="M294" s="9" t="str">
        <f>""</f>
        <v/>
      </c>
      <c r="N294" s="9" t="str">
        <f t="shared" ca="1" si="39"/>
        <v>YEX733</v>
      </c>
      <c r="O294" s="11">
        <f t="shared" ca="1" si="40"/>
        <v>0.9839033852778134</v>
      </c>
      <c r="P294" s="9">
        <f t="shared" ca="1" si="41"/>
        <v>1</v>
      </c>
      <c r="Q294" s="19">
        <f t="shared" ca="1" si="42"/>
        <v>27.839227139896309</v>
      </c>
      <c r="R294" s="10">
        <f t="shared" ca="1" si="43"/>
        <v>-2.9146906030791202</v>
      </c>
      <c r="S294" s="9">
        <f t="shared" ca="1" si="44"/>
        <v>1</v>
      </c>
      <c r="T294" s="9" t="str">
        <f t="shared" ca="1" si="45"/>
        <v>sí</v>
      </c>
    </row>
    <row r="295" spans="12:20" x14ac:dyDescent="0.45">
      <c r="L295" s="9">
        <v>291</v>
      </c>
      <c r="M295" s="9" t="str">
        <f>""</f>
        <v/>
      </c>
      <c r="N295" s="9" t="str">
        <f t="shared" ca="1" si="39"/>
        <v>YSM763</v>
      </c>
      <c r="O295" s="11">
        <f t="shared" ca="1" si="40"/>
        <v>0.90036192728378106</v>
      </c>
      <c r="P295" s="9">
        <f t="shared" ca="1" si="41"/>
        <v>1</v>
      </c>
      <c r="Q295" s="19">
        <f t="shared" ca="1" si="42"/>
        <v>23.553115539478902</v>
      </c>
      <c r="R295" s="10">
        <f t="shared" ca="1" si="43"/>
        <v>1.8250536099489356</v>
      </c>
      <c r="S295" s="9">
        <f t="shared" ca="1" si="44"/>
        <v>1</v>
      </c>
      <c r="T295" s="9" t="str">
        <f t="shared" ca="1" si="45"/>
        <v>sí</v>
      </c>
    </row>
    <row r="296" spans="12:20" x14ac:dyDescent="0.45">
      <c r="L296" s="9">
        <v>292</v>
      </c>
      <c r="M296" s="9" t="str">
        <f>""</f>
        <v/>
      </c>
      <c r="N296" s="9" t="str">
        <f t="shared" ca="1" si="39"/>
        <v>SMH292</v>
      </c>
      <c r="O296" s="11">
        <f t="shared" ca="1" si="40"/>
        <v>0.78860062170964029</v>
      </c>
      <c r="P296" s="9">
        <f t="shared" ca="1" si="41"/>
        <v>3</v>
      </c>
      <c r="Q296" s="19">
        <f t="shared" ca="1" si="42"/>
        <v>42.507140428125702</v>
      </c>
      <c r="R296" s="10">
        <f t="shared" ca="1" si="43"/>
        <v>-7.9601325184820642</v>
      </c>
      <c r="S296" s="9">
        <f t="shared" ca="1" si="44"/>
        <v>1</v>
      </c>
      <c r="T296" s="9" t="str">
        <f t="shared" ca="1" si="45"/>
        <v>no</v>
      </c>
    </row>
    <row r="297" spans="12:20" x14ac:dyDescent="0.45">
      <c r="L297" s="9">
        <v>293</v>
      </c>
      <c r="M297" s="9" t="str">
        <f>""</f>
        <v/>
      </c>
      <c r="N297" s="9" t="str">
        <f t="shared" ca="1" si="39"/>
        <v>YAB337</v>
      </c>
      <c r="O297" s="11">
        <f t="shared" ca="1" si="40"/>
        <v>0.83566256884421075</v>
      </c>
      <c r="P297" s="9">
        <f t="shared" ca="1" si="41"/>
        <v>3</v>
      </c>
      <c r="Q297" s="19">
        <f t="shared" ca="1" si="42"/>
        <v>22.839457333414213</v>
      </c>
      <c r="R297" s="10">
        <f t="shared" ca="1" si="43"/>
        <v>3.6746797268112354</v>
      </c>
      <c r="S297" s="9">
        <f t="shared" ca="1" si="44"/>
        <v>4</v>
      </c>
      <c r="T297" s="9" t="str">
        <f t="shared" ca="1" si="45"/>
        <v>sí</v>
      </c>
    </row>
    <row r="298" spans="12:20" x14ac:dyDescent="0.45">
      <c r="L298" s="9">
        <v>294</v>
      </c>
      <c r="M298" s="9" t="str">
        <f>""</f>
        <v/>
      </c>
      <c r="N298" s="9" t="str">
        <f t="shared" ca="1" si="39"/>
        <v>GDS635</v>
      </c>
      <c r="O298" s="11">
        <f t="shared" ca="1" si="40"/>
        <v>0.95688319309274705</v>
      </c>
      <c r="P298" s="9">
        <f t="shared" ca="1" si="41"/>
        <v>1</v>
      </c>
      <c r="Q298" s="19">
        <f t="shared" ca="1" si="42"/>
        <v>26.422064573867765</v>
      </c>
      <c r="R298" s="10">
        <f t="shared" ca="1" si="43"/>
        <v>-3.7868107197452705</v>
      </c>
      <c r="S298" s="9">
        <f t="shared" ca="1" si="44"/>
        <v>2</v>
      </c>
      <c r="T298" s="9" t="str">
        <f t="shared" ca="1" si="45"/>
        <v>sí</v>
      </c>
    </row>
    <row r="299" spans="12:20" x14ac:dyDescent="0.45">
      <c r="L299" s="9">
        <v>295</v>
      </c>
      <c r="M299" s="9" t="str">
        <f>""</f>
        <v/>
      </c>
      <c r="N299" s="9" t="str">
        <f t="shared" ca="1" si="39"/>
        <v>AEP421</v>
      </c>
      <c r="O299" s="11">
        <f t="shared" ca="1" si="40"/>
        <v>0.80805691353155573</v>
      </c>
      <c r="P299" s="9">
        <f t="shared" ca="1" si="41"/>
        <v>1</v>
      </c>
      <c r="Q299" s="19">
        <f t="shared" ca="1" si="42"/>
        <v>33.812860543752315</v>
      </c>
      <c r="R299" s="10">
        <f t="shared" ca="1" si="43"/>
        <v>2.1383126769376792</v>
      </c>
      <c r="S299" s="9">
        <f t="shared" ca="1" si="44"/>
        <v>1</v>
      </c>
      <c r="T299" s="9" t="str">
        <f t="shared" ca="1" si="45"/>
        <v>sí</v>
      </c>
    </row>
    <row r="300" spans="12:20" x14ac:dyDescent="0.45">
      <c r="L300" s="9">
        <v>296</v>
      </c>
      <c r="M300" s="9" t="str">
        <f>""</f>
        <v/>
      </c>
      <c r="N300" s="9" t="str">
        <f t="shared" ca="1" si="39"/>
        <v>ZPH622</v>
      </c>
      <c r="O300" s="11">
        <f t="shared" ca="1" si="40"/>
        <v>0.94231262034590024</v>
      </c>
      <c r="P300" s="9">
        <f t="shared" ca="1" si="41"/>
        <v>2</v>
      </c>
      <c r="Q300" s="19">
        <f t="shared" ca="1" si="42"/>
        <v>23.594242874363577</v>
      </c>
      <c r="R300" s="10">
        <f t="shared" ca="1" si="43"/>
        <v>-0.71964056406789467</v>
      </c>
      <c r="S300" s="9">
        <f t="shared" ca="1" si="44"/>
        <v>6</v>
      </c>
      <c r="T300" s="9" t="str">
        <f t="shared" ca="1" si="45"/>
        <v>sí</v>
      </c>
    </row>
    <row r="301" spans="12:20" x14ac:dyDescent="0.45">
      <c r="L301" s="9">
        <v>297</v>
      </c>
      <c r="M301" s="9" t="str">
        <f>""</f>
        <v/>
      </c>
      <c r="N301" s="9" t="str">
        <f t="shared" ca="1" si="39"/>
        <v>RNT847</v>
      </c>
      <c r="O301" s="11">
        <f t="shared" ca="1" si="40"/>
        <v>0.85341563745735172</v>
      </c>
      <c r="P301" s="9">
        <f t="shared" ca="1" si="41"/>
        <v>1</v>
      </c>
      <c r="Q301" s="19">
        <f t="shared" ca="1" si="42"/>
        <v>26.864015677029826</v>
      </c>
      <c r="R301" s="10">
        <f t="shared" ca="1" si="43"/>
        <v>-0.71014059566505217</v>
      </c>
      <c r="S301" s="9">
        <f t="shared" ca="1" si="44"/>
        <v>1</v>
      </c>
      <c r="T301" s="9" t="str">
        <f t="shared" ca="1" si="45"/>
        <v>sí</v>
      </c>
    </row>
    <row r="302" spans="12:20" x14ac:dyDescent="0.45">
      <c r="L302" s="9">
        <v>298</v>
      </c>
      <c r="M302" s="9" t="str">
        <f>""</f>
        <v/>
      </c>
      <c r="N302" s="9" t="str">
        <f t="shared" ca="1" si="39"/>
        <v>TBK120</v>
      </c>
      <c r="O302" s="11">
        <f t="shared" ca="1" si="40"/>
        <v>0.87822074670094663</v>
      </c>
      <c r="P302" s="9">
        <f t="shared" ca="1" si="41"/>
        <v>1</v>
      </c>
      <c r="Q302" s="19">
        <f t="shared" ca="1" si="42"/>
        <v>36.879401022935134</v>
      </c>
      <c r="R302" s="10">
        <f t="shared" ca="1" si="43"/>
        <v>0.76864644307733032</v>
      </c>
      <c r="S302" s="9">
        <f t="shared" ca="1" si="44"/>
        <v>1</v>
      </c>
      <c r="T302" s="9" t="str">
        <f t="shared" ca="1" si="45"/>
        <v>sí</v>
      </c>
    </row>
    <row r="303" spans="12:20" x14ac:dyDescent="0.45">
      <c r="L303" s="9">
        <v>299</v>
      </c>
      <c r="M303" s="9" t="str">
        <f>""</f>
        <v/>
      </c>
      <c r="N303" s="9" t="str">
        <f t="shared" ca="1" si="39"/>
        <v>UMO943</v>
      </c>
      <c r="O303" s="11">
        <f t="shared" ca="1" si="40"/>
        <v>0.96863861933064554</v>
      </c>
      <c r="P303" s="9">
        <f t="shared" ca="1" si="41"/>
        <v>1</v>
      </c>
      <c r="Q303" s="19">
        <f t="shared" ca="1" si="42"/>
        <v>30.880308682524966</v>
      </c>
      <c r="R303" s="10">
        <f t="shared" ca="1" si="43"/>
        <v>4.5338560606105816</v>
      </c>
      <c r="S303" s="9">
        <f t="shared" ca="1" si="44"/>
        <v>1</v>
      </c>
      <c r="T303" s="9" t="str">
        <f t="shared" ca="1" si="45"/>
        <v>sí</v>
      </c>
    </row>
    <row r="304" spans="12:20" x14ac:dyDescent="0.45">
      <c r="L304" s="9">
        <v>300</v>
      </c>
      <c r="M304" s="9" t="str">
        <f>""</f>
        <v/>
      </c>
      <c r="N304" s="9" t="str">
        <f t="shared" ca="1" si="39"/>
        <v>GGW351</v>
      </c>
      <c r="O304" s="11">
        <f t="shared" ca="1" si="40"/>
        <v>0.89746689114509337</v>
      </c>
      <c r="P304" s="9">
        <f t="shared" ca="1" si="41"/>
        <v>1</v>
      </c>
      <c r="Q304" s="19">
        <f t="shared" ca="1" si="42"/>
        <v>22.394182504205222</v>
      </c>
      <c r="R304" s="10">
        <f t="shared" ca="1" si="43"/>
        <v>2.5369488910477296</v>
      </c>
      <c r="S304" s="9">
        <f t="shared" ca="1" si="44"/>
        <v>1</v>
      </c>
      <c r="T304" s="9" t="str">
        <f t="shared" ca="1" si="45"/>
        <v>sí</v>
      </c>
    </row>
  </sheetData>
  <mergeCells count="25">
    <mergeCell ref="C5:E5"/>
    <mergeCell ref="B29:C30"/>
    <mergeCell ref="B36:C36"/>
    <mergeCell ref="B32:C32"/>
    <mergeCell ref="B28:C28"/>
    <mergeCell ref="D28:E28"/>
    <mergeCell ref="F28:G28"/>
    <mergeCell ref="H28:I28"/>
    <mergeCell ref="H29:I30"/>
    <mergeCell ref="H37:I38"/>
    <mergeCell ref="B33:C34"/>
    <mergeCell ref="D29:E30"/>
    <mergeCell ref="F29:G30"/>
    <mergeCell ref="D32:E32"/>
    <mergeCell ref="F36:G36"/>
    <mergeCell ref="F32:G32"/>
    <mergeCell ref="H36:I36"/>
    <mergeCell ref="H33:I34"/>
    <mergeCell ref="H32:I32"/>
    <mergeCell ref="F33:G34"/>
    <mergeCell ref="B37:C38"/>
    <mergeCell ref="D36:E36"/>
    <mergeCell ref="D33:E34"/>
    <mergeCell ref="D37:E38"/>
    <mergeCell ref="F37:G38"/>
  </mergeCells>
  <conditionalFormatting sqref="B20:F25">
    <cfRule type="expression" dxfId="0" priority="1">
      <formula>ROW()-19=$C$6</formula>
    </cfRule>
  </conditionalFormatting>
  <dataValidations count="1">
    <dataValidation type="list" sqref="C5">
      <formula1>"Vehículos por minuto (Poisson),Confianza de detección (Beta),Intentos de OCR (geométrica),Latencia en ms (lognormal),Error de posición px (normal),Pasos por placa (serie logarítmica)"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4"/>
  <sheetViews>
    <sheetView showGridLines="0" tabSelected="1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3" customWidth="1"/>
    <col min="2" max="2" width="34" customWidth="1"/>
    <col min="3" max="10" width="11" customWidth="1"/>
    <col min="11" max="11" width="3" customWidth="1"/>
    <col min="12" max="12" width="6" customWidth="1"/>
    <col min="13" max="14" width="9" customWidth="1"/>
    <col min="15" max="15" width="11" customWidth="1"/>
    <col min="16" max="16" width="22" customWidth="1"/>
    <col min="17" max="17" width="30" customWidth="1"/>
  </cols>
  <sheetData>
    <row r="1" spans="1:17" ht="15" customHeight="1" x14ac:dyDescent="0.6">
      <c r="A1" s="1" t="s">
        <v>284</v>
      </c>
    </row>
    <row r="2" spans="1:17" ht="15" customHeight="1" x14ac:dyDescent="0.45">
      <c r="A2" s="2" t="s">
        <v>285</v>
      </c>
    </row>
    <row r="3" spans="1:17" ht="15" customHeight="1" x14ac:dyDescent="0.45"/>
    <row r="4" spans="1:17" ht="28.05" customHeight="1" x14ac:dyDescent="0.45">
      <c r="L4" s="3" t="s">
        <v>29</v>
      </c>
      <c r="M4" s="3" t="s">
        <v>286</v>
      </c>
      <c r="N4" s="3" t="s">
        <v>287</v>
      </c>
      <c r="O4" s="3" t="s">
        <v>288</v>
      </c>
      <c r="P4" s="3" t="s">
        <v>289</v>
      </c>
      <c r="Q4" s="3" t="s">
        <v>290</v>
      </c>
    </row>
    <row r="5" spans="1:17" ht="15" customHeight="1" x14ac:dyDescent="0.45">
      <c r="B5" s="4" t="s">
        <v>291</v>
      </c>
      <c r="C5" s="27">
        <v>0.95</v>
      </c>
      <c r="L5" s="9">
        <v>1</v>
      </c>
      <c r="M5" s="9" t="str">
        <f t="shared" ref="M5:M68" ca="1" si="0">INDEX($B$11:$B$13,MATCH(RAND(),$C$15:$C$17,1))</f>
        <v>1-2</v>
      </c>
      <c r="N5" s="9">
        <f t="shared" ref="N5:N68" ca="1" si="1">MATCH(RAND(),INDEX($D$15:$H$17,MATCH(M5,$B$11:$B$13,0),0),1)</f>
        <v>4</v>
      </c>
      <c r="O5" s="10">
        <f t="shared" ref="O5:O68" ca="1" si="2">MAX(0,_xlfn.NORM.INV(RAND(),2.5+0.4*(N5-3),1))</f>
        <v>1.6503703978642164</v>
      </c>
      <c r="P5" s="9" t="str">
        <f t="shared" ref="P5:P68" ca="1" si="3">INDEX($B$20:$B$24,MATCH(RAND(),$D$20:$D$24,1))</f>
        <v>vive en arriendo</v>
      </c>
      <c r="Q5" s="9" t="str">
        <f t="shared" ref="Q5:Q68" ca="1" si="4">"«"&amp;INDEX($E$20:$E$24,MATCH(P5,$B$20:$B$24,0))&amp;"»"</f>
        <v>«la casa no es mía»</v>
      </c>
    </row>
    <row r="6" spans="1:17" ht="15" customHeight="1" x14ac:dyDescent="0.45">
      <c r="B6" s="7" t="s">
        <v>292</v>
      </c>
      <c r="C6" s="28">
        <v>0.05</v>
      </c>
      <c r="L6" s="9">
        <v>2</v>
      </c>
      <c r="M6" s="9" t="str">
        <f t="shared" ca="1" si="0"/>
        <v>3-4</v>
      </c>
      <c r="N6" s="9">
        <f t="shared" ca="1" si="1"/>
        <v>4</v>
      </c>
      <c r="O6" s="10">
        <f t="shared" ca="1" si="2"/>
        <v>2.5762548448468712</v>
      </c>
      <c r="P6" s="9" t="str">
        <f t="shared" ca="1" si="3"/>
        <v>costo inicial</v>
      </c>
      <c r="Q6" s="9" t="str">
        <f t="shared" ca="1" si="4"/>
        <v>«es muy caro instalarlo»</v>
      </c>
    </row>
    <row r="7" spans="1:17" ht="15" customHeight="1" x14ac:dyDescent="0.45">
      <c r="B7" s="7" t="s">
        <v>293</v>
      </c>
      <c r="C7" s="17">
        <v>0.5</v>
      </c>
      <c r="L7" s="9">
        <v>3</v>
      </c>
      <c r="M7" s="9" t="str">
        <f t="shared" ca="1" si="0"/>
        <v>5-6</v>
      </c>
      <c r="N7" s="9">
        <f t="shared" ca="1" si="1"/>
        <v>4</v>
      </c>
      <c r="O7" s="10">
        <f t="shared" ca="1" si="2"/>
        <v>2.4108923782675395</v>
      </c>
      <c r="P7" s="9" t="str">
        <f t="shared" ca="1" si="3"/>
        <v>ninguna</v>
      </c>
      <c r="Q7" s="9" t="str">
        <f t="shared" ca="1" si="4"/>
        <v>«lo haría ya»</v>
      </c>
    </row>
    <row r="8" spans="1:17" ht="15" customHeight="1" x14ac:dyDescent="0.45">
      <c r="B8" s="7" t="s">
        <v>294</v>
      </c>
      <c r="C8" s="11">
        <f>_xlfn.NORM.S.INV(1-(1-C5)/2)</f>
        <v>1.9599639845400536</v>
      </c>
      <c r="L8" s="9">
        <v>4</v>
      </c>
      <c r="M8" s="9" t="str">
        <f t="shared" ca="1" si="0"/>
        <v>3-4</v>
      </c>
      <c r="N8" s="9">
        <f t="shared" ca="1" si="1"/>
        <v>4</v>
      </c>
      <c r="O8" s="10">
        <f t="shared" ca="1" si="2"/>
        <v>2.603961517709148</v>
      </c>
      <c r="P8" s="9" t="str">
        <f t="shared" ca="1" si="3"/>
        <v>vive en arriendo</v>
      </c>
      <c r="Q8" s="9" t="str">
        <f t="shared" ca="1" si="4"/>
        <v>«la casa no es mía»</v>
      </c>
    </row>
    <row r="9" spans="1:17" ht="15" customHeight="1" x14ac:dyDescent="0.45">
      <c r="L9" s="9">
        <v>5</v>
      </c>
      <c r="M9" s="9" t="str">
        <f t="shared" ca="1" si="0"/>
        <v>1-2</v>
      </c>
      <c r="N9" s="9">
        <f t="shared" ca="1" si="1"/>
        <v>5</v>
      </c>
      <c r="O9" s="10">
        <f t="shared" ca="1" si="2"/>
        <v>1.6918686223329666</v>
      </c>
      <c r="P9" s="9" t="str">
        <f t="shared" ca="1" si="3"/>
        <v>vive en arriendo</v>
      </c>
      <c r="Q9" s="9" t="str">
        <f t="shared" ca="1" si="4"/>
        <v>«la casa no es mía»</v>
      </c>
    </row>
    <row r="10" spans="1:17" ht="28.05" customHeight="1" x14ac:dyDescent="0.45">
      <c r="B10" s="3" t="s">
        <v>286</v>
      </c>
      <c r="C10" s="3" t="s">
        <v>295</v>
      </c>
      <c r="D10" s="3" t="s">
        <v>296</v>
      </c>
      <c r="E10" s="3" t="s">
        <v>297</v>
      </c>
      <c r="F10" s="3" t="s">
        <v>298</v>
      </c>
      <c r="G10" s="3" t="s">
        <v>299</v>
      </c>
      <c r="H10" s="3" t="s">
        <v>300</v>
      </c>
      <c r="L10" s="9">
        <v>6</v>
      </c>
      <c r="M10" s="9" t="str">
        <f t="shared" ca="1" si="0"/>
        <v>3-4</v>
      </c>
      <c r="N10" s="9">
        <f t="shared" ca="1" si="1"/>
        <v>1</v>
      </c>
      <c r="O10" s="10">
        <f t="shared" ca="1" si="2"/>
        <v>2.6275586297723206</v>
      </c>
      <c r="P10" s="9" t="str">
        <f t="shared" ca="1" si="3"/>
        <v>costo inicial</v>
      </c>
      <c r="Q10" s="9" t="str">
        <f t="shared" ca="1" si="4"/>
        <v>«es muy caro instalarlo»</v>
      </c>
    </row>
    <row r="11" spans="1:17" ht="15" customHeight="1" x14ac:dyDescent="0.45">
      <c r="B11" s="4" t="s">
        <v>301</v>
      </c>
      <c r="C11" s="17">
        <v>0.35</v>
      </c>
      <c r="D11" s="17">
        <v>7.0000000000000007E-2</v>
      </c>
      <c r="E11" s="17">
        <v>0.12</v>
      </c>
      <c r="F11" s="17">
        <v>0.22</v>
      </c>
      <c r="G11" s="17">
        <v>0.36</v>
      </c>
      <c r="H11" s="17">
        <v>0.23</v>
      </c>
      <c r="L11" s="9">
        <v>7</v>
      </c>
      <c r="M11" s="9" t="str">
        <f t="shared" ca="1" si="0"/>
        <v>3-4</v>
      </c>
      <c r="N11" s="9">
        <f t="shared" ca="1" si="1"/>
        <v>5</v>
      </c>
      <c r="O11" s="10">
        <f t="shared" ca="1" si="2"/>
        <v>3.6330992361047789</v>
      </c>
      <c r="P11" s="9" t="str">
        <f t="shared" ca="1" si="3"/>
        <v>ninguna</v>
      </c>
      <c r="Q11" s="9" t="str">
        <f t="shared" ca="1" si="4"/>
        <v>«lo haría ya»</v>
      </c>
    </row>
    <row r="12" spans="1:17" ht="15" customHeight="1" x14ac:dyDescent="0.45">
      <c r="B12" s="4" t="s">
        <v>302</v>
      </c>
      <c r="C12" s="17">
        <v>0.4</v>
      </c>
      <c r="D12" s="17">
        <v>0.05</v>
      </c>
      <c r="E12" s="17">
        <v>0.09</v>
      </c>
      <c r="F12" s="17">
        <v>0.2</v>
      </c>
      <c r="G12" s="17">
        <v>0.37</v>
      </c>
      <c r="H12" s="17">
        <v>0.28999999999999998</v>
      </c>
      <c r="L12" s="9">
        <v>8</v>
      </c>
      <c r="M12" s="9" t="str">
        <f t="shared" ca="1" si="0"/>
        <v>3-4</v>
      </c>
      <c r="N12" s="9">
        <f t="shared" ca="1" si="1"/>
        <v>3</v>
      </c>
      <c r="O12" s="10">
        <f t="shared" ca="1" si="2"/>
        <v>2.1963359093056671</v>
      </c>
      <c r="P12" s="9" t="str">
        <f t="shared" ca="1" si="3"/>
        <v>no sabe cómo</v>
      </c>
      <c r="Q12" s="9" t="str">
        <f t="shared" ca="1" si="4"/>
        <v>«no sé a quién acudir»</v>
      </c>
    </row>
    <row r="13" spans="1:17" ht="15" customHeight="1" x14ac:dyDescent="0.45">
      <c r="B13" s="4" t="s">
        <v>303</v>
      </c>
      <c r="C13" s="17">
        <v>0.25</v>
      </c>
      <c r="D13" s="17">
        <v>0.03</v>
      </c>
      <c r="E13" s="17">
        <v>7.0000000000000007E-2</v>
      </c>
      <c r="F13" s="17">
        <v>0.17</v>
      </c>
      <c r="G13" s="17">
        <v>0.37</v>
      </c>
      <c r="H13" s="17">
        <v>0.36</v>
      </c>
      <c r="L13" s="9">
        <v>9</v>
      </c>
      <c r="M13" s="9" t="str">
        <f t="shared" ca="1" si="0"/>
        <v>1-2</v>
      </c>
      <c r="N13" s="9">
        <f t="shared" ca="1" si="1"/>
        <v>1</v>
      </c>
      <c r="O13" s="10">
        <f t="shared" ca="1" si="2"/>
        <v>2.9550421458127447</v>
      </c>
      <c r="P13" s="9" t="str">
        <f t="shared" ca="1" si="3"/>
        <v>no sabe cómo</v>
      </c>
      <c r="Q13" s="9" t="str">
        <f t="shared" ca="1" si="4"/>
        <v>«no sé a quién acudir»</v>
      </c>
    </row>
    <row r="14" spans="1:17" ht="28.05" customHeight="1" x14ac:dyDescent="0.45">
      <c r="B14" s="3" t="s">
        <v>304</v>
      </c>
      <c r="C14" s="3" t="s">
        <v>305</v>
      </c>
      <c r="D14" s="3" t="s">
        <v>306</v>
      </c>
      <c r="E14" s="3" t="s">
        <v>307</v>
      </c>
      <c r="F14" s="3" t="s">
        <v>308</v>
      </c>
      <c r="G14" s="3" t="s">
        <v>309</v>
      </c>
      <c r="H14" s="3" t="s">
        <v>310</v>
      </c>
      <c r="L14" s="9">
        <v>10</v>
      </c>
      <c r="M14" s="9" t="str">
        <f t="shared" ca="1" si="0"/>
        <v>3-4</v>
      </c>
      <c r="N14" s="9">
        <f t="shared" ca="1" si="1"/>
        <v>4</v>
      </c>
      <c r="O14" s="10">
        <f t="shared" ca="1" si="2"/>
        <v>1.4131513207595168</v>
      </c>
      <c r="P14" s="9" t="str">
        <f t="shared" ca="1" si="3"/>
        <v>ninguna</v>
      </c>
      <c r="Q14" s="9" t="str">
        <f t="shared" ca="1" si="4"/>
        <v>«lo haría ya»</v>
      </c>
    </row>
    <row r="15" spans="1:17" ht="15" customHeight="1" x14ac:dyDescent="0.45">
      <c r="B15" s="7" t="str">
        <f>B11</f>
        <v>1-2</v>
      </c>
      <c r="C15" s="10">
        <f>0</f>
        <v>0</v>
      </c>
      <c r="D15" s="10">
        <f>0</f>
        <v>0</v>
      </c>
      <c r="E15" s="10">
        <f t="shared" ref="E15:H17" si="5">D15+D11</f>
        <v>7.0000000000000007E-2</v>
      </c>
      <c r="F15" s="10">
        <f t="shared" si="5"/>
        <v>0.19</v>
      </c>
      <c r="G15" s="10">
        <f t="shared" si="5"/>
        <v>0.41000000000000003</v>
      </c>
      <c r="H15" s="10">
        <f t="shared" si="5"/>
        <v>0.77</v>
      </c>
      <c r="L15" s="9">
        <v>11</v>
      </c>
      <c r="M15" s="9" t="str">
        <f t="shared" ca="1" si="0"/>
        <v>1-2</v>
      </c>
      <c r="N15" s="9">
        <f t="shared" ca="1" si="1"/>
        <v>2</v>
      </c>
      <c r="O15" s="10">
        <f t="shared" ca="1" si="2"/>
        <v>1.420207285707735</v>
      </c>
      <c r="P15" s="9" t="str">
        <f t="shared" ca="1" si="3"/>
        <v>no sabe cómo</v>
      </c>
      <c r="Q15" s="9" t="str">
        <f t="shared" ca="1" si="4"/>
        <v>«no sé a quién acudir»</v>
      </c>
    </row>
    <row r="16" spans="1:17" ht="15" customHeight="1" x14ac:dyDescent="0.45">
      <c r="B16" s="7" t="str">
        <f>B12</f>
        <v>3-4</v>
      </c>
      <c r="C16" s="10">
        <f>C15+C11</f>
        <v>0.35</v>
      </c>
      <c r="D16" s="10">
        <f>0</f>
        <v>0</v>
      </c>
      <c r="E16" s="10">
        <f t="shared" si="5"/>
        <v>0.05</v>
      </c>
      <c r="F16" s="10">
        <f t="shared" si="5"/>
        <v>0.14000000000000001</v>
      </c>
      <c r="G16" s="10">
        <f t="shared" si="5"/>
        <v>0.34</v>
      </c>
      <c r="H16" s="10">
        <f t="shared" si="5"/>
        <v>0.71</v>
      </c>
      <c r="L16" s="9">
        <v>12</v>
      </c>
      <c r="M16" s="9" t="str">
        <f t="shared" ca="1" si="0"/>
        <v>3-4</v>
      </c>
      <c r="N16" s="9">
        <f t="shared" ca="1" si="1"/>
        <v>4</v>
      </c>
      <c r="O16" s="10">
        <f t="shared" ca="1" si="2"/>
        <v>2.5537565754555458</v>
      </c>
      <c r="P16" s="9" t="str">
        <f t="shared" ca="1" si="3"/>
        <v>costo inicial</v>
      </c>
      <c r="Q16" s="9" t="str">
        <f t="shared" ca="1" si="4"/>
        <v>«es muy caro instalarlo»</v>
      </c>
    </row>
    <row r="17" spans="2:17" ht="15" customHeight="1" x14ac:dyDescent="0.45">
      <c r="B17" s="7" t="str">
        <f>B13</f>
        <v>5-6</v>
      </c>
      <c r="C17" s="10">
        <f>C16+C12</f>
        <v>0.75</v>
      </c>
      <c r="D17" s="10">
        <f>0</f>
        <v>0</v>
      </c>
      <c r="E17" s="10">
        <f t="shared" si="5"/>
        <v>0.03</v>
      </c>
      <c r="F17" s="10">
        <f t="shared" si="5"/>
        <v>0.1</v>
      </c>
      <c r="G17" s="10">
        <f t="shared" si="5"/>
        <v>0.27</v>
      </c>
      <c r="H17" s="10">
        <f t="shared" si="5"/>
        <v>0.64</v>
      </c>
      <c r="L17" s="9">
        <v>13</v>
      </c>
      <c r="M17" s="9" t="str">
        <f t="shared" ca="1" si="0"/>
        <v>3-4</v>
      </c>
      <c r="N17" s="9">
        <f t="shared" ca="1" si="1"/>
        <v>4</v>
      </c>
      <c r="O17" s="10">
        <f t="shared" ca="1" si="2"/>
        <v>2.9353245929238994</v>
      </c>
      <c r="P17" s="9" t="str">
        <f t="shared" ca="1" si="3"/>
        <v>vive en arriendo</v>
      </c>
      <c r="Q17" s="9" t="str">
        <f t="shared" ca="1" si="4"/>
        <v>«la casa no es mía»</v>
      </c>
    </row>
    <row r="18" spans="2:17" ht="15" customHeight="1" x14ac:dyDescent="0.45">
      <c r="L18" s="9">
        <v>14</v>
      </c>
      <c r="M18" s="9" t="str">
        <f t="shared" ca="1" si="0"/>
        <v>3-4</v>
      </c>
      <c r="N18" s="9">
        <f t="shared" ca="1" si="1"/>
        <v>3</v>
      </c>
      <c r="O18" s="10">
        <f t="shared" ca="1" si="2"/>
        <v>2.6341654280480347</v>
      </c>
      <c r="P18" s="9" t="str">
        <f t="shared" ca="1" si="3"/>
        <v>desconfía</v>
      </c>
      <c r="Q18" s="9" t="str">
        <f t="shared" ca="1" si="4"/>
        <v>«no creo que funcione bien»</v>
      </c>
    </row>
    <row r="19" spans="2:17" ht="28.05" customHeight="1" x14ac:dyDescent="0.45">
      <c r="B19" s="3" t="s">
        <v>311</v>
      </c>
      <c r="C19" s="3" t="s">
        <v>86</v>
      </c>
      <c r="D19" s="3" t="s">
        <v>312</v>
      </c>
      <c r="E19" s="3" t="s">
        <v>313</v>
      </c>
      <c r="L19" s="9">
        <v>15</v>
      </c>
      <c r="M19" s="9" t="str">
        <f t="shared" ca="1" si="0"/>
        <v>1-2</v>
      </c>
      <c r="N19" s="9">
        <f t="shared" ca="1" si="1"/>
        <v>5</v>
      </c>
      <c r="O19" s="10">
        <f t="shared" ca="1" si="2"/>
        <v>5.5525866398908885</v>
      </c>
      <c r="P19" s="9" t="str">
        <f t="shared" ca="1" si="3"/>
        <v>ninguna</v>
      </c>
      <c r="Q19" s="9" t="str">
        <f t="shared" ca="1" si="4"/>
        <v>«lo haría ya»</v>
      </c>
    </row>
    <row r="20" spans="2:17" ht="15" customHeight="1" x14ac:dyDescent="0.45">
      <c r="B20" s="7" t="s">
        <v>314</v>
      </c>
      <c r="C20" s="17">
        <v>0.42</v>
      </c>
      <c r="D20" s="10">
        <f>0</f>
        <v>0</v>
      </c>
      <c r="E20" s="2" t="s">
        <v>315</v>
      </c>
      <c r="L20" s="9">
        <v>16</v>
      </c>
      <c r="M20" s="9" t="str">
        <f t="shared" ca="1" si="0"/>
        <v>3-4</v>
      </c>
      <c r="N20" s="9">
        <f t="shared" ca="1" si="1"/>
        <v>5</v>
      </c>
      <c r="O20" s="10">
        <f t="shared" ca="1" si="2"/>
        <v>4.4740646851726948</v>
      </c>
      <c r="P20" s="9" t="str">
        <f t="shared" ca="1" si="3"/>
        <v>ninguna</v>
      </c>
      <c r="Q20" s="9" t="str">
        <f t="shared" ca="1" si="4"/>
        <v>«lo haría ya»</v>
      </c>
    </row>
    <row r="21" spans="2:17" ht="15" customHeight="1" x14ac:dyDescent="0.45">
      <c r="B21" s="7" t="s">
        <v>316</v>
      </c>
      <c r="C21" s="17">
        <v>0.18</v>
      </c>
      <c r="D21" s="10">
        <f>D20+C20</f>
        <v>0.42</v>
      </c>
      <c r="E21" s="2" t="s">
        <v>317</v>
      </c>
      <c r="L21" s="9">
        <v>17</v>
      </c>
      <c r="M21" s="9" t="str">
        <f t="shared" ca="1" si="0"/>
        <v>3-4</v>
      </c>
      <c r="N21" s="9">
        <f t="shared" ca="1" si="1"/>
        <v>1</v>
      </c>
      <c r="O21" s="10">
        <f t="shared" ca="1" si="2"/>
        <v>1.3091453723787003</v>
      </c>
      <c r="P21" s="9" t="str">
        <f t="shared" ca="1" si="3"/>
        <v>no sabe cómo</v>
      </c>
      <c r="Q21" s="9" t="str">
        <f t="shared" ca="1" si="4"/>
        <v>«no sé a quién acudir»</v>
      </c>
    </row>
    <row r="22" spans="2:17" ht="15" customHeight="1" x14ac:dyDescent="0.45">
      <c r="B22" s="7" t="s">
        <v>318</v>
      </c>
      <c r="C22" s="17">
        <v>0.17</v>
      </c>
      <c r="D22" s="10">
        <f>D21+C21</f>
        <v>0.6</v>
      </c>
      <c r="E22" s="2" t="s">
        <v>319</v>
      </c>
      <c r="L22" s="9">
        <v>18</v>
      </c>
      <c r="M22" s="9" t="str">
        <f t="shared" ca="1" si="0"/>
        <v>1-2</v>
      </c>
      <c r="N22" s="9">
        <f t="shared" ca="1" si="1"/>
        <v>3</v>
      </c>
      <c r="O22" s="10">
        <f t="shared" ca="1" si="2"/>
        <v>2.2400967963652834</v>
      </c>
      <c r="P22" s="9" t="str">
        <f t="shared" ca="1" si="3"/>
        <v>costo inicial</v>
      </c>
      <c r="Q22" s="9" t="str">
        <f t="shared" ca="1" si="4"/>
        <v>«es muy caro instalarlo»</v>
      </c>
    </row>
    <row r="23" spans="2:17" ht="15" customHeight="1" x14ac:dyDescent="0.45">
      <c r="B23" s="7" t="s">
        <v>320</v>
      </c>
      <c r="C23" s="17">
        <v>0.1</v>
      </c>
      <c r="D23" s="10">
        <f>D22+C22</f>
        <v>0.77</v>
      </c>
      <c r="E23" s="2" t="s">
        <v>321</v>
      </c>
      <c r="L23" s="9">
        <v>19</v>
      </c>
      <c r="M23" s="9" t="str">
        <f t="shared" ca="1" si="0"/>
        <v>3-4</v>
      </c>
      <c r="N23" s="9">
        <f t="shared" ca="1" si="1"/>
        <v>3</v>
      </c>
      <c r="O23" s="10">
        <f t="shared" ca="1" si="2"/>
        <v>1.6556460381174096</v>
      </c>
      <c r="P23" s="9" t="str">
        <f t="shared" ca="1" si="3"/>
        <v>vive en arriendo</v>
      </c>
      <c r="Q23" s="9" t="str">
        <f t="shared" ca="1" si="4"/>
        <v>«la casa no es mía»</v>
      </c>
    </row>
    <row r="24" spans="2:17" ht="15" customHeight="1" x14ac:dyDescent="0.45">
      <c r="B24" s="7" t="s">
        <v>322</v>
      </c>
      <c r="C24" s="17">
        <v>0.13</v>
      </c>
      <c r="D24" s="10">
        <f>D23+C23</f>
        <v>0.87</v>
      </c>
      <c r="E24" s="2" t="s">
        <v>323</v>
      </c>
      <c r="L24" s="9">
        <v>20</v>
      </c>
      <c r="M24" s="9" t="str">
        <f t="shared" ca="1" si="0"/>
        <v>3-4</v>
      </c>
      <c r="N24" s="9">
        <f t="shared" ca="1" si="1"/>
        <v>5</v>
      </c>
      <c r="O24" s="10">
        <f t="shared" ca="1" si="2"/>
        <v>2.8822156679873046</v>
      </c>
      <c r="P24" s="9" t="str">
        <f t="shared" ca="1" si="3"/>
        <v>vive en arriendo</v>
      </c>
      <c r="Q24" s="9" t="str">
        <f t="shared" ca="1" si="4"/>
        <v>«la casa no es mía»</v>
      </c>
    </row>
    <row r="25" spans="2:17" ht="15" customHeight="1" x14ac:dyDescent="0.45">
      <c r="L25" s="9">
        <v>21</v>
      </c>
      <c r="M25" s="9" t="str">
        <f t="shared" ca="1" si="0"/>
        <v>3-4</v>
      </c>
      <c r="N25" s="9">
        <f t="shared" ca="1" si="1"/>
        <v>3</v>
      </c>
      <c r="O25" s="10">
        <f t="shared" ca="1" si="2"/>
        <v>2.9465898268256674</v>
      </c>
      <c r="P25" s="9" t="str">
        <f t="shared" ca="1" si="3"/>
        <v>desconfía</v>
      </c>
      <c r="Q25" s="9" t="str">
        <f t="shared" ca="1" si="4"/>
        <v>«no creo que funcione bien»</v>
      </c>
    </row>
    <row r="26" spans="2:17" ht="15" customHeight="1" x14ac:dyDescent="0.45">
      <c r="B26" s="6" t="s">
        <v>89</v>
      </c>
      <c r="L26" s="9">
        <v>22</v>
      </c>
      <c r="M26" s="9" t="str">
        <f t="shared" ca="1" si="0"/>
        <v>1-2</v>
      </c>
      <c r="N26" s="9">
        <f t="shared" ca="1" si="1"/>
        <v>4</v>
      </c>
      <c r="O26" s="10">
        <f t="shared" ca="1" si="2"/>
        <v>3.9874817569186694</v>
      </c>
      <c r="P26" s="9" t="str">
        <f t="shared" ca="1" si="3"/>
        <v>no sabe cómo</v>
      </c>
      <c r="Q26" s="9" t="str">
        <f t="shared" ca="1" si="4"/>
        <v>«no sé a quién acudir»</v>
      </c>
    </row>
    <row r="27" spans="2:17" ht="24" customHeight="1" x14ac:dyDescent="0.45">
      <c r="B27" s="47" t="s">
        <v>324</v>
      </c>
      <c r="C27" s="48"/>
      <c r="D27" s="39" t="s">
        <v>325</v>
      </c>
      <c r="E27" s="40"/>
      <c r="F27" s="32" t="s">
        <v>326</v>
      </c>
      <c r="G27" s="33"/>
      <c r="H27" s="36" t="s">
        <v>327</v>
      </c>
      <c r="I27" s="37"/>
      <c r="L27" s="9">
        <v>23</v>
      </c>
      <c r="M27" s="9" t="str">
        <f t="shared" ca="1" si="0"/>
        <v>3-4</v>
      </c>
      <c r="N27" s="9">
        <f t="shared" ca="1" si="1"/>
        <v>3</v>
      </c>
      <c r="O27" s="10">
        <f t="shared" ca="1" si="2"/>
        <v>0.94262755998766368</v>
      </c>
      <c r="P27" s="9" t="str">
        <f t="shared" ca="1" si="3"/>
        <v>costo inicial</v>
      </c>
      <c r="Q27" s="9" t="str">
        <f t="shared" ca="1" si="4"/>
        <v>«es muy caro instalarlo»</v>
      </c>
    </row>
    <row r="28" spans="2:17" ht="17" customHeight="1" x14ac:dyDescent="0.45">
      <c r="B28" s="51">
        <f ca="1">COUNT(N5:N304)</f>
        <v>300</v>
      </c>
      <c r="C28" s="48"/>
      <c r="D28" s="50">
        <f ca="1">AVERAGE(N5:N304)</f>
        <v>3.65</v>
      </c>
      <c r="E28" s="40"/>
      <c r="F28" s="52">
        <f ca="1">COUNTIF(N5:N304,"&gt;=4")/B28</f>
        <v>0.62</v>
      </c>
      <c r="G28" s="33"/>
      <c r="H28" s="67">
        <f ca="1">C8*SQRT(F28*(1-F28)/B28)</f>
        <v>5.4925637552225563E-2</v>
      </c>
      <c r="I28" s="37"/>
      <c r="L28" s="9">
        <v>24</v>
      </c>
      <c r="M28" s="9" t="str">
        <f t="shared" ca="1" si="0"/>
        <v>3-4</v>
      </c>
      <c r="N28" s="9">
        <f t="shared" ca="1" si="1"/>
        <v>3</v>
      </c>
      <c r="O28" s="10">
        <f t="shared" ca="1" si="2"/>
        <v>1.3745894792480331</v>
      </c>
      <c r="P28" s="9" t="str">
        <f t="shared" ca="1" si="3"/>
        <v>costo inicial</v>
      </c>
      <c r="Q28" s="9" t="str">
        <f t="shared" ca="1" si="4"/>
        <v>«es muy caro instalarlo»</v>
      </c>
    </row>
    <row r="29" spans="2:17" ht="17" customHeight="1" x14ac:dyDescent="0.45">
      <c r="B29" s="48"/>
      <c r="C29" s="48"/>
      <c r="D29" s="40"/>
      <c r="E29" s="40"/>
      <c r="F29" s="33"/>
      <c r="G29" s="33"/>
      <c r="H29" s="37"/>
      <c r="I29" s="37"/>
      <c r="L29" s="9">
        <v>25</v>
      </c>
      <c r="M29" s="9" t="str">
        <f t="shared" ca="1" si="0"/>
        <v>5-6</v>
      </c>
      <c r="N29" s="9">
        <f t="shared" ca="1" si="1"/>
        <v>4</v>
      </c>
      <c r="O29" s="10">
        <f t="shared" ca="1" si="2"/>
        <v>2.9997633680445266</v>
      </c>
      <c r="P29" s="9" t="str">
        <f t="shared" ca="1" si="3"/>
        <v>costo inicial</v>
      </c>
      <c r="Q29" s="9" t="str">
        <f t="shared" ca="1" si="4"/>
        <v>«es muy caro instalarlo»</v>
      </c>
    </row>
    <row r="30" spans="2:17" ht="15" customHeight="1" x14ac:dyDescent="0.45">
      <c r="L30" s="9">
        <v>26</v>
      </c>
      <c r="M30" s="9" t="str">
        <f t="shared" ca="1" si="0"/>
        <v>5-6</v>
      </c>
      <c r="N30" s="9">
        <f t="shared" ca="1" si="1"/>
        <v>5</v>
      </c>
      <c r="O30" s="10">
        <f t="shared" ca="1" si="2"/>
        <v>3.2842304979626715</v>
      </c>
      <c r="P30" s="9" t="str">
        <f t="shared" ca="1" si="3"/>
        <v>desconfía</v>
      </c>
      <c r="Q30" s="9" t="str">
        <f t="shared" ca="1" si="4"/>
        <v>«no creo que funcione bien»</v>
      </c>
    </row>
    <row r="31" spans="2:17" ht="24" customHeight="1" x14ac:dyDescent="0.45">
      <c r="B31" s="38" t="s">
        <v>328</v>
      </c>
      <c r="C31" s="35"/>
      <c r="D31" s="38" t="s">
        <v>329</v>
      </c>
      <c r="E31" s="35"/>
      <c r="F31" s="44" t="s">
        <v>330</v>
      </c>
      <c r="G31" s="31"/>
      <c r="H31" s="39" t="s">
        <v>331</v>
      </c>
      <c r="I31" s="40"/>
      <c r="L31" s="9">
        <v>27</v>
      </c>
      <c r="M31" s="9" t="str">
        <f t="shared" ca="1" si="0"/>
        <v>3-4</v>
      </c>
      <c r="N31" s="9">
        <f t="shared" ca="1" si="1"/>
        <v>3</v>
      </c>
      <c r="O31" s="10">
        <f t="shared" ca="1" si="2"/>
        <v>3.4585588347273442</v>
      </c>
      <c r="P31" s="9" t="str">
        <f t="shared" ca="1" si="3"/>
        <v>costo inicial</v>
      </c>
      <c r="Q31" s="9" t="str">
        <f t="shared" ca="1" si="4"/>
        <v>«es muy caro instalarlo»</v>
      </c>
    </row>
    <row r="32" spans="2:17" ht="17" customHeight="1" x14ac:dyDescent="0.45">
      <c r="B32" s="34">
        <f ca="1">F28-H28</f>
        <v>0.56507436244777443</v>
      </c>
      <c r="C32" s="35"/>
      <c r="D32" s="34">
        <f ca="1">F28+H28</f>
        <v>0.67492563755222557</v>
      </c>
      <c r="E32" s="35"/>
      <c r="F32" s="46">
        <f>ROUNDUP(C8^2*C7*(1-C7)/C6^2,0)</f>
        <v>385</v>
      </c>
      <c r="G32" s="31"/>
      <c r="H32" s="50">
        <f ca="1">AVERAGE(O5:O304)</f>
        <v>2.7605408065789216</v>
      </c>
      <c r="I32" s="40"/>
      <c r="L32" s="9">
        <v>28</v>
      </c>
      <c r="M32" s="9" t="str">
        <f t="shared" ca="1" si="0"/>
        <v>3-4</v>
      </c>
      <c r="N32" s="9">
        <f t="shared" ca="1" si="1"/>
        <v>4</v>
      </c>
      <c r="O32" s="10">
        <f t="shared" ca="1" si="2"/>
        <v>2.8970296029362315</v>
      </c>
      <c r="P32" s="9" t="str">
        <f t="shared" ca="1" si="3"/>
        <v>desconfía</v>
      </c>
      <c r="Q32" s="9" t="str">
        <f t="shared" ca="1" si="4"/>
        <v>«no creo que funcione bien»</v>
      </c>
    </row>
    <row r="33" spans="2:17" ht="17" customHeight="1" x14ac:dyDescent="0.45">
      <c r="B33" s="35"/>
      <c r="C33" s="35"/>
      <c r="D33" s="35"/>
      <c r="E33" s="35"/>
      <c r="F33" s="31"/>
      <c r="G33" s="31"/>
      <c r="H33" s="40"/>
      <c r="I33" s="40"/>
      <c r="L33" s="9">
        <v>29</v>
      </c>
      <c r="M33" s="9" t="str">
        <f t="shared" ca="1" si="0"/>
        <v>5-6</v>
      </c>
      <c r="N33" s="9">
        <f t="shared" ca="1" si="1"/>
        <v>3</v>
      </c>
      <c r="O33" s="10">
        <f t="shared" ca="1" si="2"/>
        <v>1.604217436171298</v>
      </c>
      <c r="P33" s="9" t="str">
        <f t="shared" ca="1" si="3"/>
        <v>vive en arriendo</v>
      </c>
      <c r="Q33" s="9" t="str">
        <f t="shared" ca="1" si="4"/>
        <v>«la casa no es mía»</v>
      </c>
    </row>
    <row r="34" spans="2:17" ht="15" customHeight="1" x14ac:dyDescent="0.45">
      <c r="L34" s="9">
        <v>30</v>
      </c>
      <c r="M34" s="9" t="str">
        <f t="shared" ca="1" si="0"/>
        <v>3-4</v>
      </c>
      <c r="N34" s="9">
        <f t="shared" ca="1" si="1"/>
        <v>5</v>
      </c>
      <c r="O34" s="10">
        <f t="shared" ca="1" si="2"/>
        <v>5.3665351405437676</v>
      </c>
      <c r="P34" s="9" t="str">
        <f t="shared" ca="1" si="3"/>
        <v>vive en arriendo</v>
      </c>
      <c r="Q34" s="9" t="str">
        <f t="shared" ca="1" si="4"/>
        <v>«la casa no es mía»</v>
      </c>
    </row>
    <row r="35" spans="2:17" ht="15" customHeight="1" x14ac:dyDescent="0.45">
      <c r="B35" s="6" t="s">
        <v>332</v>
      </c>
      <c r="L35" s="9">
        <v>31</v>
      </c>
      <c r="M35" s="9" t="str">
        <f t="shared" ca="1" si="0"/>
        <v>3-4</v>
      </c>
      <c r="N35" s="9">
        <f t="shared" ca="1" si="1"/>
        <v>4</v>
      </c>
      <c r="O35" s="10">
        <f t="shared" ca="1" si="2"/>
        <v>3.7468159417472009</v>
      </c>
      <c r="P35" s="9" t="str">
        <f t="shared" ca="1" si="3"/>
        <v>vive en arriendo</v>
      </c>
      <c r="Q35" s="9" t="str">
        <f t="shared" ca="1" si="4"/>
        <v>«la casa no es mía»</v>
      </c>
    </row>
    <row r="36" spans="2:17" ht="28.05" customHeight="1" x14ac:dyDescent="0.45">
      <c r="B36" s="3" t="s">
        <v>286</v>
      </c>
      <c r="C36" s="3" t="s">
        <v>333</v>
      </c>
      <c r="D36" s="3" t="s">
        <v>334</v>
      </c>
      <c r="E36" s="3" t="s">
        <v>335</v>
      </c>
      <c r="F36" s="3" t="s">
        <v>336</v>
      </c>
      <c r="L36" s="9">
        <v>32</v>
      </c>
      <c r="M36" s="9" t="str">
        <f t="shared" ca="1" si="0"/>
        <v>3-4</v>
      </c>
      <c r="N36" s="9">
        <f t="shared" ca="1" si="1"/>
        <v>5</v>
      </c>
      <c r="O36" s="10">
        <f t="shared" ca="1" si="2"/>
        <v>4.0349850598105634</v>
      </c>
      <c r="P36" s="9" t="str">
        <f t="shared" ca="1" si="3"/>
        <v>costo inicial</v>
      </c>
      <c r="Q36" s="9" t="str">
        <f t="shared" ca="1" si="4"/>
        <v>«es muy caro instalarlo»</v>
      </c>
    </row>
    <row r="37" spans="2:17" ht="15" customHeight="1" x14ac:dyDescent="0.45">
      <c r="B37" s="4" t="s">
        <v>301</v>
      </c>
      <c r="C37" s="9">
        <f ca="1">COUNTIFS($M$5:$M$304,B37,$N$5:$N$304,"&lt;=2")</f>
        <v>26</v>
      </c>
      <c r="D37" s="9">
        <f ca="1">COUNTIFS($M$5:$M$304,B37,$N$5:$N$304,3)</f>
        <v>15</v>
      </c>
      <c r="E37" s="9">
        <f ca="1">COUNTIFS($M$5:$M$304,B37,$N$5:$N$304,"&gt;=4")</f>
        <v>50</v>
      </c>
      <c r="F37" s="9">
        <f ca="1">SUM(C37:E37)</f>
        <v>91</v>
      </c>
      <c r="L37" s="9">
        <v>33</v>
      </c>
      <c r="M37" s="9" t="str">
        <f t="shared" ca="1" si="0"/>
        <v>1-2</v>
      </c>
      <c r="N37" s="9">
        <f t="shared" ca="1" si="1"/>
        <v>5</v>
      </c>
      <c r="O37" s="10">
        <f t="shared" ca="1" si="2"/>
        <v>3.8884055108582363</v>
      </c>
      <c r="P37" s="9" t="str">
        <f t="shared" ca="1" si="3"/>
        <v>vive en arriendo</v>
      </c>
      <c r="Q37" s="9" t="str">
        <f t="shared" ca="1" si="4"/>
        <v>«la casa no es mía»</v>
      </c>
    </row>
    <row r="38" spans="2:17" ht="15" customHeight="1" x14ac:dyDescent="0.45">
      <c r="B38" s="4" t="s">
        <v>302</v>
      </c>
      <c r="C38" s="9">
        <f ca="1">COUNTIFS($M$5:$M$304,B38,$N$5:$N$304,"&lt;=2")</f>
        <v>16</v>
      </c>
      <c r="D38" s="9">
        <f ca="1">COUNTIFS($M$5:$M$304,B38,$N$5:$N$304,3)</f>
        <v>37</v>
      </c>
      <c r="E38" s="9">
        <f ca="1">COUNTIFS($M$5:$M$304,B38,$N$5:$N$304,"&gt;=4")</f>
        <v>89</v>
      </c>
      <c r="F38" s="9">
        <f ca="1">SUM(C38:E38)</f>
        <v>142</v>
      </c>
      <c r="L38" s="9">
        <v>34</v>
      </c>
      <c r="M38" s="9" t="str">
        <f t="shared" ca="1" si="0"/>
        <v>3-4</v>
      </c>
      <c r="N38" s="9">
        <f t="shared" ca="1" si="1"/>
        <v>4</v>
      </c>
      <c r="O38" s="10">
        <f t="shared" ca="1" si="2"/>
        <v>3.6264535164492551</v>
      </c>
      <c r="P38" s="9" t="str">
        <f t="shared" ca="1" si="3"/>
        <v>desconfía</v>
      </c>
      <c r="Q38" s="9" t="str">
        <f t="shared" ca="1" si="4"/>
        <v>«no creo que funcione bien»</v>
      </c>
    </row>
    <row r="39" spans="2:17" ht="15" customHeight="1" x14ac:dyDescent="0.45">
      <c r="B39" s="4" t="s">
        <v>303</v>
      </c>
      <c r="C39" s="9">
        <f ca="1">COUNTIFS($M$5:$M$304,B39,$N$5:$N$304,"&lt;=2")</f>
        <v>6</v>
      </c>
      <c r="D39" s="9">
        <f ca="1">COUNTIFS($M$5:$M$304,B39,$N$5:$N$304,3)</f>
        <v>14</v>
      </c>
      <c r="E39" s="9">
        <f ca="1">COUNTIFS($M$5:$M$304,B39,$N$5:$N$304,"&gt;=4")</f>
        <v>47</v>
      </c>
      <c r="F39" s="9">
        <f ca="1">SUM(C39:E39)</f>
        <v>67</v>
      </c>
      <c r="L39" s="9">
        <v>35</v>
      </c>
      <c r="M39" s="9" t="str">
        <f t="shared" ca="1" si="0"/>
        <v>3-4</v>
      </c>
      <c r="N39" s="9">
        <f t="shared" ca="1" si="1"/>
        <v>4</v>
      </c>
      <c r="O39" s="10">
        <f t="shared" ca="1" si="2"/>
        <v>0.99829690500812007</v>
      </c>
      <c r="P39" s="9" t="str">
        <f t="shared" ca="1" si="3"/>
        <v>costo inicial</v>
      </c>
      <c r="Q39" s="9" t="str">
        <f t="shared" ca="1" si="4"/>
        <v>«es muy caro instalarlo»</v>
      </c>
    </row>
    <row r="40" spans="2:17" ht="15" customHeight="1" x14ac:dyDescent="0.45">
      <c r="B40" s="4" t="s">
        <v>336</v>
      </c>
      <c r="C40" s="18">
        <f ca="1">SUM(C37:C39)</f>
        <v>48</v>
      </c>
      <c r="D40" s="18">
        <f ca="1">SUM(D37:D39)</f>
        <v>66</v>
      </c>
      <c r="E40" s="18">
        <f ca="1">SUM(E37:E39)</f>
        <v>186</v>
      </c>
      <c r="F40" s="18">
        <f ca="1">SUM(F37:F39)</f>
        <v>300</v>
      </c>
      <c r="L40" s="9">
        <v>36</v>
      </c>
      <c r="M40" s="9" t="str">
        <f t="shared" ca="1" si="0"/>
        <v>3-4</v>
      </c>
      <c r="N40" s="9">
        <f t="shared" ca="1" si="1"/>
        <v>5</v>
      </c>
      <c r="O40" s="10">
        <f t="shared" ca="1" si="2"/>
        <v>2.3720818430788708</v>
      </c>
      <c r="P40" s="9" t="str">
        <f t="shared" ca="1" si="3"/>
        <v>ninguna</v>
      </c>
      <c r="Q40" s="9" t="str">
        <f t="shared" ca="1" si="4"/>
        <v>«lo haría ya»</v>
      </c>
    </row>
    <row r="41" spans="2:17" ht="15" customHeight="1" x14ac:dyDescent="0.45">
      <c r="L41" s="9">
        <v>37</v>
      </c>
      <c r="M41" s="9" t="str">
        <f t="shared" ca="1" si="0"/>
        <v>5-6</v>
      </c>
      <c r="N41" s="9">
        <f t="shared" ca="1" si="1"/>
        <v>4</v>
      </c>
      <c r="O41" s="10">
        <f t="shared" ca="1" si="2"/>
        <v>1.8303351140237147</v>
      </c>
      <c r="P41" s="9" t="str">
        <f t="shared" ca="1" si="3"/>
        <v>costo inicial</v>
      </c>
      <c r="Q41" s="9" t="str">
        <f t="shared" ca="1" si="4"/>
        <v>«es muy caro instalarlo»</v>
      </c>
    </row>
    <row r="42" spans="2:17" ht="28.05" customHeight="1" x14ac:dyDescent="0.45">
      <c r="B42" s="3" t="s">
        <v>167</v>
      </c>
      <c r="C42" s="3" t="s">
        <v>333</v>
      </c>
      <c r="D42" s="3" t="s">
        <v>334</v>
      </c>
      <c r="E42" s="3" t="s">
        <v>335</v>
      </c>
      <c r="L42" s="9">
        <v>38</v>
      </c>
      <c r="M42" s="9" t="str">
        <f t="shared" ca="1" si="0"/>
        <v>3-4</v>
      </c>
      <c r="N42" s="9">
        <f t="shared" ca="1" si="1"/>
        <v>3</v>
      </c>
      <c r="O42" s="10">
        <f t="shared" ca="1" si="2"/>
        <v>1.0637047297277129</v>
      </c>
      <c r="P42" s="9" t="str">
        <f t="shared" ca="1" si="3"/>
        <v>costo inicial</v>
      </c>
      <c r="Q42" s="9" t="str">
        <f t="shared" ca="1" si="4"/>
        <v>«es muy caro instalarlo»</v>
      </c>
    </row>
    <row r="43" spans="2:17" ht="15" customHeight="1" x14ac:dyDescent="0.45">
      <c r="B43" s="7" t="str">
        <f>B37</f>
        <v>1-2</v>
      </c>
      <c r="C43" s="19">
        <f t="shared" ref="C43:E45" ca="1" si="6">C$40*$F37/$F$40</f>
        <v>14.56</v>
      </c>
      <c r="D43" s="19">
        <f t="shared" ca="1" si="6"/>
        <v>20.02</v>
      </c>
      <c r="E43" s="19">
        <f t="shared" ca="1" si="6"/>
        <v>56.42</v>
      </c>
      <c r="L43" s="9">
        <v>39</v>
      </c>
      <c r="M43" s="9" t="str">
        <f t="shared" ca="1" si="0"/>
        <v>3-4</v>
      </c>
      <c r="N43" s="9">
        <f t="shared" ca="1" si="1"/>
        <v>3</v>
      </c>
      <c r="O43" s="10">
        <f t="shared" ca="1" si="2"/>
        <v>2.7973753453611727</v>
      </c>
      <c r="P43" s="9" t="str">
        <f t="shared" ca="1" si="3"/>
        <v>costo inicial</v>
      </c>
      <c r="Q43" s="9" t="str">
        <f t="shared" ca="1" si="4"/>
        <v>«es muy caro instalarlo»</v>
      </c>
    </row>
    <row r="44" spans="2:17" ht="15" customHeight="1" x14ac:dyDescent="0.45">
      <c r="B44" s="7" t="str">
        <f>B38</f>
        <v>3-4</v>
      </c>
      <c r="C44" s="19">
        <f t="shared" ca="1" si="6"/>
        <v>22.72</v>
      </c>
      <c r="D44" s="19">
        <f t="shared" ca="1" si="6"/>
        <v>31.24</v>
      </c>
      <c r="E44" s="19">
        <f t="shared" ca="1" si="6"/>
        <v>88.04</v>
      </c>
      <c r="L44" s="9">
        <v>40</v>
      </c>
      <c r="M44" s="9" t="str">
        <f t="shared" ca="1" si="0"/>
        <v>1-2</v>
      </c>
      <c r="N44" s="9">
        <f t="shared" ca="1" si="1"/>
        <v>3</v>
      </c>
      <c r="O44" s="10">
        <f t="shared" ca="1" si="2"/>
        <v>1.3889913839264882</v>
      </c>
      <c r="P44" s="9" t="str">
        <f t="shared" ca="1" si="3"/>
        <v>no sabe cómo</v>
      </c>
      <c r="Q44" s="9" t="str">
        <f t="shared" ca="1" si="4"/>
        <v>«no sé a quién acudir»</v>
      </c>
    </row>
    <row r="45" spans="2:17" ht="15" customHeight="1" x14ac:dyDescent="0.45">
      <c r="B45" s="7" t="str">
        <f>B39</f>
        <v>5-6</v>
      </c>
      <c r="C45" s="19">
        <f t="shared" ca="1" si="6"/>
        <v>10.72</v>
      </c>
      <c r="D45" s="19">
        <f t="shared" ca="1" si="6"/>
        <v>14.74</v>
      </c>
      <c r="E45" s="19">
        <f t="shared" ca="1" si="6"/>
        <v>41.54</v>
      </c>
      <c r="L45" s="9">
        <v>41</v>
      </c>
      <c r="M45" s="9" t="str">
        <f t="shared" ca="1" si="0"/>
        <v>5-6</v>
      </c>
      <c r="N45" s="9">
        <f t="shared" ca="1" si="1"/>
        <v>4</v>
      </c>
      <c r="O45" s="10">
        <f t="shared" ca="1" si="2"/>
        <v>2.8177621901007992</v>
      </c>
      <c r="P45" s="9" t="str">
        <f t="shared" ca="1" si="3"/>
        <v>ninguna</v>
      </c>
      <c r="Q45" s="9" t="str">
        <f t="shared" ca="1" si="4"/>
        <v>«lo haría ya»</v>
      </c>
    </row>
    <row r="46" spans="2:17" ht="15" customHeight="1" x14ac:dyDescent="0.45">
      <c r="L46" s="9">
        <v>42</v>
      </c>
      <c r="M46" s="9" t="str">
        <f t="shared" ca="1" si="0"/>
        <v>3-4</v>
      </c>
      <c r="N46" s="9">
        <f t="shared" ca="1" si="1"/>
        <v>3</v>
      </c>
      <c r="O46" s="10">
        <f t="shared" ca="1" si="2"/>
        <v>1.6855242728440447</v>
      </c>
      <c r="P46" s="9" t="str">
        <f t="shared" ca="1" si="3"/>
        <v>costo inicial</v>
      </c>
      <c r="Q46" s="9" t="str">
        <f t="shared" ca="1" si="4"/>
        <v>«es muy caro instalarlo»</v>
      </c>
    </row>
    <row r="47" spans="2:17" ht="24" customHeight="1" x14ac:dyDescent="0.45">
      <c r="B47" s="39" t="s">
        <v>170</v>
      </c>
      <c r="C47" s="40"/>
      <c r="D47" s="38" t="s">
        <v>337</v>
      </c>
      <c r="E47" s="35"/>
      <c r="F47" s="36" t="s">
        <v>338</v>
      </c>
      <c r="G47" s="37"/>
      <c r="H47" s="32" t="s">
        <v>339</v>
      </c>
      <c r="I47" s="33"/>
      <c r="L47" s="9">
        <v>43</v>
      </c>
      <c r="M47" s="9" t="str">
        <f t="shared" ca="1" si="0"/>
        <v>3-4</v>
      </c>
      <c r="N47" s="9">
        <f t="shared" ca="1" si="1"/>
        <v>4</v>
      </c>
      <c r="O47" s="10">
        <f t="shared" ca="1" si="2"/>
        <v>2.1605820543732741</v>
      </c>
      <c r="P47" s="9" t="str">
        <f t="shared" ca="1" si="3"/>
        <v>ninguna</v>
      </c>
      <c r="Q47" s="9" t="str">
        <f t="shared" ca="1" si="4"/>
        <v>«lo haría ya»</v>
      </c>
    </row>
    <row r="48" spans="2:17" ht="17" customHeight="1" x14ac:dyDescent="0.45">
      <c r="B48" s="62">
        <f ca="1">SUMPRODUCT((C37:E39-C43:E45)^2/C43:E45)</f>
        <v>16.870977151582302</v>
      </c>
      <c r="C48" s="40"/>
      <c r="D48" s="63">
        <f ca="1">_xlfn.CHISQ.DIST.RT(B48,4)</f>
        <v>2.0477562141011539E-3</v>
      </c>
      <c r="E48" s="35"/>
      <c r="F48" s="43">
        <f ca="1">SQRT(B48/(F40*2))</f>
        <v>0.16768510742650097</v>
      </c>
      <c r="G48" s="37"/>
      <c r="H48" s="68" t="str">
        <f ca="1">IF(D48&lt;0.05,"Hay asociación","Independientes")</f>
        <v>Hay asociación</v>
      </c>
      <c r="I48" s="33"/>
      <c r="L48" s="9">
        <v>44</v>
      </c>
      <c r="M48" s="9" t="str">
        <f t="shared" ca="1" si="0"/>
        <v>1-2</v>
      </c>
      <c r="N48" s="9">
        <f t="shared" ca="1" si="1"/>
        <v>3</v>
      </c>
      <c r="O48" s="10">
        <f t="shared" ca="1" si="2"/>
        <v>2.1088896418350007</v>
      </c>
      <c r="P48" s="9" t="str">
        <f t="shared" ca="1" si="3"/>
        <v>no sabe cómo</v>
      </c>
      <c r="Q48" s="9" t="str">
        <f t="shared" ca="1" si="4"/>
        <v>«no sé a quién acudir»</v>
      </c>
    </row>
    <row r="49" spans="2:17" ht="17" customHeight="1" x14ac:dyDescent="0.45">
      <c r="B49" s="40"/>
      <c r="C49" s="40"/>
      <c r="D49" s="35"/>
      <c r="E49" s="35"/>
      <c r="F49" s="37"/>
      <c r="G49" s="37"/>
      <c r="H49" s="33"/>
      <c r="I49" s="33"/>
      <c r="L49" s="9">
        <v>45</v>
      </c>
      <c r="M49" s="9" t="str">
        <f t="shared" ca="1" si="0"/>
        <v>5-6</v>
      </c>
      <c r="N49" s="9">
        <f t="shared" ca="1" si="1"/>
        <v>5</v>
      </c>
      <c r="O49" s="10">
        <f t="shared" ca="1" si="2"/>
        <v>3.4618837565980463</v>
      </c>
      <c r="P49" s="9" t="str">
        <f t="shared" ca="1" si="3"/>
        <v>no sabe cómo</v>
      </c>
      <c r="Q49" s="9" t="str">
        <f t="shared" ca="1" si="4"/>
        <v>«no sé a quién acudir»</v>
      </c>
    </row>
    <row r="50" spans="2:17" ht="15" customHeight="1" x14ac:dyDescent="0.45">
      <c r="L50" s="9">
        <v>46</v>
      </c>
      <c r="M50" s="9" t="str">
        <f t="shared" ca="1" si="0"/>
        <v>1-2</v>
      </c>
      <c r="N50" s="9">
        <f t="shared" ca="1" si="1"/>
        <v>4</v>
      </c>
      <c r="O50" s="10">
        <f t="shared" ca="1" si="2"/>
        <v>2.0308635059387203</v>
      </c>
      <c r="P50" s="9" t="str">
        <f t="shared" ca="1" si="3"/>
        <v>desconfía</v>
      </c>
      <c r="Q50" s="9" t="str">
        <f t="shared" ca="1" si="4"/>
        <v>«no creo que funcione bien»</v>
      </c>
    </row>
    <row r="51" spans="2:17" ht="15" customHeight="1" x14ac:dyDescent="0.45">
      <c r="L51" s="9">
        <v>47</v>
      </c>
      <c r="M51" s="9" t="str">
        <f t="shared" ca="1" si="0"/>
        <v>1-2</v>
      </c>
      <c r="N51" s="9">
        <f t="shared" ca="1" si="1"/>
        <v>2</v>
      </c>
      <c r="O51" s="10">
        <f t="shared" ca="1" si="2"/>
        <v>1.6144061095778097</v>
      </c>
      <c r="P51" s="9" t="str">
        <f t="shared" ca="1" si="3"/>
        <v>desconfía</v>
      </c>
      <c r="Q51" s="9" t="str">
        <f t="shared" ca="1" si="4"/>
        <v>«no creo que funcione bien»</v>
      </c>
    </row>
    <row r="52" spans="2:17" ht="28.05" customHeight="1" x14ac:dyDescent="0.45">
      <c r="B52" s="3" t="s">
        <v>286</v>
      </c>
      <c r="C52" s="3" t="s">
        <v>340</v>
      </c>
      <c r="D52" s="3" t="s">
        <v>297</v>
      </c>
      <c r="E52" s="3" t="s">
        <v>298</v>
      </c>
      <c r="F52" s="3" t="s">
        <v>299</v>
      </c>
      <c r="G52" s="3" t="s">
        <v>300</v>
      </c>
      <c r="L52" s="9">
        <v>48</v>
      </c>
      <c r="M52" s="9" t="str">
        <f t="shared" ca="1" si="0"/>
        <v>1-2</v>
      </c>
      <c r="N52" s="9">
        <f t="shared" ca="1" si="1"/>
        <v>3</v>
      </c>
      <c r="O52" s="10">
        <f t="shared" ca="1" si="2"/>
        <v>2.8409403469608039</v>
      </c>
      <c r="P52" s="9" t="str">
        <f t="shared" ca="1" si="3"/>
        <v>no sabe cómo</v>
      </c>
      <c r="Q52" s="9" t="str">
        <f t="shared" ca="1" si="4"/>
        <v>«no sé a quién acudir»</v>
      </c>
    </row>
    <row r="53" spans="2:17" ht="15" customHeight="1" x14ac:dyDescent="0.45">
      <c r="B53" s="4" t="s">
        <v>301</v>
      </c>
      <c r="C53" s="29">
        <f ca="1">COUNTIFS($M$5:$M$304,$B53,$N$5:$N$304,1)/COUNTIF($M$5:$M$304,$B53)</f>
        <v>0.10989010989010989</v>
      </c>
      <c r="D53" s="29">
        <f ca="1">COUNTIFS($M$5:$M$304,$B53,$N$5:$N$304,2)/COUNTIF($M$5:$M$304,$B53)</f>
        <v>0.17582417582417584</v>
      </c>
      <c r="E53" s="29">
        <f ca="1">COUNTIFS($M$5:$M$304,$B53,$N$5:$N$304,3)/COUNTIF($M$5:$M$304,$B53)</f>
        <v>0.16483516483516483</v>
      </c>
      <c r="F53" s="29">
        <f ca="1">COUNTIFS($M$5:$M$304,$B53,$N$5:$N$304,4)/COUNTIF($M$5:$M$304,$B53)</f>
        <v>0.35164835164835168</v>
      </c>
      <c r="G53" s="29">
        <f ca="1">COUNTIFS($M$5:$M$304,$B53,$N$5:$N$304,5)/COUNTIF($M$5:$M$304,$B53)</f>
        <v>0.19780219780219779</v>
      </c>
      <c r="L53" s="9">
        <v>49</v>
      </c>
      <c r="M53" s="9" t="str">
        <f t="shared" ca="1" si="0"/>
        <v>1-2</v>
      </c>
      <c r="N53" s="9">
        <f t="shared" ca="1" si="1"/>
        <v>4</v>
      </c>
      <c r="O53" s="10">
        <f t="shared" ca="1" si="2"/>
        <v>2.0428135486781303</v>
      </c>
      <c r="P53" s="9" t="str">
        <f t="shared" ca="1" si="3"/>
        <v>no sabe cómo</v>
      </c>
      <c r="Q53" s="9" t="str">
        <f t="shared" ca="1" si="4"/>
        <v>«no sé a quién acudir»</v>
      </c>
    </row>
    <row r="54" spans="2:17" ht="15" customHeight="1" x14ac:dyDescent="0.45">
      <c r="B54" s="4" t="s">
        <v>302</v>
      </c>
      <c r="C54" s="29">
        <f ca="1">COUNTIFS($M$5:$M$304,$B54,$N$5:$N$304,1)/COUNTIF($M$5:$M$304,$B54)</f>
        <v>6.3380281690140844E-2</v>
      </c>
      <c r="D54" s="29">
        <f ca="1">COUNTIFS($M$5:$M$304,$B54,$N$5:$N$304,2)/COUNTIF($M$5:$M$304,$B54)</f>
        <v>4.9295774647887321E-2</v>
      </c>
      <c r="E54" s="29">
        <f ca="1">COUNTIFS($M$5:$M$304,$B54,$N$5:$N$304,3)/COUNTIF($M$5:$M$304,$B54)</f>
        <v>0.26056338028169013</v>
      </c>
      <c r="F54" s="29">
        <f ca="1">COUNTIFS($M$5:$M$304,$B54,$N$5:$N$304,4)/COUNTIF($M$5:$M$304,$B54)</f>
        <v>0.36619718309859156</v>
      </c>
      <c r="G54" s="29">
        <f ca="1">COUNTIFS($M$5:$M$304,$B54,$N$5:$N$304,5)/COUNTIF($M$5:$M$304,$B54)</f>
        <v>0.26056338028169013</v>
      </c>
      <c r="L54" s="9">
        <v>50</v>
      </c>
      <c r="M54" s="9" t="str">
        <f t="shared" ca="1" si="0"/>
        <v>1-2</v>
      </c>
      <c r="N54" s="9">
        <f t="shared" ca="1" si="1"/>
        <v>3</v>
      </c>
      <c r="O54" s="10">
        <f t="shared" ca="1" si="2"/>
        <v>2.2835387164843284</v>
      </c>
      <c r="P54" s="9" t="str">
        <f t="shared" ca="1" si="3"/>
        <v>costo inicial</v>
      </c>
      <c r="Q54" s="9" t="str">
        <f t="shared" ca="1" si="4"/>
        <v>«es muy caro instalarlo»</v>
      </c>
    </row>
    <row r="55" spans="2:17" ht="15" customHeight="1" x14ac:dyDescent="0.45">
      <c r="B55" s="4" t="s">
        <v>303</v>
      </c>
      <c r="C55" s="29">
        <f ca="1">COUNTIFS($M$5:$M$304,$B55,$N$5:$N$304,1)/COUNTIF($M$5:$M$304,$B55)</f>
        <v>2.9850746268656716E-2</v>
      </c>
      <c r="D55" s="29">
        <f ca="1">COUNTIFS($M$5:$M$304,$B55,$N$5:$N$304,2)/COUNTIF($M$5:$M$304,$B55)</f>
        <v>5.9701492537313432E-2</v>
      </c>
      <c r="E55" s="29">
        <f ca="1">COUNTIFS($M$5:$M$304,$B55,$N$5:$N$304,3)/COUNTIF($M$5:$M$304,$B55)</f>
        <v>0.20895522388059701</v>
      </c>
      <c r="F55" s="29">
        <f ca="1">COUNTIFS($M$5:$M$304,$B55,$N$5:$N$304,4)/COUNTIF($M$5:$M$304,$B55)</f>
        <v>0.35820895522388058</v>
      </c>
      <c r="G55" s="29">
        <f ca="1">COUNTIFS($M$5:$M$304,$B55,$N$5:$N$304,5)/COUNTIF($M$5:$M$304,$B55)</f>
        <v>0.34328358208955223</v>
      </c>
      <c r="L55" s="9">
        <v>51</v>
      </c>
      <c r="M55" s="9" t="str">
        <f t="shared" ca="1" si="0"/>
        <v>1-2</v>
      </c>
      <c r="N55" s="9">
        <f t="shared" ca="1" si="1"/>
        <v>3</v>
      </c>
      <c r="O55" s="10">
        <f t="shared" ca="1" si="2"/>
        <v>1.6612510886403968</v>
      </c>
      <c r="P55" s="9" t="str">
        <f t="shared" ca="1" si="3"/>
        <v>costo inicial</v>
      </c>
      <c r="Q55" s="9" t="str">
        <f t="shared" ca="1" si="4"/>
        <v>«es muy caro instalarlo»</v>
      </c>
    </row>
    <row r="56" spans="2:17" ht="15" customHeight="1" x14ac:dyDescent="0.45">
      <c r="L56" s="9">
        <v>52</v>
      </c>
      <c r="M56" s="9" t="str">
        <f t="shared" ca="1" si="0"/>
        <v>3-4</v>
      </c>
      <c r="N56" s="9">
        <f t="shared" ca="1" si="1"/>
        <v>3</v>
      </c>
      <c r="O56" s="10">
        <f t="shared" ca="1" si="2"/>
        <v>3.8448983198356261</v>
      </c>
      <c r="P56" s="9" t="str">
        <f t="shared" ca="1" si="3"/>
        <v>no sabe cómo</v>
      </c>
      <c r="Q56" s="9" t="str">
        <f t="shared" ca="1" si="4"/>
        <v>«no sé a quién acudir»</v>
      </c>
    </row>
    <row r="57" spans="2:17" ht="15" customHeight="1" x14ac:dyDescent="0.45">
      <c r="L57" s="9">
        <v>53</v>
      </c>
      <c r="M57" s="9" t="str">
        <f t="shared" ca="1" si="0"/>
        <v>5-6</v>
      </c>
      <c r="N57" s="9">
        <f t="shared" ca="1" si="1"/>
        <v>3</v>
      </c>
      <c r="O57" s="10">
        <f t="shared" ca="1" si="2"/>
        <v>2.9586737333744071</v>
      </c>
      <c r="P57" s="9" t="str">
        <f t="shared" ca="1" si="3"/>
        <v>no sabe cómo</v>
      </c>
      <c r="Q57" s="9" t="str">
        <f t="shared" ca="1" si="4"/>
        <v>«no sé a quién acudir»</v>
      </c>
    </row>
    <row r="58" spans="2:17" ht="15" customHeight="1" x14ac:dyDescent="0.45">
      <c r="L58" s="9">
        <v>54</v>
      </c>
      <c r="M58" s="9" t="str">
        <f t="shared" ca="1" si="0"/>
        <v>1-2</v>
      </c>
      <c r="N58" s="9">
        <f t="shared" ca="1" si="1"/>
        <v>1</v>
      </c>
      <c r="O58" s="10">
        <f t="shared" ca="1" si="2"/>
        <v>2.8364902215393686</v>
      </c>
      <c r="P58" s="9" t="str">
        <f t="shared" ca="1" si="3"/>
        <v>costo inicial</v>
      </c>
      <c r="Q58" s="9" t="str">
        <f t="shared" ca="1" si="4"/>
        <v>«es muy caro instalarlo»</v>
      </c>
    </row>
    <row r="59" spans="2:17" ht="15" customHeight="1" x14ac:dyDescent="0.45">
      <c r="L59" s="9">
        <v>55</v>
      </c>
      <c r="M59" s="9" t="str">
        <f t="shared" ca="1" si="0"/>
        <v>3-4</v>
      </c>
      <c r="N59" s="9">
        <f t="shared" ca="1" si="1"/>
        <v>4</v>
      </c>
      <c r="O59" s="10">
        <f t="shared" ca="1" si="2"/>
        <v>1.9196192692766285</v>
      </c>
      <c r="P59" s="9" t="str">
        <f t="shared" ca="1" si="3"/>
        <v>costo inicial</v>
      </c>
      <c r="Q59" s="9" t="str">
        <f t="shared" ca="1" si="4"/>
        <v>«es muy caro instalarlo»</v>
      </c>
    </row>
    <row r="60" spans="2:17" ht="15" customHeight="1" x14ac:dyDescent="0.45">
      <c r="L60" s="9">
        <v>56</v>
      </c>
      <c r="M60" s="9" t="str">
        <f t="shared" ca="1" si="0"/>
        <v>1-2</v>
      </c>
      <c r="N60" s="9">
        <f t="shared" ca="1" si="1"/>
        <v>2</v>
      </c>
      <c r="O60" s="10">
        <f t="shared" ca="1" si="2"/>
        <v>2.400139667638586</v>
      </c>
      <c r="P60" s="9" t="str">
        <f t="shared" ca="1" si="3"/>
        <v>desconfía</v>
      </c>
      <c r="Q60" s="9" t="str">
        <f t="shared" ca="1" si="4"/>
        <v>«no creo que funcione bien»</v>
      </c>
    </row>
    <row r="61" spans="2:17" ht="15" customHeight="1" x14ac:dyDescent="0.45">
      <c r="L61" s="9">
        <v>57</v>
      </c>
      <c r="M61" s="9" t="str">
        <f t="shared" ca="1" si="0"/>
        <v>1-2</v>
      </c>
      <c r="N61" s="9">
        <f t="shared" ca="1" si="1"/>
        <v>3</v>
      </c>
      <c r="O61" s="10">
        <f t="shared" ca="1" si="2"/>
        <v>2.9806148851659238</v>
      </c>
      <c r="P61" s="9" t="str">
        <f t="shared" ca="1" si="3"/>
        <v>desconfía</v>
      </c>
      <c r="Q61" s="9" t="str">
        <f t="shared" ca="1" si="4"/>
        <v>«no creo que funcione bien»</v>
      </c>
    </row>
    <row r="62" spans="2:17" ht="15" customHeight="1" x14ac:dyDescent="0.45">
      <c r="L62" s="9">
        <v>58</v>
      </c>
      <c r="M62" s="9" t="str">
        <f t="shared" ca="1" si="0"/>
        <v>3-4</v>
      </c>
      <c r="N62" s="9">
        <f t="shared" ca="1" si="1"/>
        <v>5</v>
      </c>
      <c r="O62" s="10">
        <f t="shared" ca="1" si="2"/>
        <v>2.900224579156212</v>
      </c>
      <c r="P62" s="9" t="str">
        <f t="shared" ca="1" si="3"/>
        <v>costo inicial</v>
      </c>
      <c r="Q62" s="9" t="str">
        <f t="shared" ca="1" si="4"/>
        <v>«es muy caro instalarlo»</v>
      </c>
    </row>
    <row r="63" spans="2:17" ht="15" customHeight="1" x14ac:dyDescent="0.45">
      <c r="L63" s="9">
        <v>59</v>
      </c>
      <c r="M63" s="9" t="str">
        <f t="shared" ca="1" si="0"/>
        <v>3-4</v>
      </c>
      <c r="N63" s="9">
        <f t="shared" ca="1" si="1"/>
        <v>3</v>
      </c>
      <c r="O63" s="10">
        <f t="shared" ca="1" si="2"/>
        <v>1.5758268400051698</v>
      </c>
      <c r="P63" s="9" t="str">
        <f t="shared" ca="1" si="3"/>
        <v>no sabe cómo</v>
      </c>
      <c r="Q63" s="9" t="str">
        <f t="shared" ca="1" si="4"/>
        <v>«no sé a quién acudir»</v>
      </c>
    </row>
    <row r="64" spans="2:17" ht="15" customHeight="1" x14ac:dyDescent="0.45">
      <c r="L64" s="9">
        <v>60</v>
      </c>
      <c r="M64" s="9" t="str">
        <f t="shared" ca="1" si="0"/>
        <v>3-4</v>
      </c>
      <c r="N64" s="9">
        <f t="shared" ca="1" si="1"/>
        <v>3</v>
      </c>
      <c r="O64" s="10">
        <f t="shared" ca="1" si="2"/>
        <v>2.7632945194028644</v>
      </c>
      <c r="P64" s="9" t="str">
        <f t="shared" ca="1" si="3"/>
        <v>no sabe cómo</v>
      </c>
      <c r="Q64" s="9" t="str">
        <f t="shared" ca="1" si="4"/>
        <v>«no sé a quién acudir»</v>
      </c>
    </row>
    <row r="65" spans="2:17" ht="15" customHeight="1" x14ac:dyDescent="0.45">
      <c r="L65" s="9">
        <v>61</v>
      </c>
      <c r="M65" s="9" t="str">
        <f t="shared" ca="1" si="0"/>
        <v>3-4</v>
      </c>
      <c r="N65" s="9">
        <f t="shared" ca="1" si="1"/>
        <v>3</v>
      </c>
      <c r="O65" s="10">
        <f t="shared" ca="1" si="2"/>
        <v>2.1412422032525358</v>
      </c>
      <c r="P65" s="9" t="str">
        <f t="shared" ca="1" si="3"/>
        <v>costo inicial</v>
      </c>
      <c r="Q65" s="9" t="str">
        <f t="shared" ca="1" si="4"/>
        <v>«es muy caro instalarlo»</v>
      </c>
    </row>
    <row r="66" spans="2:17" ht="15" customHeight="1" x14ac:dyDescent="0.45">
      <c r="L66" s="9">
        <v>62</v>
      </c>
      <c r="M66" s="9" t="str">
        <f t="shared" ca="1" si="0"/>
        <v>5-6</v>
      </c>
      <c r="N66" s="9">
        <f t="shared" ca="1" si="1"/>
        <v>3</v>
      </c>
      <c r="O66" s="10">
        <f t="shared" ca="1" si="2"/>
        <v>2.1103757683786393</v>
      </c>
      <c r="P66" s="9" t="str">
        <f t="shared" ca="1" si="3"/>
        <v>costo inicial</v>
      </c>
      <c r="Q66" s="9" t="str">
        <f t="shared" ca="1" si="4"/>
        <v>«es muy caro instalarlo»</v>
      </c>
    </row>
    <row r="67" spans="2:17" ht="15" customHeight="1" x14ac:dyDescent="0.45">
      <c r="L67" s="9">
        <v>63</v>
      </c>
      <c r="M67" s="9" t="str">
        <f t="shared" ca="1" si="0"/>
        <v>5-6</v>
      </c>
      <c r="N67" s="9">
        <f t="shared" ca="1" si="1"/>
        <v>5</v>
      </c>
      <c r="O67" s="10">
        <f t="shared" ca="1" si="2"/>
        <v>2.7801000591085798</v>
      </c>
      <c r="P67" s="9" t="str">
        <f t="shared" ca="1" si="3"/>
        <v>ninguna</v>
      </c>
      <c r="Q67" s="9" t="str">
        <f t="shared" ca="1" si="4"/>
        <v>«lo haría ya»</v>
      </c>
    </row>
    <row r="68" spans="2:17" ht="15" customHeight="1" x14ac:dyDescent="0.45">
      <c r="L68" s="9">
        <v>64</v>
      </c>
      <c r="M68" s="9" t="str">
        <f t="shared" ca="1" si="0"/>
        <v>3-4</v>
      </c>
      <c r="N68" s="9">
        <f t="shared" ca="1" si="1"/>
        <v>5</v>
      </c>
      <c r="O68" s="10">
        <f t="shared" ca="1" si="2"/>
        <v>2.7125993894660194</v>
      </c>
      <c r="P68" s="9" t="str">
        <f t="shared" ca="1" si="3"/>
        <v>costo inicial</v>
      </c>
      <c r="Q68" s="9" t="str">
        <f t="shared" ca="1" si="4"/>
        <v>«es muy caro instalarlo»</v>
      </c>
    </row>
    <row r="69" spans="2:17" ht="15" customHeight="1" x14ac:dyDescent="0.45">
      <c r="L69" s="9">
        <v>65</v>
      </c>
      <c r="M69" s="9" t="str">
        <f t="shared" ref="M69:M132" ca="1" si="7">INDEX($B$11:$B$13,MATCH(RAND(),$C$15:$C$17,1))</f>
        <v>5-6</v>
      </c>
      <c r="N69" s="9">
        <f t="shared" ref="N69:N132" ca="1" si="8">MATCH(RAND(),INDEX($D$15:$H$17,MATCH(M69,$B$11:$B$13,0),0),1)</f>
        <v>4</v>
      </c>
      <c r="O69" s="10">
        <f t="shared" ref="O69:O132" ca="1" si="9">MAX(0,_xlfn.NORM.INV(RAND(),2.5+0.4*(N69-3),1))</f>
        <v>3.8584136708097754</v>
      </c>
      <c r="P69" s="9" t="str">
        <f t="shared" ref="P69:P132" ca="1" si="10">INDEX($B$20:$B$24,MATCH(RAND(),$D$20:$D$24,1))</f>
        <v>costo inicial</v>
      </c>
      <c r="Q69" s="9" t="str">
        <f t="shared" ref="Q69:Q132" ca="1" si="11">"«"&amp;INDEX($E$20:$E$24,MATCH(P69,$B$20:$B$24,0))&amp;"»"</f>
        <v>«es muy caro instalarlo»</v>
      </c>
    </row>
    <row r="70" spans="2:17" ht="15" customHeight="1" x14ac:dyDescent="0.45">
      <c r="L70" s="9">
        <v>66</v>
      </c>
      <c r="M70" s="9" t="str">
        <f t="shared" ca="1" si="7"/>
        <v>3-4</v>
      </c>
      <c r="N70" s="9">
        <f t="shared" ca="1" si="8"/>
        <v>4</v>
      </c>
      <c r="O70" s="10">
        <f t="shared" ca="1" si="9"/>
        <v>3.1760237269864158</v>
      </c>
      <c r="P70" s="9" t="str">
        <f t="shared" ca="1" si="10"/>
        <v>no sabe cómo</v>
      </c>
      <c r="Q70" s="9" t="str">
        <f t="shared" ca="1" si="11"/>
        <v>«no sé a quién acudir»</v>
      </c>
    </row>
    <row r="71" spans="2:17" ht="15" customHeight="1" x14ac:dyDescent="0.45">
      <c r="L71" s="9">
        <v>67</v>
      </c>
      <c r="M71" s="9" t="str">
        <f t="shared" ca="1" si="7"/>
        <v>3-4</v>
      </c>
      <c r="N71" s="9">
        <f t="shared" ca="1" si="8"/>
        <v>3</v>
      </c>
      <c r="O71" s="10">
        <f t="shared" ca="1" si="9"/>
        <v>2.7641933483968719</v>
      </c>
      <c r="P71" s="9" t="str">
        <f t="shared" ca="1" si="10"/>
        <v>desconfía</v>
      </c>
      <c r="Q71" s="9" t="str">
        <f t="shared" ca="1" si="11"/>
        <v>«no creo que funcione bien»</v>
      </c>
    </row>
    <row r="72" spans="2:17" ht="15" customHeight="1" x14ac:dyDescent="0.45">
      <c r="L72" s="9">
        <v>68</v>
      </c>
      <c r="M72" s="9" t="str">
        <f t="shared" ca="1" si="7"/>
        <v>3-4</v>
      </c>
      <c r="N72" s="9">
        <f t="shared" ca="1" si="8"/>
        <v>4</v>
      </c>
      <c r="O72" s="10">
        <f t="shared" ca="1" si="9"/>
        <v>2.863829706925948</v>
      </c>
      <c r="P72" s="9" t="str">
        <f t="shared" ca="1" si="10"/>
        <v>vive en arriendo</v>
      </c>
      <c r="Q72" s="9" t="str">
        <f t="shared" ca="1" si="11"/>
        <v>«la casa no es mía»</v>
      </c>
    </row>
    <row r="73" spans="2:17" ht="15" customHeight="1" x14ac:dyDescent="0.45">
      <c r="L73" s="9">
        <v>69</v>
      </c>
      <c r="M73" s="9" t="str">
        <f t="shared" ca="1" si="7"/>
        <v>3-4</v>
      </c>
      <c r="N73" s="9">
        <f t="shared" ca="1" si="8"/>
        <v>4</v>
      </c>
      <c r="O73" s="10">
        <f t="shared" ca="1" si="9"/>
        <v>3.5415233335812708</v>
      </c>
      <c r="P73" s="9" t="str">
        <f t="shared" ca="1" si="10"/>
        <v>vive en arriendo</v>
      </c>
      <c r="Q73" s="9" t="str">
        <f t="shared" ca="1" si="11"/>
        <v>«la casa no es mía»</v>
      </c>
    </row>
    <row r="74" spans="2:17" ht="28.05" customHeight="1" x14ac:dyDescent="0.45">
      <c r="B74" s="3" t="s">
        <v>289</v>
      </c>
      <c r="C74" s="3" t="s">
        <v>341</v>
      </c>
      <c r="L74" s="9">
        <v>70</v>
      </c>
      <c r="M74" s="9" t="str">
        <f t="shared" ca="1" si="7"/>
        <v>5-6</v>
      </c>
      <c r="N74" s="9">
        <f t="shared" ca="1" si="8"/>
        <v>4</v>
      </c>
      <c r="O74" s="10">
        <f t="shared" ca="1" si="9"/>
        <v>1.5429188108768022</v>
      </c>
      <c r="P74" s="9" t="str">
        <f t="shared" ca="1" si="10"/>
        <v>desconfía</v>
      </c>
      <c r="Q74" s="9" t="str">
        <f t="shared" ca="1" si="11"/>
        <v>«no creo que funcione bien»</v>
      </c>
    </row>
    <row r="75" spans="2:17" ht="15" customHeight="1" x14ac:dyDescent="0.45">
      <c r="B75" s="7" t="s">
        <v>314</v>
      </c>
      <c r="C75" s="13">
        <f ca="1">COUNTIF($P$5:$P$304,B75)/300</f>
        <v>0.40333333333333332</v>
      </c>
      <c r="L75" s="9">
        <v>71</v>
      </c>
      <c r="M75" s="9" t="str">
        <f t="shared" ca="1" si="7"/>
        <v>5-6</v>
      </c>
      <c r="N75" s="9">
        <f t="shared" ca="1" si="8"/>
        <v>2</v>
      </c>
      <c r="O75" s="10">
        <f t="shared" ca="1" si="9"/>
        <v>2.4667809241177876</v>
      </c>
      <c r="P75" s="9" t="str">
        <f t="shared" ca="1" si="10"/>
        <v>costo inicial</v>
      </c>
      <c r="Q75" s="9" t="str">
        <f t="shared" ca="1" si="11"/>
        <v>«es muy caro instalarlo»</v>
      </c>
    </row>
    <row r="76" spans="2:17" ht="15" customHeight="1" x14ac:dyDescent="0.45">
      <c r="B76" s="7" t="s">
        <v>316</v>
      </c>
      <c r="C76" s="13">
        <f ca="1">COUNTIF($P$5:$P$304,B76)/300</f>
        <v>0.20666666666666667</v>
      </c>
      <c r="L76" s="9">
        <v>72</v>
      </c>
      <c r="M76" s="9" t="str">
        <f t="shared" ca="1" si="7"/>
        <v>1-2</v>
      </c>
      <c r="N76" s="9">
        <f t="shared" ca="1" si="8"/>
        <v>2</v>
      </c>
      <c r="O76" s="10">
        <f t="shared" ca="1" si="9"/>
        <v>1.5954900210002354</v>
      </c>
      <c r="P76" s="9" t="str">
        <f t="shared" ca="1" si="10"/>
        <v>desconfía</v>
      </c>
      <c r="Q76" s="9" t="str">
        <f t="shared" ca="1" si="11"/>
        <v>«no creo que funcione bien»</v>
      </c>
    </row>
    <row r="77" spans="2:17" ht="15" customHeight="1" x14ac:dyDescent="0.45">
      <c r="B77" s="7" t="s">
        <v>318</v>
      </c>
      <c r="C77" s="13">
        <f ca="1">COUNTIF($P$5:$P$304,B77)/300</f>
        <v>0.15</v>
      </c>
      <c r="L77" s="9">
        <v>73</v>
      </c>
      <c r="M77" s="9" t="str">
        <f t="shared" ca="1" si="7"/>
        <v>1-2</v>
      </c>
      <c r="N77" s="9">
        <f t="shared" ca="1" si="8"/>
        <v>4</v>
      </c>
      <c r="O77" s="10">
        <f t="shared" ca="1" si="9"/>
        <v>4.2155948110403383</v>
      </c>
      <c r="P77" s="9" t="str">
        <f t="shared" ca="1" si="10"/>
        <v>costo inicial</v>
      </c>
      <c r="Q77" s="9" t="str">
        <f t="shared" ca="1" si="11"/>
        <v>«es muy caro instalarlo»</v>
      </c>
    </row>
    <row r="78" spans="2:17" ht="15" customHeight="1" x14ac:dyDescent="0.45">
      <c r="B78" s="7" t="s">
        <v>320</v>
      </c>
      <c r="C78" s="13">
        <f ca="1">COUNTIF($P$5:$P$304,B78)/300</f>
        <v>0.10333333333333333</v>
      </c>
      <c r="L78" s="9">
        <v>74</v>
      </c>
      <c r="M78" s="9" t="str">
        <f t="shared" ca="1" si="7"/>
        <v>1-2</v>
      </c>
      <c r="N78" s="9">
        <f t="shared" ca="1" si="8"/>
        <v>4</v>
      </c>
      <c r="O78" s="10">
        <f t="shared" ca="1" si="9"/>
        <v>1.3197516161960356</v>
      </c>
      <c r="P78" s="9" t="str">
        <f t="shared" ca="1" si="10"/>
        <v>costo inicial</v>
      </c>
      <c r="Q78" s="9" t="str">
        <f t="shared" ca="1" si="11"/>
        <v>«es muy caro instalarlo»</v>
      </c>
    </row>
    <row r="79" spans="2:17" ht="15" customHeight="1" x14ac:dyDescent="0.45">
      <c r="B79" s="7" t="s">
        <v>322</v>
      </c>
      <c r="C79" s="13">
        <f ca="1">COUNTIF($P$5:$P$304,B79)/300</f>
        <v>0.13666666666666666</v>
      </c>
      <c r="L79" s="9">
        <v>75</v>
      </c>
      <c r="M79" s="9" t="str">
        <f t="shared" ca="1" si="7"/>
        <v>3-4</v>
      </c>
      <c r="N79" s="9">
        <f t="shared" ca="1" si="8"/>
        <v>4</v>
      </c>
      <c r="O79" s="10">
        <f t="shared" ca="1" si="9"/>
        <v>2.2329374619772007</v>
      </c>
      <c r="P79" s="9" t="str">
        <f t="shared" ca="1" si="10"/>
        <v>costo inicial</v>
      </c>
      <c r="Q79" s="9" t="str">
        <f t="shared" ca="1" si="11"/>
        <v>«es muy caro instalarlo»</v>
      </c>
    </row>
    <row r="80" spans="2:17" ht="15" customHeight="1" x14ac:dyDescent="0.45">
      <c r="L80" s="9">
        <v>76</v>
      </c>
      <c r="M80" s="9" t="str">
        <f t="shared" ca="1" si="7"/>
        <v>3-4</v>
      </c>
      <c r="N80" s="9">
        <f t="shared" ca="1" si="8"/>
        <v>3</v>
      </c>
      <c r="O80" s="10">
        <f t="shared" ca="1" si="9"/>
        <v>2.4520528537120367</v>
      </c>
      <c r="P80" s="9" t="str">
        <f t="shared" ca="1" si="10"/>
        <v>ninguna</v>
      </c>
      <c r="Q80" s="9" t="str">
        <f t="shared" ca="1" si="11"/>
        <v>«lo haría ya»</v>
      </c>
    </row>
    <row r="81" spans="12:17" ht="15" customHeight="1" x14ac:dyDescent="0.45">
      <c r="L81" s="9">
        <v>77</v>
      </c>
      <c r="M81" s="9" t="str">
        <f t="shared" ca="1" si="7"/>
        <v>5-6</v>
      </c>
      <c r="N81" s="9">
        <f t="shared" ca="1" si="8"/>
        <v>4</v>
      </c>
      <c r="O81" s="10">
        <f t="shared" ca="1" si="9"/>
        <v>3.9042746551931518</v>
      </c>
      <c r="P81" s="9" t="str">
        <f t="shared" ca="1" si="10"/>
        <v>costo inicial</v>
      </c>
      <c r="Q81" s="9" t="str">
        <f t="shared" ca="1" si="11"/>
        <v>«es muy caro instalarlo»</v>
      </c>
    </row>
    <row r="82" spans="12:17" ht="15" customHeight="1" x14ac:dyDescent="0.45">
      <c r="L82" s="9">
        <v>78</v>
      </c>
      <c r="M82" s="9" t="str">
        <f t="shared" ca="1" si="7"/>
        <v>1-2</v>
      </c>
      <c r="N82" s="9">
        <f t="shared" ca="1" si="8"/>
        <v>5</v>
      </c>
      <c r="O82" s="10">
        <f t="shared" ca="1" si="9"/>
        <v>3.3602057282288489</v>
      </c>
      <c r="P82" s="9" t="str">
        <f t="shared" ca="1" si="10"/>
        <v>costo inicial</v>
      </c>
      <c r="Q82" s="9" t="str">
        <f t="shared" ca="1" si="11"/>
        <v>«es muy caro instalarlo»</v>
      </c>
    </row>
    <row r="83" spans="12:17" ht="15" customHeight="1" x14ac:dyDescent="0.45">
      <c r="L83" s="9">
        <v>79</v>
      </c>
      <c r="M83" s="9" t="str">
        <f t="shared" ca="1" si="7"/>
        <v>5-6</v>
      </c>
      <c r="N83" s="9">
        <f t="shared" ca="1" si="8"/>
        <v>4</v>
      </c>
      <c r="O83" s="10">
        <f t="shared" ca="1" si="9"/>
        <v>3.2627659055996414</v>
      </c>
      <c r="P83" s="9" t="str">
        <f t="shared" ca="1" si="10"/>
        <v>desconfía</v>
      </c>
      <c r="Q83" s="9" t="str">
        <f t="shared" ca="1" si="11"/>
        <v>«no creo que funcione bien»</v>
      </c>
    </row>
    <row r="84" spans="12:17" ht="15" customHeight="1" x14ac:dyDescent="0.45">
      <c r="L84" s="9">
        <v>80</v>
      </c>
      <c r="M84" s="9" t="str">
        <f t="shared" ca="1" si="7"/>
        <v>3-4</v>
      </c>
      <c r="N84" s="9">
        <f t="shared" ca="1" si="8"/>
        <v>5</v>
      </c>
      <c r="O84" s="10">
        <f t="shared" ca="1" si="9"/>
        <v>3.8375278701684303</v>
      </c>
      <c r="P84" s="9" t="str">
        <f t="shared" ca="1" si="10"/>
        <v>no sabe cómo</v>
      </c>
      <c r="Q84" s="9" t="str">
        <f t="shared" ca="1" si="11"/>
        <v>«no sé a quién acudir»</v>
      </c>
    </row>
    <row r="85" spans="12:17" ht="15" customHeight="1" x14ac:dyDescent="0.45">
      <c r="L85" s="9">
        <v>81</v>
      </c>
      <c r="M85" s="9" t="str">
        <f t="shared" ca="1" si="7"/>
        <v>3-4</v>
      </c>
      <c r="N85" s="9">
        <f t="shared" ca="1" si="8"/>
        <v>5</v>
      </c>
      <c r="O85" s="10">
        <f t="shared" ca="1" si="9"/>
        <v>3.75133075686565</v>
      </c>
      <c r="P85" s="9" t="str">
        <f t="shared" ca="1" si="10"/>
        <v>costo inicial</v>
      </c>
      <c r="Q85" s="9" t="str">
        <f t="shared" ca="1" si="11"/>
        <v>«es muy caro instalarlo»</v>
      </c>
    </row>
    <row r="86" spans="12:17" ht="15" customHeight="1" x14ac:dyDescent="0.45">
      <c r="L86" s="9">
        <v>82</v>
      </c>
      <c r="M86" s="9" t="str">
        <f t="shared" ca="1" si="7"/>
        <v>5-6</v>
      </c>
      <c r="N86" s="9">
        <f t="shared" ca="1" si="8"/>
        <v>4</v>
      </c>
      <c r="O86" s="10">
        <f t="shared" ca="1" si="9"/>
        <v>2.0372951385574232</v>
      </c>
      <c r="P86" s="9" t="str">
        <f t="shared" ca="1" si="10"/>
        <v>ninguna</v>
      </c>
      <c r="Q86" s="9" t="str">
        <f t="shared" ca="1" si="11"/>
        <v>«lo haría ya»</v>
      </c>
    </row>
    <row r="87" spans="12:17" ht="15" customHeight="1" x14ac:dyDescent="0.45">
      <c r="L87" s="9">
        <v>83</v>
      </c>
      <c r="M87" s="9" t="str">
        <f t="shared" ca="1" si="7"/>
        <v>5-6</v>
      </c>
      <c r="N87" s="9">
        <f t="shared" ca="1" si="8"/>
        <v>4</v>
      </c>
      <c r="O87" s="10">
        <f t="shared" ca="1" si="9"/>
        <v>4.2666862923514977</v>
      </c>
      <c r="P87" s="9" t="str">
        <f t="shared" ca="1" si="10"/>
        <v>vive en arriendo</v>
      </c>
      <c r="Q87" s="9" t="str">
        <f t="shared" ca="1" si="11"/>
        <v>«la casa no es mía»</v>
      </c>
    </row>
    <row r="88" spans="12:17" ht="15" customHeight="1" x14ac:dyDescent="0.45">
      <c r="L88" s="9">
        <v>84</v>
      </c>
      <c r="M88" s="9" t="str">
        <f t="shared" ca="1" si="7"/>
        <v>3-4</v>
      </c>
      <c r="N88" s="9">
        <f t="shared" ca="1" si="8"/>
        <v>4</v>
      </c>
      <c r="O88" s="10">
        <f t="shared" ca="1" si="9"/>
        <v>4.3408213654915375</v>
      </c>
      <c r="P88" s="9" t="str">
        <f t="shared" ca="1" si="10"/>
        <v>vive en arriendo</v>
      </c>
      <c r="Q88" s="9" t="str">
        <f t="shared" ca="1" si="11"/>
        <v>«la casa no es mía»</v>
      </c>
    </row>
    <row r="89" spans="12:17" ht="15" customHeight="1" x14ac:dyDescent="0.45">
      <c r="L89" s="9">
        <v>85</v>
      </c>
      <c r="M89" s="9" t="str">
        <f t="shared" ca="1" si="7"/>
        <v>1-2</v>
      </c>
      <c r="N89" s="9">
        <f t="shared" ca="1" si="8"/>
        <v>3</v>
      </c>
      <c r="O89" s="10">
        <f t="shared" ca="1" si="9"/>
        <v>2.3772905649959504</v>
      </c>
      <c r="P89" s="9" t="str">
        <f t="shared" ca="1" si="10"/>
        <v>vive en arriendo</v>
      </c>
      <c r="Q89" s="9" t="str">
        <f t="shared" ca="1" si="11"/>
        <v>«la casa no es mía»</v>
      </c>
    </row>
    <row r="90" spans="12:17" ht="15" customHeight="1" x14ac:dyDescent="0.45">
      <c r="L90" s="9">
        <v>86</v>
      </c>
      <c r="M90" s="9" t="str">
        <f t="shared" ca="1" si="7"/>
        <v>1-2</v>
      </c>
      <c r="N90" s="9">
        <f t="shared" ca="1" si="8"/>
        <v>5</v>
      </c>
      <c r="O90" s="10">
        <f t="shared" ca="1" si="9"/>
        <v>2.2358269376901951</v>
      </c>
      <c r="P90" s="9" t="str">
        <f t="shared" ca="1" si="10"/>
        <v>desconfía</v>
      </c>
      <c r="Q90" s="9" t="str">
        <f t="shared" ca="1" si="11"/>
        <v>«no creo que funcione bien»</v>
      </c>
    </row>
    <row r="91" spans="12:17" ht="15" customHeight="1" x14ac:dyDescent="0.45">
      <c r="L91" s="9">
        <v>87</v>
      </c>
      <c r="M91" s="9" t="str">
        <f t="shared" ca="1" si="7"/>
        <v>1-2</v>
      </c>
      <c r="N91" s="9">
        <f t="shared" ca="1" si="8"/>
        <v>1</v>
      </c>
      <c r="O91" s="10">
        <f t="shared" ca="1" si="9"/>
        <v>3.3849832281410475</v>
      </c>
      <c r="P91" s="9" t="str">
        <f t="shared" ca="1" si="10"/>
        <v>costo inicial</v>
      </c>
      <c r="Q91" s="9" t="str">
        <f t="shared" ca="1" si="11"/>
        <v>«es muy caro instalarlo»</v>
      </c>
    </row>
    <row r="92" spans="12:17" ht="15" customHeight="1" x14ac:dyDescent="0.45">
      <c r="L92" s="9">
        <v>88</v>
      </c>
      <c r="M92" s="9" t="str">
        <f t="shared" ca="1" si="7"/>
        <v>3-4</v>
      </c>
      <c r="N92" s="9">
        <f t="shared" ca="1" si="8"/>
        <v>2</v>
      </c>
      <c r="O92" s="10">
        <f t="shared" ca="1" si="9"/>
        <v>2.6432549197427466</v>
      </c>
      <c r="P92" s="9" t="str">
        <f t="shared" ca="1" si="10"/>
        <v>ninguna</v>
      </c>
      <c r="Q92" s="9" t="str">
        <f t="shared" ca="1" si="11"/>
        <v>«lo haría ya»</v>
      </c>
    </row>
    <row r="93" spans="12:17" ht="15" customHeight="1" x14ac:dyDescent="0.45">
      <c r="L93" s="9">
        <v>89</v>
      </c>
      <c r="M93" s="9" t="str">
        <f t="shared" ca="1" si="7"/>
        <v>3-4</v>
      </c>
      <c r="N93" s="9">
        <f t="shared" ca="1" si="8"/>
        <v>4</v>
      </c>
      <c r="O93" s="10">
        <f t="shared" ca="1" si="9"/>
        <v>4.5827637144548845</v>
      </c>
      <c r="P93" s="9" t="str">
        <f t="shared" ca="1" si="10"/>
        <v>no sabe cómo</v>
      </c>
      <c r="Q93" s="9" t="str">
        <f t="shared" ca="1" si="11"/>
        <v>«no sé a quién acudir»</v>
      </c>
    </row>
    <row r="94" spans="12:17" ht="15" customHeight="1" x14ac:dyDescent="0.45">
      <c r="L94" s="9">
        <v>90</v>
      </c>
      <c r="M94" s="9" t="str">
        <f t="shared" ca="1" si="7"/>
        <v>1-2</v>
      </c>
      <c r="N94" s="9">
        <f t="shared" ca="1" si="8"/>
        <v>4</v>
      </c>
      <c r="O94" s="10">
        <f t="shared" ca="1" si="9"/>
        <v>2.8065575199474733</v>
      </c>
      <c r="P94" s="9" t="str">
        <f t="shared" ca="1" si="10"/>
        <v>no sabe cómo</v>
      </c>
      <c r="Q94" s="9" t="str">
        <f t="shared" ca="1" si="11"/>
        <v>«no sé a quién acudir»</v>
      </c>
    </row>
    <row r="95" spans="12:17" ht="15" customHeight="1" x14ac:dyDescent="0.45">
      <c r="L95" s="9">
        <v>91</v>
      </c>
      <c r="M95" s="9" t="str">
        <f t="shared" ca="1" si="7"/>
        <v>5-6</v>
      </c>
      <c r="N95" s="9">
        <f t="shared" ca="1" si="8"/>
        <v>4</v>
      </c>
      <c r="O95" s="10">
        <f t="shared" ca="1" si="9"/>
        <v>2.4384186586703969</v>
      </c>
      <c r="P95" s="9" t="str">
        <f t="shared" ca="1" si="10"/>
        <v>costo inicial</v>
      </c>
      <c r="Q95" s="9" t="str">
        <f t="shared" ca="1" si="11"/>
        <v>«es muy caro instalarlo»</v>
      </c>
    </row>
    <row r="96" spans="12:17" ht="15" customHeight="1" x14ac:dyDescent="0.45">
      <c r="L96" s="9">
        <v>92</v>
      </c>
      <c r="M96" s="9" t="str">
        <f t="shared" ca="1" si="7"/>
        <v>1-2</v>
      </c>
      <c r="N96" s="9">
        <f t="shared" ca="1" si="8"/>
        <v>4</v>
      </c>
      <c r="O96" s="10">
        <f t="shared" ca="1" si="9"/>
        <v>2.5376632731320594</v>
      </c>
      <c r="P96" s="9" t="str">
        <f t="shared" ca="1" si="10"/>
        <v>costo inicial</v>
      </c>
      <c r="Q96" s="9" t="str">
        <f t="shared" ca="1" si="11"/>
        <v>«es muy caro instalarlo»</v>
      </c>
    </row>
    <row r="97" spans="12:17" ht="15" customHeight="1" x14ac:dyDescent="0.45">
      <c r="L97" s="9">
        <v>93</v>
      </c>
      <c r="M97" s="9" t="str">
        <f t="shared" ca="1" si="7"/>
        <v>3-4</v>
      </c>
      <c r="N97" s="9">
        <f t="shared" ca="1" si="8"/>
        <v>4</v>
      </c>
      <c r="O97" s="10">
        <f t="shared" ca="1" si="9"/>
        <v>3.2501650518176075</v>
      </c>
      <c r="P97" s="9" t="str">
        <f t="shared" ca="1" si="10"/>
        <v>costo inicial</v>
      </c>
      <c r="Q97" s="9" t="str">
        <f t="shared" ca="1" si="11"/>
        <v>«es muy caro instalarlo»</v>
      </c>
    </row>
    <row r="98" spans="12:17" ht="15" customHeight="1" x14ac:dyDescent="0.45">
      <c r="L98" s="9">
        <v>94</v>
      </c>
      <c r="M98" s="9" t="str">
        <f t="shared" ca="1" si="7"/>
        <v>3-4</v>
      </c>
      <c r="N98" s="9">
        <f t="shared" ca="1" si="8"/>
        <v>4</v>
      </c>
      <c r="O98" s="10">
        <f t="shared" ca="1" si="9"/>
        <v>3.2919722090179961</v>
      </c>
      <c r="P98" s="9" t="str">
        <f t="shared" ca="1" si="10"/>
        <v>vive en arriendo</v>
      </c>
      <c r="Q98" s="9" t="str">
        <f t="shared" ca="1" si="11"/>
        <v>«la casa no es mía»</v>
      </c>
    </row>
    <row r="99" spans="12:17" ht="15" customHeight="1" x14ac:dyDescent="0.45">
      <c r="L99" s="9">
        <v>95</v>
      </c>
      <c r="M99" s="9" t="str">
        <f t="shared" ca="1" si="7"/>
        <v>3-4</v>
      </c>
      <c r="N99" s="9">
        <f t="shared" ca="1" si="8"/>
        <v>3</v>
      </c>
      <c r="O99" s="10">
        <f t="shared" ca="1" si="9"/>
        <v>2.2161365433393061</v>
      </c>
      <c r="P99" s="9" t="str">
        <f t="shared" ca="1" si="10"/>
        <v>ninguna</v>
      </c>
      <c r="Q99" s="9" t="str">
        <f t="shared" ca="1" si="11"/>
        <v>«lo haría ya»</v>
      </c>
    </row>
    <row r="100" spans="12:17" ht="15" customHeight="1" x14ac:dyDescent="0.45">
      <c r="L100" s="9">
        <v>96</v>
      </c>
      <c r="M100" s="9" t="str">
        <f t="shared" ca="1" si="7"/>
        <v>1-2</v>
      </c>
      <c r="N100" s="9">
        <f t="shared" ca="1" si="8"/>
        <v>3</v>
      </c>
      <c r="O100" s="10">
        <f t="shared" ca="1" si="9"/>
        <v>3.1846183074221641</v>
      </c>
      <c r="P100" s="9" t="str">
        <f t="shared" ca="1" si="10"/>
        <v>costo inicial</v>
      </c>
      <c r="Q100" s="9" t="str">
        <f t="shared" ca="1" si="11"/>
        <v>«es muy caro instalarlo»</v>
      </c>
    </row>
    <row r="101" spans="12:17" ht="15" customHeight="1" x14ac:dyDescent="0.45">
      <c r="L101" s="9">
        <v>97</v>
      </c>
      <c r="M101" s="9" t="str">
        <f t="shared" ca="1" si="7"/>
        <v>1-2</v>
      </c>
      <c r="N101" s="9">
        <f t="shared" ca="1" si="8"/>
        <v>5</v>
      </c>
      <c r="O101" s="10">
        <f t="shared" ca="1" si="9"/>
        <v>2.8194975761243213</v>
      </c>
      <c r="P101" s="9" t="str">
        <f t="shared" ca="1" si="10"/>
        <v>costo inicial</v>
      </c>
      <c r="Q101" s="9" t="str">
        <f t="shared" ca="1" si="11"/>
        <v>«es muy caro instalarlo»</v>
      </c>
    </row>
    <row r="102" spans="12:17" ht="15" customHeight="1" x14ac:dyDescent="0.45">
      <c r="L102" s="9">
        <v>98</v>
      </c>
      <c r="M102" s="9" t="str">
        <f t="shared" ca="1" si="7"/>
        <v>3-4</v>
      </c>
      <c r="N102" s="9">
        <f t="shared" ca="1" si="8"/>
        <v>3</v>
      </c>
      <c r="O102" s="10">
        <f t="shared" ca="1" si="9"/>
        <v>3.8435935477861989</v>
      </c>
      <c r="P102" s="9" t="str">
        <f t="shared" ca="1" si="10"/>
        <v>costo inicial</v>
      </c>
      <c r="Q102" s="9" t="str">
        <f t="shared" ca="1" si="11"/>
        <v>«es muy caro instalarlo»</v>
      </c>
    </row>
    <row r="103" spans="12:17" ht="15" customHeight="1" x14ac:dyDescent="0.45">
      <c r="L103" s="9">
        <v>99</v>
      </c>
      <c r="M103" s="9" t="str">
        <f t="shared" ca="1" si="7"/>
        <v>3-4</v>
      </c>
      <c r="N103" s="9">
        <f t="shared" ca="1" si="8"/>
        <v>4</v>
      </c>
      <c r="O103" s="10">
        <f t="shared" ca="1" si="9"/>
        <v>4.1242058166763291</v>
      </c>
      <c r="P103" s="9" t="str">
        <f t="shared" ca="1" si="10"/>
        <v>costo inicial</v>
      </c>
      <c r="Q103" s="9" t="str">
        <f t="shared" ca="1" si="11"/>
        <v>«es muy caro instalarlo»</v>
      </c>
    </row>
    <row r="104" spans="12:17" ht="15" customHeight="1" x14ac:dyDescent="0.45">
      <c r="L104" s="9">
        <v>100</v>
      </c>
      <c r="M104" s="9" t="str">
        <f t="shared" ca="1" si="7"/>
        <v>3-4</v>
      </c>
      <c r="N104" s="9">
        <f t="shared" ca="1" si="8"/>
        <v>3</v>
      </c>
      <c r="O104" s="10">
        <f t="shared" ca="1" si="9"/>
        <v>1.6180621967362225</v>
      </c>
      <c r="P104" s="9" t="str">
        <f t="shared" ca="1" si="10"/>
        <v>ninguna</v>
      </c>
      <c r="Q104" s="9" t="str">
        <f t="shared" ca="1" si="11"/>
        <v>«lo haría ya»</v>
      </c>
    </row>
    <row r="105" spans="12:17" ht="15" customHeight="1" x14ac:dyDescent="0.45">
      <c r="L105" s="9">
        <v>101</v>
      </c>
      <c r="M105" s="9" t="str">
        <f t="shared" ca="1" si="7"/>
        <v>3-4</v>
      </c>
      <c r="N105" s="9">
        <f t="shared" ca="1" si="8"/>
        <v>4</v>
      </c>
      <c r="O105" s="10">
        <f t="shared" ca="1" si="9"/>
        <v>3.4757315578151196</v>
      </c>
      <c r="P105" s="9" t="str">
        <f t="shared" ca="1" si="10"/>
        <v>ninguna</v>
      </c>
      <c r="Q105" s="9" t="str">
        <f t="shared" ca="1" si="11"/>
        <v>«lo haría ya»</v>
      </c>
    </row>
    <row r="106" spans="12:17" ht="15" customHeight="1" x14ac:dyDescent="0.45">
      <c r="L106" s="9">
        <v>102</v>
      </c>
      <c r="M106" s="9" t="str">
        <f t="shared" ca="1" si="7"/>
        <v>5-6</v>
      </c>
      <c r="N106" s="9">
        <f t="shared" ca="1" si="8"/>
        <v>3</v>
      </c>
      <c r="O106" s="10">
        <f t="shared" ca="1" si="9"/>
        <v>2.248478554869012</v>
      </c>
      <c r="P106" s="9" t="str">
        <f t="shared" ca="1" si="10"/>
        <v>costo inicial</v>
      </c>
      <c r="Q106" s="9" t="str">
        <f t="shared" ca="1" si="11"/>
        <v>«es muy caro instalarlo»</v>
      </c>
    </row>
    <row r="107" spans="12:17" ht="15" customHeight="1" x14ac:dyDescent="0.45">
      <c r="L107" s="9">
        <v>103</v>
      </c>
      <c r="M107" s="9" t="str">
        <f t="shared" ca="1" si="7"/>
        <v>3-4</v>
      </c>
      <c r="N107" s="9">
        <f t="shared" ca="1" si="8"/>
        <v>4</v>
      </c>
      <c r="O107" s="10">
        <f t="shared" ca="1" si="9"/>
        <v>3.6999801724288499</v>
      </c>
      <c r="P107" s="9" t="str">
        <f t="shared" ca="1" si="10"/>
        <v>ninguna</v>
      </c>
      <c r="Q107" s="9" t="str">
        <f t="shared" ca="1" si="11"/>
        <v>«lo haría ya»</v>
      </c>
    </row>
    <row r="108" spans="12:17" ht="15" customHeight="1" x14ac:dyDescent="0.45">
      <c r="L108" s="9">
        <v>104</v>
      </c>
      <c r="M108" s="9" t="str">
        <f t="shared" ca="1" si="7"/>
        <v>5-6</v>
      </c>
      <c r="N108" s="9">
        <f t="shared" ca="1" si="8"/>
        <v>3</v>
      </c>
      <c r="O108" s="10">
        <f t="shared" ca="1" si="9"/>
        <v>2.0612541822443897</v>
      </c>
      <c r="P108" s="9" t="str">
        <f t="shared" ca="1" si="10"/>
        <v>desconfía</v>
      </c>
      <c r="Q108" s="9" t="str">
        <f t="shared" ca="1" si="11"/>
        <v>«no creo que funcione bien»</v>
      </c>
    </row>
    <row r="109" spans="12:17" ht="15" customHeight="1" x14ac:dyDescent="0.45">
      <c r="L109" s="9">
        <v>105</v>
      </c>
      <c r="M109" s="9" t="str">
        <f t="shared" ca="1" si="7"/>
        <v>3-4</v>
      </c>
      <c r="N109" s="9">
        <f t="shared" ca="1" si="8"/>
        <v>4</v>
      </c>
      <c r="O109" s="10">
        <f t="shared" ca="1" si="9"/>
        <v>4.7285211854438343</v>
      </c>
      <c r="P109" s="9" t="str">
        <f t="shared" ca="1" si="10"/>
        <v>costo inicial</v>
      </c>
      <c r="Q109" s="9" t="str">
        <f t="shared" ca="1" si="11"/>
        <v>«es muy caro instalarlo»</v>
      </c>
    </row>
    <row r="110" spans="12:17" ht="15" customHeight="1" x14ac:dyDescent="0.45">
      <c r="L110" s="9">
        <v>106</v>
      </c>
      <c r="M110" s="9" t="str">
        <f t="shared" ca="1" si="7"/>
        <v>1-2</v>
      </c>
      <c r="N110" s="9">
        <f t="shared" ca="1" si="8"/>
        <v>2</v>
      </c>
      <c r="O110" s="10">
        <f t="shared" ca="1" si="9"/>
        <v>1.3908961520878718</v>
      </c>
      <c r="P110" s="9" t="str">
        <f t="shared" ca="1" si="10"/>
        <v>costo inicial</v>
      </c>
      <c r="Q110" s="9" t="str">
        <f t="shared" ca="1" si="11"/>
        <v>«es muy caro instalarlo»</v>
      </c>
    </row>
    <row r="111" spans="12:17" ht="15" customHeight="1" x14ac:dyDescent="0.45">
      <c r="L111" s="9">
        <v>107</v>
      </c>
      <c r="M111" s="9" t="str">
        <f t="shared" ca="1" si="7"/>
        <v>1-2</v>
      </c>
      <c r="N111" s="9">
        <f t="shared" ca="1" si="8"/>
        <v>5</v>
      </c>
      <c r="O111" s="10">
        <f t="shared" ca="1" si="9"/>
        <v>3.2963820288335377</v>
      </c>
      <c r="P111" s="9" t="str">
        <f t="shared" ca="1" si="10"/>
        <v>costo inicial</v>
      </c>
      <c r="Q111" s="9" t="str">
        <f t="shared" ca="1" si="11"/>
        <v>«es muy caro instalarlo»</v>
      </c>
    </row>
    <row r="112" spans="12:17" ht="15" customHeight="1" x14ac:dyDescent="0.45">
      <c r="L112" s="9">
        <v>108</v>
      </c>
      <c r="M112" s="9" t="str">
        <f t="shared" ca="1" si="7"/>
        <v>3-4</v>
      </c>
      <c r="N112" s="9">
        <f t="shared" ca="1" si="8"/>
        <v>1</v>
      </c>
      <c r="O112" s="10">
        <f t="shared" ca="1" si="9"/>
        <v>0.92065557374318818</v>
      </c>
      <c r="P112" s="9" t="str">
        <f t="shared" ca="1" si="10"/>
        <v>ninguna</v>
      </c>
      <c r="Q112" s="9" t="str">
        <f t="shared" ca="1" si="11"/>
        <v>«lo haría ya»</v>
      </c>
    </row>
    <row r="113" spans="12:17" ht="15" customHeight="1" x14ac:dyDescent="0.45">
      <c r="L113" s="9">
        <v>109</v>
      </c>
      <c r="M113" s="9" t="str">
        <f t="shared" ca="1" si="7"/>
        <v>1-2</v>
      </c>
      <c r="N113" s="9">
        <f t="shared" ca="1" si="8"/>
        <v>2</v>
      </c>
      <c r="O113" s="10">
        <f t="shared" ca="1" si="9"/>
        <v>2.5829053532745023</v>
      </c>
      <c r="P113" s="9" t="str">
        <f t="shared" ca="1" si="10"/>
        <v>costo inicial</v>
      </c>
      <c r="Q113" s="9" t="str">
        <f t="shared" ca="1" si="11"/>
        <v>«es muy caro instalarlo»</v>
      </c>
    </row>
    <row r="114" spans="12:17" ht="15" customHeight="1" x14ac:dyDescent="0.45">
      <c r="L114" s="9">
        <v>110</v>
      </c>
      <c r="M114" s="9" t="str">
        <f t="shared" ca="1" si="7"/>
        <v>3-4</v>
      </c>
      <c r="N114" s="9">
        <f t="shared" ca="1" si="8"/>
        <v>5</v>
      </c>
      <c r="O114" s="10">
        <f t="shared" ca="1" si="9"/>
        <v>3.5464014190381916</v>
      </c>
      <c r="P114" s="9" t="str">
        <f t="shared" ca="1" si="10"/>
        <v>ninguna</v>
      </c>
      <c r="Q114" s="9" t="str">
        <f t="shared" ca="1" si="11"/>
        <v>«lo haría ya»</v>
      </c>
    </row>
    <row r="115" spans="12:17" ht="15" customHeight="1" x14ac:dyDescent="0.45">
      <c r="L115" s="9">
        <v>111</v>
      </c>
      <c r="M115" s="9" t="str">
        <f t="shared" ca="1" si="7"/>
        <v>5-6</v>
      </c>
      <c r="N115" s="9">
        <f t="shared" ca="1" si="8"/>
        <v>3</v>
      </c>
      <c r="O115" s="10">
        <f t="shared" ca="1" si="9"/>
        <v>2.7744254700433291</v>
      </c>
      <c r="P115" s="9" t="str">
        <f t="shared" ca="1" si="10"/>
        <v>desconfía</v>
      </c>
      <c r="Q115" s="9" t="str">
        <f t="shared" ca="1" si="11"/>
        <v>«no creo que funcione bien»</v>
      </c>
    </row>
    <row r="116" spans="12:17" ht="15" customHeight="1" x14ac:dyDescent="0.45">
      <c r="L116" s="9">
        <v>112</v>
      </c>
      <c r="M116" s="9" t="str">
        <f t="shared" ca="1" si="7"/>
        <v>1-2</v>
      </c>
      <c r="N116" s="9">
        <f t="shared" ca="1" si="8"/>
        <v>4</v>
      </c>
      <c r="O116" s="10">
        <f t="shared" ca="1" si="9"/>
        <v>2.0501503967894763</v>
      </c>
      <c r="P116" s="9" t="str">
        <f t="shared" ca="1" si="10"/>
        <v>ninguna</v>
      </c>
      <c r="Q116" s="9" t="str">
        <f t="shared" ca="1" si="11"/>
        <v>«lo haría ya»</v>
      </c>
    </row>
    <row r="117" spans="12:17" ht="15" customHeight="1" x14ac:dyDescent="0.45">
      <c r="L117" s="9">
        <v>113</v>
      </c>
      <c r="M117" s="9" t="str">
        <f t="shared" ca="1" si="7"/>
        <v>3-4</v>
      </c>
      <c r="N117" s="9">
        <f t="shared" ca="1" si="8"/>
        <v>4</v>
      </c>
      <c r="O117" s="10">
        <f t="shared" ca="1" si="9"/>
        <v>3.3147778161044474</v>
      </c>
      <c r="P117" s="9" t="str">
        <f t="shared" ca="1" si="10"/>
        <v>no sabe cómo</v>
      </c>
      <c r="Q117" s="9" t="str">
        <f t="shared" ca="1" si="11"/>
        <v>«no sé a quién acudir»</v>
      </c>
    </row>
    <row r="118" spans="12:17" ht="15" customHeight="1" x14ac:dyDescent="0.45">
      <c r="L118" s="9">
        <v>114</v>
      </c>
      <c r="M118" s="9" t="str">
        <f t="shared" ca="1" si="7"/>
        <v>1-2</v>
      </c>
      <c r="N118" s="9">
        <f t="shared" ca="1" si="8"/>
        <v>4</v>
      </c>
      <c r="O118" s="10">
        <f t="shared" ca="1" si="9"/>
        <v>2.5830309500146851</v>
      </c>
      <c r="P118" s="9" t="str">
        <f t="shared" ca="1" si="10"/>
        <v>costo inicial</v>
      </c>
      <c r="Q118" s="9" t="str">
        <f t="shared" ca="1" si="11"/>
        <v>«es muy caro instalarlo»</v>
      </c>
    </row>
    <row r="119" spans="12:17" ht="15" customHeight="1" x14ac:dyDescent="0.45">
      <c r="L119" s="9">
        <v>115</v>
      </c>
      <c r="M119" s="9" t="str">
        <f t="shared" ca="1" si="7"/>
        <v>3-4</v>
      </c>
      <c r="N119" s="9">
        <f t="shared" ca="1" si="8"/>
        <v>3</v>
      </c>
      <c r="O119" s="10">
        <f t="shared" ca="1" si="9"/>
        <v>3.0710127792642425</v>
      </c>
      <c r="P119" s="9" t="str">
        <f t="shared" ca="1" si="10"/>
        <v>costo inicial</v>
      </c>
      <c r="Q119" s="9" t="str">
        <f t="shared" ca="1" si="11"/>
        <v>«es muy caro instalarlo»</v>
      </c>
    </row>
    <row r="120" spans="12:17" x14ac:dyDescent="0.45">
      <c r="L120" s="9">
        <v>116</v>
      </c>
      <c r="M120" s="9" t="str">
        <f t="shared" ca="1" si="7"/>
        <v>3-4</v>
      </c>
      <c r="N120" s="9">
        <f t="shared" ca="1" si="8"/>
        <v>1</v>
      </c>
      <c r="O120" s="10">
        <f t="shared" ca="1" si="9"/>
        <v>2.649470421238151</v>
      </c>
      <c r="P120" s="9" t="str">
        <f t="shared" ca="1" si="10"/>
        <v>desconfía</v>
      </c>
      <c r="Q120" s="9" t="str">
        <f t="shared" ca="1" si="11"/>
        <v>«no creo que funcione bien»</v>
      </c>
    </row>
    <row r="121" spans="12:17" x14ac:dyDescent="0.45">
      <c r="L121" s="9">
        <v>117</v>
      </c>
      <c r="M121" s="9" t="str">
        <f t="shared" ca="1" si="7"/>
        <v>3-4</v>
      </c>
      <c r="N121" s="9">
        <f t="shared" ca="1" si="8"/>
        <v>2</v>
      </c>
      <c r="O121" s="10">
        <f t="shared" ca="1" si="9"/>
        <v>1.8946801997777161</v>
      </c>
      <c r="P121" s="9" t="str">
        <f t="shared" ca="1" si="10"/>
        <v>costo inicial</v>
      </c>
      <c r="Q121" s="9" t="str">
        <f t="shared" ca="1" si="11"/>
        <v>«es muy caro instalarlo»</v>
      </c>
    </row>
    <row r="122" spans="12:17" x14ac:dyDescent="0.45">
      <c r="L122" s="9">
        <v>118</v>
      </c>
      <c r="M122" s="9" t="str">
        <f t="shared" ca="1" si="7"/>
        <v>3-4</v>
      </c>
      <c r="N122" s="9">
        <f t="shared" ca="1" si="8"/>
        <v>3</v>
      </c>
      <c r="O122" s="10">
        <f t="shared" ca="1" si="9"/>
        <v>1.7148671153825439</v>
      </c>
      <c r="P122" s="9" t="str">
        <f t="shared" ca="1" si="10"/>
        <v>costo inicial</v>
      </c>
      <c r="Q122" s="9" t="str">
        <f t="shared" ca="1" si="11"/>
        <v>«es muy caro instalarlo»</v>
      </c>
    </row>
    <row r="123" spans="12:17" x14ac:dyDescent="0.45">
      <c r="L123" s="9">
        <v>119</v>
      </c>
      <c r="M123" s="9" t="str">
        <f t="shared" ca="1" si="7"/>
        <v>5-6</v>
      </c>
      <c r="N123" s="9">
        <f t="shared" ca="1" si="8"/>
        <v>5</v>
      </c>
      <c r="O123" s="10">
        <f t="shared" ca="1" si="9"/>
        <v>4.1057371131883862</v>
      </c>
      <c r="P123" s="9" t="str">
        <f t="shared" ca="1" si="10"/>
        <v>ninguna</v>
      </c>
      <c r="Q123" s="9" t="str">
        <f t="shared" ca="1" si="11"/>
        <v>«lo haría ya»</v>
      </c>
    </row>
    <row r="124" spans="12:17" x14ac:dyDescent="0.45">
      <c r="L124" s="9">
        <v>120</v>
      </c>
      <c r="M124" s="9" t="str">
        <f t="shared" ca="1" si="7"/>
        <v>1-2</v>
      </c>
      <c r="N124" s="9">
        <f t="shared" ca="1" si="8"/>
        <v>4</v>
      </c>
      <c r="O124" s="10">
        <f t="shared" ca="1" si="9"/>
        <v>3.2737930234314434</v>
      </c>
      <c r="P124" s="9" t="str">
        <f t="shared" ca="1" si="10"/>
        <v>costo inicial</v>
      </c>
      <c r="Q124" s="9" t="str">
        <f t="shared" ca="1" si="11"/>
        <v>«es muy caro instalarlo»</v>
      </c>
    </row>
    <row r="125" spans="12:17" x14ac:dyDescent="0.45">
      <c r="L125" s="9">
        <v>121</v>
      </c>
      <c r="M125" s="9" t="str">
        <f t="shared" ca="1" si="7"/>
        <v>5-6</v>
      </c>
      <c r="N125" s="9">
        <f t="shared" ca="1" si="8"/>
        <v>5</v>
      </c>
      <c r="O125" s="10">
        <f t="shared" ca="1" si="9"/>
        <v>3.0762109823734867</v>
      </c>
      <c r="P125" s="9" t="str">
        <f t="shared" ca="1" si="10"/>
        <v>costo inicial</v>
      </c>
      <c r="Q125" s="9" t="str">
        <f t="shared" ca="1" si="11"/>
        <v>«es muy caro instalarlo»</v>
      </c>
    </row>
    <row r="126" spans="12:17" x14ac:dyDescent="0.45">
      <c r="L126" s="9">
        <v>122</v>
      </c>
      <c r="M126" s="9" t="str">
        <f t="shared" ca="1" si="7"/>
        <v>3-4</v>
      </c>
      <c r="N126" s="9">
        <f t="shared" ca="1" si="8"/>
        <v>3</v>
      </c>
      <c r="O126" s="10">
        <f t="shared" ca="1" si="9"/>
        <v>1.8563426386730428</v>
      </c>
      <c r="P126" s="9" t="str">
        <f t="shared" ca="1" si="10"/>
        <v>no sabe cómo</v>
      </c>
      <c r="Q126" s="9" t="str">
        <f t="shared" ca="1" si="11"/>
        <v>«no sé a quién acudir»</v>
      </c>
    </row>
    <row r="127" spans="12:17" x14ac:dyDescent="0.45">
      <c r="L127" s="9">
        <v>123</v>
      </c>
      <c r="M127" s="9" t="str">
        <f t="shared" ca="1" si="7"/>
        <v>3-4</v>
      </c>
      <c r="N127" s="9">
        <f t="shared" ca="1" si="8"/>
        <v>5</v>
      </c>
      <c r="O127" s="10">
        <f t="shared" ca="1" si="9"/>
        <v>3.3285193782133429</v>
      </c>
      <c r="P127" s="9" t="str">
        <f t="shared" ca="1" si="10"/>
        <v>vive en arriendo</v>
      </c>
      <c r="Q127" s="9" t="str">
        <f t="shared" ca="1" si="11"/>
        <v>«la casa no es mía»</v>
      </c>
    </row>
    <row r="128" spans="12:17" x14ac:dyDescent="0.45">
      <c r="L128" s="9">
        <v>124</v>
      </c>
      <c r="M128" s="9" t="str">
        <f t="shared" ca="1" si="7"/>
        <v>1-2</v>
      </c>
      <c r="N128" s="9">
        <f t="shared" ca="1" si="8"/>
        <v>4</v>
      </c>
      <c r="O128" s="10">
        <f t="shared" ca="1" si="9"/>
        <v>2.2562887497227564</v>
      </c>
      <c r="P128" s="9" t="str">
        <f t="shared" ca="1" si="10"/>
        <v>vive en arriendo</v>
      </c>
      <c r="Q128" s="9" t="str">
        <f t="shared" ca="1" si="11"/>
        <v>«la casa no es mía»</v>
      </c>
    </row>
    <row r="129" spans="12:17" x14ac:dyDescent="0.45">
      <c r="L129" s="9">
        <v>125</v>
      </c>
      <c r="M129" s="9" t="str">
        <f t="shared" ca="1" si="7"/>
        <v>3-4</v>
      </c>
      <c r="N129" s="9">
        <f t="shared" ca="1" si="8"/>
        <v>4</v>
      </c>
      <c r="O129" s="10">
        <f t="shared" ca="1" si="9"/>
        <v>1.5031063453112961</v>
      </c>
      <c r="P129" s="9" t="str">
        <f t="shared" ca="1" si="10"/>
        <v>costo inicial</v>
      </c>
      <c r="Q129" s="9" t="str">
        <f t="shared" ca="1" si="11"/>
        <v>«es muy caro instalarlo»</v>
      </c>
    </row>
    <row r="130" spans="12:17" x14ac:dyDescent="0.45">
      <c r="L130" s="9">
        <v>126</v>
      </c>
      <c r="M130" s="9" t="str">
        <f t="shared" ca="1" si="7"/>
        <v>3-4</v>
      </c>
      <c r="N130" s="9">
        <f t="shared" ca="1" si="8"/>
        <v>3</v>
      </c>
      <c r="O130" s="10">
        <f t="shared" ca="1" si="9"/>
        <v>2.3722583495541403</v>
      </c>
      <c r="P130" s="9" t="str">
        <f t="shared" ca="1" si="10"/>
        <v>ninguna</v>
      </c>
      <c r="Q130" s="9" t="str">
        <f t="shared" ca="1" si="11"/>
        <v>«lo haría ya»</v>
      </c>
    </row>
    <row r="131" spans="12:17" x14ac:dyDescent="0.45">
      <c r="L131" s="9">
        <v>127</v>
      </c>
      <c r="M131" s="9" t="str">
        <f t="shared" ca="1" si="7"/>
        <v>3-4</v>
      </c>
      <c r="N131" s="9">
        <f t="shared" ca="1" si="8"/>
        <v>4</v>
      </c>
      <c r="O131" s="10">
        <f t="shared" ca="1" si="9"/>
        <v>2.5679309612010073</v>
      </c>
      <c r="P131" s="9" t="str">
        <f t="shared" ca="1" si="10"/>
        <v>ninguna</v>
      </c>
      <c r="Q131" s="9" t="str">
        <f t="shared" ca="1" si="11"/>
        <v>«lo haría ya»</v>
      </c>
    </row>
    <row r="132" spans="12:17" x14ac:dyDescent="0.45">
      <c r="L132" s="9">
        <v>128</v>
      </c>
      <c r="M132" s="9" t="str">
        <f t="shared" ca="1" si="7"/>
        <v>1-2</v>
      </c>
      <c r="N132" s="9">
        <f t="shared" ca="1" si="8"/>
        <v>2</v>
      </c>
      <c r="O132" s="10">
        <f t="shared" ca="1" si="9"/>
        <v>2.3943803627436928</v>
      </c>
      <c r="P132" s="9" t="str">
        <f t="shared" ca="1" si="10"/>
        <v>ninguna</v>
      </c>
      <c r="Q132" s="9" t="str">
        <f t="shared" ca="1" si="11"/>
        <v>«lo haría ya»</v>
      </c>
    </row>
    <row r="133" spans="12:17" x14ac:dyDescent="0.45">
      <c r="L133" s="9">
        <v>129</v>
      </c>
      <c r="M133" s="9" t="str">
        <f t="shared" ref="M133:M196" ca="1" si="12">INDEX($B$11:$B$13,MATCH(RAND(),$C$15:$C$17,1))</f>
        <v>1-2</v>
      </c>
      <c r="N133" s="9">
        <f t="shared" ref="N133:N196" ca="1" si="13">MATCH(RAND(),INDEX($D$15:$H$17,MATCH(M133,$B$11:$B$13,0),0),1)</f>
        <v>4</v>
      </c>
      <c r="O133" s="10">
        <f t="shared" ref="O133:O196" ca="1" si="14">MAX(0,_xlfn.NORM.INV(RAND(),2.5+0.4*(N133-3),1))</f>
        <v>4.6794314732855913</v>
      </c>
      <c r="P133" s="9" t="str">
        <f t="shared" ref="P133:P196" ca="1" si="15">INDEX($B$20:$B$24,MATCH(RAND(),$D$20:$D$24,1))</f>
        <v>vive en arriendo</v>
      </c>
      <c r="Q133" s="9" t="str">
        <f t="shared" ref="Q133:Q196" ca="1" si="16">"«"&amp;INDEX($E$20:$E$24,MATCH(P133,$B$20:$B$24,0))&amp;"»"</f>
        <v>«la casa no es mía»</v>
      </c>
    </row>
    <row r="134" spans="12:17" x14ac:dyDescent="0.45">
      <c r="L134" s="9">
        <v>130</v>
      </c>
      <c r="M134" s="9" t="str">
        <f t="shared" ca="1" si="12"/>
        <v>3-4</v>
      </c>
      <c r="N134" s="9">
        <f t="shared" ca="1" si="13"/>
        <v>5</v>
      </c>
      <c r="O134" s="10">
        <f t="shared" ca="1" si="14"/>
        <v>3.3607641550407625</v>
      </c>
      <c r="P134" s="9" t="str">
        <f t="shared" ca="1" si="15"/>
        <v>costo inicial</v>
      </c>
      <c r="Q134" s="9" t="str">
        <f t="shared" ca="1" si="16"/>
        <v>«es muy caro instalarlo»</v>
      </c>
    </row>
    <row r="135" spans="12:17" x14ac:dyDescent="0.45">
      <c r="L135" s="9">
        <v>131</v>
      </c>
      <c r="M135" s="9" t="str">
        <f t="shared" ca="1" si="12"/>
        <v>5-6</v>
      </c>
      <c r="N135" s="9">
        <f t="shared" ca="1" si="13"/>
        <v>4</v>
      </c>
      <c r="O135" s="10">
        <f t="shared" ca="1" si="14"/>
        <v>3.3552657823052665</v>
      </c>
      <c r="P135" s="9" t="str">
        <f t="shared" ca="1" si="15"/>
        <v>ninguna</v>
      </c>
      <c r="Q135" s="9" t="str">
        <f t="shared" ca="1" si="16"/>
        <v>«lo haría ya»</v>
      </c>
    </row>
    <row r="136" spans="12:17" x14ac:dyDescent="0.45">
      <c r="L136" s="9">
        <v>132</v>
      </c>
      <c r="M136" s="9" t="str">
        <f t="shared" ca="1" si="12"/>
        <v>1-2</v>
      </c>
      <c r="N136" s="9">
        <f t="shared" ca="1" si="13"/>
        <v>4</v>
      </c>
      <c r="O136" s="10">
        <f t="shared" ca="1" si="14"/>
        <v>1.62403357296878</v>
      </c>
      <c r="P136" s="9" t="str">
        <f t="shared" ca="1" si="15"/>
        <v>no sabe cómo</v>
      </c>
      <c r="Q136" s="9" t="str">
        <f t="shared" ca="1" si="16"/>
        <v>«no sé a quién acudir»</v>
      </c>
    </row>
    <row r="137" spans="12:17" x14ac:dyDescent="0.45">
      <c r="L137" s="9">
        <v>133</v>
      </c>
      <c r="M137" s="9" t="str">
        <f t="shared" ca="1" si="12"/>
        <v>5-6</v>
      </c>
      <c r="N137" s="9">
        <f t="shared" ca="1" si="13"/>
        <v>1</v>
      </c>
      <c r="O137" s="10">
        <f t="shared" ca="1" si="14"/>
        <v>2.7057677678733194</v>
      </c>
      <c r="P137" s="9" t="str">
        <f t="shared" ca="1" si="15"/>
        <v>costo inicial</v>
      </c>
      <c r="Q137" s="9" t="str">
        <f t="shared" ca="1" si="16"/>
        <v>«es muy caro instalarlo»</v>
      </c>
    </row>
    <row r="138" spans="12:17" x14ac:dyDescent="0.45">
      <c r="L138" s="9">
        <v>134</v>
      </c>
      <c r="M138" s="9" t="str">
        <f t="shared" ca="1" si="12"/>
        <v>1-2</v>
      </c>
      <c r="N138" s="9">
        <f t="shared" ca="1" si="13"/>
        <v>2</v>
      </c>
      <c r="O138" s="10">
        <f t="shared" ca="1" si="14"/>
        <v>1.6829280686932395</v>
      </c>
      <c r="P138" s="9" t="str">
        <f t="shared" ca="1" si="15"/>
        <v>costo inicial</v>
      </c>
      <c r="Q138" s="9" t="str">
        <f t="shared" ca="1" si="16"/>
        <v>«es muy caro instalarlo»</v>
      </c>
    </row>
    <row r="139" spans="12:17" x14ac:dyDescent="0.45">
      <c r="L139" s="9">
        <v>135</v>
      </c>
      <c r="M139" s="9" t="str">
        <f t="shared" ca="1" si="12"/>
        <v>3-4</v>
      </c>
      <c r="N139" s="9">
        <f t="shared" ca="1" si="13"/>
        <v>4</v>
      </c>
      <c r="O139" s="10">
        <f t="shared" ca="1" si="14"/>
        <v>2.5111698301568381</v>
      </c>
      <c r="P139" s="9" t="str">
        <f t="shared" ca="1" si="15"/>
        <v>ninguna</v>
      </c>
      <c r="Q139" s="9" t="str">
        <f t="shared" ca="1" si="16"/>
        <v>«lo haría ya»</v>
      </c>
    </row>
    <row r="140" spans="12:17" x14ac:dyDescent="0.45">
      <c r="L140" s="9">
        <v>136</v>
      </c>
      <c r="M140" s="9" t="str">
        <f t="shared" ca="1" si="12"/>
        <v>1-2</v>
      </c>
      <c r="N140" s="9">
        <f t="shared" ca="1" si="13"/>
        <v>5</v>
      </c>
      <c r="O140" s="10">
        <f t="shared" ca="1" si="14"/>
        <v>3.2056034946896639</v>
      </c>
      <c r="P140" s="9" t="str">
        <f t="shared" ca="1" si="15"/>
        <v>costo inicial</v>
      </c>
      <c r="Q140" s="9" t="str">
        <f t="shared" ca="1" si="16"/>
        <v>«es muy caro instalarlo»</v>
      </c>
    </row>
    <row r="141" spans="12:17" x14ac:dyDescent="0.45">
      <c r="L141" s="9">
        <v>137</v>
      </c>
      <c r="M141" s="9" t="str">
        <f t="shared" ca="1" si="12"/>
        <v>3-4</v>
      </c>
      <c r="N141" s="9">
        <f t="shared" ca="1" si="13"/>
        <v>4</v>
      </c>
      <c r="O141" s="10">
        <f t="shared" ca="1" si="14"/>
        <v>1.4717690267635419</v>
      </c>
      <c r="P141" s="9" t="str">
        <f t="shared" ca="1" si="15"/>
        <v>costo inicial</v>
      </c>
      <c r="Q141" s="9" t="str">
        <f t="shared" ca="1" si="16"/>
        <v>«es muy caro instalarlo»</v>
      </c>
    </row>
    <row r="142" spans="12:17" x14ac:dyDescent="0.45">
      <c r="L142" s="9">
        <v>138</v>
      </c>
      <c r="M142" s="9" t="str">
        <f t="shared" ca="1" si="12"/>
        <v>3-4</v>
      </c>
      <c r="N142" s="9">
        <f t="shared" ca="1" si="13"/>
        <v>3</v>
      </c>
      <c r="O142" s="10">
        <f t="shared" ca="1" si="14"/>
        <v>2.7459749221521137</v>
      </c>
      <c r="P142" s="9" t="str">
        <f t="shared" ca="1" si="15"/>
        <v>vive en arriendo</v>
      </c>
      <c r="Q142" s="9" t="str">
        <f t="shared" ca="1" si="16"/>
        <v>«la casa no es mía»</v>
      </c>
    </row>
    <row r="143" spans="12:17" x14ac:dyDescent="0.45">
      <c r="L143" s="9">
        <v>139</v>
      </c>
      <c r="M143" s="9" t="str">
        <f t="shared" ca="1" si="12"/>
        <v>5-6</v>
      </c>
      <c r="N143" s="9">
        <f t="shared" ca="1" si="13"/>
        <v>5</v>
      </c>
      <c r="O143" s="10">
        <f t="shared" ca="1" si="14"/>
        <v>2.4686917956942036</v>
      </c>
      <c r="P143" s="9" t="str">
        <f t="shared" ca="1" si="15"/>
        <v>no sabe cómo</v>
      </c>
      <c r="Q143" s="9" t="str">
        <f t="shared" ca="1" si="16"/>
        <v>«no sé a quién acudir»</v>
      </c>
    </row>
    <row r="144" spans="12:17" x14ac:dyDescent="0.45">
      <c r="L144" s="9">
        <v>140</v>
      </c>
      <c r="M144" s="9" t="str">
        <f t="shared" ca="1" si="12"/>
        <v>5-6</v>
      </c>
      <c r="N144" s="9">
        <f t="shared" ca="1" si="13"/>
        <v>5</v>
      </c>
      <c r="O144" s="10">
        <f t="shared" ca="1" si="14"/>
        <v>2.0551321146939552</v>
      </c>
      <c r="P144" s="9" t="str">
        <f t="shared" ca="1" si="15"/>
        <v>vive en arriendo</v>
      </c>
      <c r="Q144" s="9" t="str">
        <f t="shared" ca="1" si="16"/>
        <v>«la casa no es mía»</v>
      </c>
    </row>
    <row r="145" spans="12:17" x14ac:dyDescent="0.45">
      <c r="L145" s="9">
        <v>141</v>
      </c>
      <c r="M145" s="9" t="str">
        <f t="shared" ca="1" si="12"/>
        <v>3-4</v>
      </c>
      <c r="N145" s="9">
        <f t="shared" ca="1" si="13"/>
        <v>4</v>
      </c>
      <c r="O145" s="10">
        <f t="shared" ca="1" si="14"/>
        <v>3.2879568378277306</v>
      </c>
      <c r="P145" s="9" t="str">
        <f t="shared" ca="1" si="15"/>
        <v>costo inicial</v>
      </c>
      <c r="Q145" s="9" t="str">
        <f t="shared" ca="1" si="16"/>
        <v>«es muy caro instalarlo»</v>
      </c>
    </row>
    <row r="146" spans="12:17" x14ac:dyDescent="0.45">
      <c r="L146" s="9">
        <v>142</v>
      </c>
      <c r="M146" s="9" t="str">
        <f t="shared" ca="1" si="12"/>
        <v>1-2</v>
      </c>
      <c r="N146" s="9">
        <f t="shared" ca="1" si="13"/>
        <v>1</v>
      </c>
      <c r="O146" s="10">
        <f t="shared" ca="1" si="14"/>
        <v>2.1445218520923692</v>
      </c>
      <c r="P146" s="9" t="str">
        <f t="shared" ca="1" si="15"/>
        <v>no sabe cómo</v>
      </c>
      <c r="Q146" s="9" t="str">
        <f t="shared" ca="1" si="16"/>
        <v>«no sé a quién acudir»</v>
      </c>
    </row>
    <row r="147" spans="12:17" x14ac:dyDescent="0.45">
      <c r="L147" s="9">
        <v>143</v>
      </c>
      <c r="M147" s="9" t="str">
        <f t="shared" ca="1" si="12"/>
        <v>3-4</v>
      </c>
      <c r="N147" s="9">
        <f t="shared" ca="1" si="13"/>
        <v>5</v>
      </c>
      <c r="O147" s="10">
        <f t="shared" ca="1" si="14"/>
        <v>2.4180999736705138</v>
      </c>
      <c r="P147" s="9" t="str">
        <f t="shared" ca="1" si="15"/>
        <v>costo inicial</v>
      </c>
      <c r="Q147" s="9" t="str">
        <f t="shared" ca="1" si="16"/>
        <v>«es muy caro instalarlo»</v>
      </c>
    </row>
    <row r="148" spans="12:17" x14ac:dyDescent="0.45">
      <c r="L148" s="9">
        <v>144</v>
      </c>
      <c r="M148" s="9" t="str">
        <f t="shared" ca="1" si="12"/>
        <v>3-4</v>
      </c>
      <c r="N148" s="9">
        <f t="shared" ca="1" si="13"/>
        <v>4</v>
      </c>
      <c r="O148" s="10">
        <f t="shared" ca="1" si="14"/>
        <v>2.3453328017209176</v>
      </c>
      <c r="P148" s="9" t="str">
        <f t="shared" ca="1" si="15"/>
        <v>vive en arriendo</v>
      </c>
      <c r="Q148" s="9" t="str">
        <f t="shared" ca="1" si="16"/>
        <v>«la casa no es mía»</v>
      </c>
    </row>
    <row r="149" spans="12:17" x14ac:dyDescent="0.45">
      <c r="L149" s="9">
        <v>145</v>
      </c>
      <c r="M149" s="9" t="str">
        <f t="shared" ca="1" si="12"/>
        <v>3-4</v>
      </c>
      <c r="N149" s="9">
        <f t="shared" ca="1" si="13"/>
        <v>2</v>
      </c>
      <c r="O149" s="10">
        <f t="shared" ca="1" si="14"/>
        <v>2.8292706996951531</v>
      </c>
      <c r="P149" s="9" t="str">
        <f t="shared" ca="1" si="15"/>
        <v>ninguna</v>
      </c>
      <c r="Q149" s="9" t="str">
        <f t="shared" ca="1" si="16"/>
        <v>«lo haría ya»</v>
      </c>
    </row>
    <row r="150" spans="12:17" x14ac:dyDescent="0.45">
      <c r="L150" s="9">
        <v>146</v>
      </c>
      <c r="M150" s="9" t="str">
        <f t="shared" ca="1" si="12"/>
        <v>1-2</v>
      </c>
      <c r="N150" s="9">
        <f t="shared" ca="1" si="13"/>
        <v>2</v>
      </c>
      <c r="O150" s="10">
        <f t="shared" ca="1" si="14"/>
        <v>2.6222567714459695</v>
      </c>
      <c r="P150" s="9" t="str">
        <f t="shared" ca="1" si="15"/>
        <v>vive en arriendo</v>
      </c>
      <c r="Q150" s="9" t="str">
        <f t="shared" ca="1" si="16"/>
        <v>«la casa no es mía»</v>
      </c>
    </row>
    <row r="151" spans="12:17" x14ac:dyDescent="0.45">
      <c r="L151" s="9">
        <v>147</v>
      </c>
      <c r="M151" s="9" t="str">
        <f t="shared" ca="1" si="12"/>
        <v>3-4</v>
      </c>
      <c r="N151" s="9">
        <f t="shared" ca="1" si="13"/>
        <v>5</v>
      </c>
      <c r="O151" s="10">
        <f t="shared" ca="1" si="14"/>
        <v>4.6509129752438616</v>
      </c>
      <c r="P151" s="9" t="str">
        <f t="shared" ca="1" si="15"/>
        <v>costo inicial</v>
      </c>
      <c r="Q151" s="9" t="str">
        <f t="shared" ca="1" si="16"/>
        <v>«es muy caro instalarlo»</v>
      </c>
    </row>
    <row r="152" spans="12:17" x14ac:dyDescent="0.45">
      <c r="L152" s="9">
        <v>148</v>
      </c>
      <c r="M152" s="9" t="str">
        <f t="shared" ca="1" si="12"/>
        <v>1-2</v>
      </c>
      <c r="N152" s="9">
        <f t="shared" ca="1" si="13"/>
        <v>2</v>
      </c>
      <c r="O152" s="10">
        <f t="shared" ca="1" si="14"/>
        <v>0.13750311207966481</v>
      </c>
      <c r="P152" s="9" t="str">
        <f t="shared" ca="1" si="15"/>
        <v>vive en arriendo</v>
      </c>
      <c r="Q152" s="9" t="str">
        <f t="shared" ca="1" si="16"/>
        <v>«la casa no es mía»</v>
      </c>
    </row>
    <row r="153" spans="12:17" x14ac:dyDescent="0.45">
      <c r="L153" s="9">
        <v>149</v>
      </c>
      <c r="M153" s="9" t="str">
        <f t="shared" ca="1" si="12"/>
        <v>1-2</v>
      </c>
      <c r="N153" s="9">
        <f t="shared" ca="1" si="13"/>
        <v>5</v>
      </c>
      <c r="O153" s="10">
        <f t="shared" ca="1" si="14"/>
        <v>2.5090339192555273</v>
      </c>
      <c r="P153" s="9" t="str">
        <f t="shared" ca="1" si="15"/>
        <v>costo inicial</v>
      </c>
      <c r="Q153" s="9" t="str">
        <f t="shared" ca="1" si="16"/>
        <v>«es muy caro instalarlo»</v>
      </c>
    </row>
    <row r="154" spans="12:17" x14ac:dyDescent="0.45">
      <c r="L154" s="9">
        <v>150</v>
      </c>
      <c r="M154" s="9" t="str">
        <f t="shared" ca="1" si="12"/>
        <v>3-4</v>
      </c>
      <c r="N154" s="9">
        <f t="shared" ca="1" si="13"/>
        <v>5</v>
      </c>
      <c r="O154" s="10">
        <f t="shared" ca="1" si="14"/>
        <v>3.3732336763959863</v>
      </c>
      <c r="P154" s="9" t="str">
        <f t="shared" ca="1" si="15"/>
        <v>no sabe cómo</v>
      </c>
      <c r="Q154" s="9" t="str">
        <f t="shared" ca="1" si="16"/>
        <v>«no sé a quién acudir»</v>
      </c>
    </row>
    <row r="155" spans="12:17" x14ac:dyDescent="0.45">
      <c r="L155" s="9">
        <v>151</v>
      </c>
      <c r="M155" s="9" t="str">
        <f t="shared" ca="1" si="12"/>
        <v>3-4</v>
      </c>
      <c r="N155" s="9">
        <f t="shared" ca="1" si="13"/>
        <v>3</v>
      </c>
      <c r="O155" s="10">
        <f t="shared" ca="1" si="14"/>
        <v>1.7578739175246503</v>
      </c>
      <c r="P155" s="9" t="str">
        <f t="shared" ca="1" si="15"/>
        <v>no sabe cómo</v>
      </c>
      <c r="Q155" s="9" t="str">
        <f t="shared" ca="1" si="16"/>
        <v>«no sé a quién acudir»</v>
      </c>
    </row>
    <row r="156" spans="12:17" x14ac:dyDescent="0.45">
      <c r="L156" s="9">
        <v>152</v>
      </c>
      <c r="M156" s="9" t="str">
        <f t="shared" ca="1" si="12"/>
        <v>1-2</v>
      </c>
      <c r="N156" s="9">
        <f t="shared" ca="1" si="13"/>
        <v>5</v>
      </c>
      <c r="O156" s="10">
        <f t="shared" ca="1" si="14"/>
        <v>4.2177136882696393</v>
      </c>
      <c r="P156" s="9" t="str">
        <f t="shared" ca="1" si="15"/>
        <v>no sabe cómo</v>
      </c>
      <c r="Q156" s="9" t="str">
        <f t="shared" ca="1" si="16"/>
        <v>«no sé a quién acudir»</v>
      </c>
    </row>
    <row r="157" spans="12:17" x14ac:dyDescent="0.45">
      <c r="L157" s="9">
        <v>153</v>
      </c>
      <c r="M157" s="9" t="str">
        <f t="shared" ca="1" si="12"/>
        <v>5-6</v>
      </c>
      <c r="N157" s="9">
        <f t="shared" ca="1" si="13"/>
        <v>2</v>
      </c>
      <c r="O157" s="10">
        <f t="shared" ca="1" si="14"/>
        <v>0.8327447217809012</v>
      </c>
      <c r="P157" s="9" t="str">
        <f t="shared" ca="1" si="15"/>
        <v>ninguna</v>
      </c>
      <c r="Q157" s="9" t="str">
        <f t="shared" ca="1" si="16"/>
        <v>«lo haría ya»</v>
      </c>
    </row>
    <row r="158" spans="12:17" x14ac:dyDescent="0.45">
      <c r="L158" s="9">
        <v>154</v>
      </c>
      <c r="M158" s="9" t="str">
        <f t="shared" ca="1" si="12"/>
        <v>5-6</v>
      </c>
      <c r="N158" s="9">
        <f t="shared" ca="1" si="13"/>
        <v>4</v>
      </c>
      <c r="O158" s="10">
        <f t="shared" ca="1" si="14"/>
        <v>3.1155731587035222</v>
      </c>
      <c r="P158" s="9" t="str">
        <f t="shared" ca="1" si="15"/>
        <v>no sabe cómo</v>
      </c>
      <c r="Q158" s="9" t="str">
        <f t="shared" ca="1" si="16"/>
        <v>«no sé a quién acudir»</v>
      </c>
    </row>
    <row r="159" spans="12:17" x14ac:dyDescent="0.45">
      <c r="L159" s="9">
        <v>155</v>
      </c>
      <c r="M159" s="9" t="str">
        <f t="shared" ca="1" si="12"/>
        <v>1-2</v>
      </c>
      <c r="N159" s="9">
        <f t="shared" ca="1" si="13"/>
        <v>5</v>
      </c>
      <c r="O159" s="10">
        <f t="shared" ca="1" si="14"/>
        <v>3.9285174871282118</v>
      </c>
      <c r="P159" s="9" t="str">
        <f t="shared" ca="1" si="15"/>
        <v>no sabe cómo</v>
      </c>
      <c r="Q159" s="9" t="str">
        <f t="shared" ca="1" si="16"/>
        <v>«no sé a quién acudir»</v>
      </c>
    </row>
    <row r="160" spans="12:17" x14ac:dyDescent="0.45">
      <c r="L160" s="9">
        <v>156</v>
      </c>
      <c r="M160" s="9" t="str">
        <f t="shared" ca="1" si="12"/>
        <v>5-6</v>
      </c>
      <c r="N160" s="9">
        <f t="shared" ca="1" si="13"/>
        <v>4</v>
      </c>
      <c r="O160" s="10">
        <f t="shared" ca="1" si="14"/>
        <v>3.5700241379210778</v>
      </c>
      <c r="P160" s="9" t="str">
        <f t="shared" ca="1" si="15"/>
        <v>vive en arriendo</v>
      </c>
      <c r="Q160" s="9" t="str">
        <f t="shared" ca="1" si="16"/>
        <v>«la casa no es mía»</v>
      </c>
    </row>
    <row r="161" spans="12:17" x14ac:dyDescent="0.45">
      <c r="L161" s="9">
        <v>157</v>
      </c>
      <c r="M161" s="9" t="str">
        <f t="shared" ca="1" si="12"/>
        <v>3-4</v>
      </c>
      <c r="N161" s="9">
        <f t="shared" ca="1" si="13"/>
        <v>4</v>
      </c>
      <c r="O161" s="10">
        <f t="shared" ca="1" si="14"/>
        <v>3.6736356680179161</v>
      </c>
      <c r="P161" s="9" t="str">
        <f t="shared" ca="1" si="15"/>
        <v>costo inicial</v>
      </c>
      <c r="Q161" s="9" t="str">
        <f t="shared" ca="1" si="16"/>
        <v>«es muy caro instalarlo»</v>
      </c>
    </row>
    <row r="162" spans="12:17" x14ac:dyDescent="0.45">
      <c r="L162" s="9">
        <v>158</v>
      </c>
      <c r="M162" s="9" t="str">
        <f t="shared" ca="1" si="12"/>
        <v>1-2</v>
      </c>
      <c r="N162" s="9">
        <f t="shared" ca="1" si="13"/>
        <v>1</v>
      </c>
      <c r="O162" s="10">
        <f t="shared" ca="1" si="14"/>
        <v>5.0208656186673917E-2</v>
      </c>
      <c r="P162" s="9" t="str">
        <f t="shared" ca="1" si="15"/>
        <v>costo inicial</v>
      </c>
      <c r="Q162" s="9" t="str">
        <f t="shared" ca="1" si="16"/>
        <v>«es muy caro instalarlo»</v>
      </c>
    </row>
    <row r="163" spans="12:17" x14ac:dyDescent="0.45">
      <c r="L163" s="9">
        <v>159</v>
      </c>
      <c r="M163" s="9" t="str">
        <f t="shared" ca="1" si="12"/>
        <v>3-4</v>
      </c>
      <c r="N163" s="9">
        <f t="shared" ca="1" si="13"/>
        <v>3</v>
      </c>
      <c r="O163" s="10">
        <f t="shared" ca="1" si="14"/>
        <v>1.4837949846982759</v>
      </c>
      <c r="P163" s="9" t="str">
        <f t="shared" ca="1" si="15"/>
        <v>desconfía</v>
      </c>
      <c r="Q163" s="9" t="str">
        <f t="shared" ca="1" si="16"/>
        <v>«no creo que funcione bien»</v>
      </c>
    </row>
    <row r="164" spans="12:17" x14ac:dyDescent="0.45">
      <c r="L164" s="9">
        <v>160</v>
      </c>
      <c r="M164" s="9" t="str">
        <f t="shared" ca="1" si="12"/>
        <v>3-4</v>
      </c>
      <c r="N164" s="9">
        <f t="shared" ca="1" si="13"/>
        <v>3</v>
      </c>
      <c r="O164" s="10">
        <f t="shared" ca="1" si="14"/>
        <v>0</v>
      </c>
      <c r="P164" s="9" t="str">
        <f t="shared" ca="1" si="15"/>
        <v>costo inicial</v>
      </c>
      <c r="Q164" s="9" t="str">
        <f t="shared" ca="1" si="16"/>
        <v>«es muy caro instalarlo»</v>
      </c>
    </row>
    <row r="165" spans="12:17" x14ac:dyDescent="0.45">
      <c r="L165" s="9">
        <v>161</v>
      </c>
      <c r="M165" s="9" t="str">
        <f t="shared" ca="1" si="12"/>
        <v>3-4</v>
      </c>
      <c r="N165" s="9">
        <f t="shared" ca="1" si="13"/>
        <v>4</v>
      </c>
      <c r="O165" s="10">
        <f t="shared" ca="1" si="14"/>
        <v>3.3858584935831826</v>
      </c>
      <c r="P165" s="9" t="str">
        <f t="shared" ca="1" si="15"/>
        <v>ninguna</v>
      </c>
      <c r="Q165" s="9" t="str">
        <f t="shared" ca="1" si="16"/>
        <v>«lo haría ya»</v>
      </c>
    </row>
    <row r="166" spans="12:17" x14ac:dyDescent="0.45">
      <c r="L166" s="9">
        <v>162</v>
      </c>
      <c r="M166" s="9" t="str">
        <f t="shared" ca="1" si="12"/>
        <v>3-4</v>
      </c>
      <c r="N166" s="9">
        <f t="shared" ca="1" si="13"/>
        <v>4</v>
      </c>
      <c r="O166" s="10">
        <f t="shared" ca="1" si="14"/>
        <v>3.3604496435824367</v>
      </c>
      <c r="P166" s="9" t="str">
        <f t="shared" ca="1" si="15"/>
        <v>costo inicial</v>
      </c>
      <c r="Q166" s="9" t="str">
        <f t="shared" ca="1" si="16"/>
        <v>«es muy caro instalarlo»</v>
      </c>
    </row>
    <row r="167" spans="12:17" x14ac:dyDescent="0.45">
      <c r="L167" s="9">
        <v>163</v>
      </c>
      <c r="M167" s="9" t="str">
        <f t="shared" ca="1" si="12"/>
        <v>5-6</v>
      </c>
      <c r="N167" s="9">
        <f t="shared" ca="1" si="13"/>
        <v>5</v>
      </c>
      <c r="O167" s="10">
        <f t="shared" ca="1" si="14"/>
        <v>3.7042285691237193</v>
      </c>
      <c r="P167" s="9" t="str">
        <f t="shared" ca="1" si="15"/>
        <v>vive en arriendo</v>
      </c>
      <c r="Q167" s="9" t="str">
        <f t="shared" ca="1" si="16"/>
        <v>«la casa no es mía»</v>
      </c>
    </row>
    <row r="168" spans="12:17" x14ac:dyDescent="0.45">
      <c r="L168" s="9">
        <v>164</v>
      </c>
      <c r="M168" s="9" t="str">
        <f t="shared" ca="1" si="12"/>
        <v>5-6</v>
      </c>
      <c r="N168" s="9">
        <f t="shared" ca="1" si="13"/>
        <v>3</v>
      </c>
      <c r="O168" s="10">
        <f t="shared" ca="1" si="14"/>
        <v>3.2818001383671103</v>
      </c>
      <c r="P168" s="9" t="str">
        <f t="shared" ca="1" si="15"/>
        <v>no sabe cómo</v>
      </c>
      <c r="Q168" s="9" t="str">
        <f t="shared" ca="1" si="16"/>
        <v>«no sé a quién acudir»</v>
      </c>
    </row>
    <row r="169" spans="12:17" x14ac:dyDescent="0.45">
      <c r="L169" s="9">
        <v>165</v>
      </c>
      <c r="M169" s="9" t="str">
        <f t="shared" ca="1" si="12"/>
        <v>1-2</v>
      </c>
      <c r="N169" s="9">
        <f t="shared" ca="1" si="13"/>
        <v>2</v>
      </c>
      <c r="O169" s="10">
        <f t="shared" ca="1" si="14"/>
        <v>3.3346134615692726</v>
      </c>
      <c r="P169" s="9" t="str">
        <f t="shared" ca="1" si="15"/>
        <v>costo inicial</v>
      </c>
      <c r="Q169" s="9" t="str">
        <f t="shared" ca="1" si="16"/>
        <v>«es muy caro instalarlo»</v>
      </c>
    </row>
    <row r="170" spans="12:17" x14ac:dyDescent="0.45">
      <c r="L170" s="9">
        <v>166</v>
      </c>
      <c r="M170" s="9" t="str">
        <f t="shared" ca="1" si="12"/>
        <v>3-4</v>
      </c>
      <c r="N170" s="9">
        <f t="shared" ca="1" si="13"/>
        <v>4</v>
      </c>
      <c r="O170" s="10">
        <f t="shared" ca="1" si="14"/>
        <v>1.0355721902677963</v>
      </c>
      <c r="P170" s="9" t="str">
        <f t="shared" ca="1" si="15"/>
        <v>costo inicial</v>
      </c>
      <c r="Q170" s="9" t="str">
        <f t="shared" ca="1" si="16"/>
        <v>«es muy caro instalarlo»</v>
      </c>
    </row>
    <row r="171" spans="12:17" x14ac:dyDescent="0.45">
      <c r="L171" s="9">
        <v>167</v>
      </c>
      <c r="M171" s="9" t="str">
        <f t="shared" ca="1" si="12"/>
        <v>1-2</v>
      </c>
      <c r="N171" s="9">
        <f t="shared" ca="1" si="13"/>
        <v>4</v>
      </c>
      <c r="O171" s="10">
        <f t="shared" ca="1" si="14"/>
        <v>3.695155500596341</v>
      </c>
      <c r="P171" s="9" t="str">
        <f t="shared" ca="1" si="15"/>
        <v>costo inicial</v>
      </c>
      <c r="Q171" s="9" t="str">
        <f t="shared" ca="1" si="16"/>
        <v>«es muy caro instalarlo»</v>
      </c>
    </row>
    <row r="172" spans="12:17" x14ac:dyDescent="0.45">
      <c r="L172" s="9">
        <v>168</v>
      </c>
      <c r="M172" s="9" t="str">
        <f t="shared" ca="1" si="12"/>
        <v>3-4</v>
      </c>
      <c r="N172" s="9">
        <f t="shared" ca="1" si="13"/>
        <v>3</v>
      </c>
      <c r="O172" s="10">
        <f t="shared" ca="1" si="14"/>
        <v>3.4321989863064499</v>
      </c>
      <c r="P172" s="9" t="str">
        <f t="shared" ca="1" si="15"/>
        <v>vive en arriendo</v>
      </c>
      <c r="Q172" s="9" t="str">
        <f t="shared" ca="1" si="16"/>
        <v>«la casa no es mía»</v>
      </c>
    </row>
    <row r="173" spans="12:17" x14ac:dyDescent="0.45">
      <c r="L173" s="9">
        <v>169</v>
      </c>
      <c r="M173" s="9" t="str">
        <f t="shared" ca="1" si="12"/>
        <v>3-4</v>
      </c>
      <c r="N173" s="9">
        <f t="shared" ca="1" si="13"/>
        <v>4</v>
      </c>
      <c r="O173" s="10">
        <f t="shared" ca="1" si="14"/>
        <v>2.0105468902807297</v>
      </c>
      <c r="P173" s="9" t="str">
        <f t="shared" ca="1" si="15"/>
        <v>costo inicial</v>
      </c>
      <c r="Q173" s="9" t="str">
        <f t="shared" ca="1" si="16"/>
        <v>«es muy caro instalarlo»</v>
      </c>
    </row>
    <row r="174" spans="12:17" x14ac:dyDescent="0.45">
      <c r="L174" s="9">
        <v>170</v>
      </c>
      <c r="M174" s="9" t="str">
        <f t="shared" ca="1" si="12"/>
        <v>3-4</v>
      </c>
      <c r="N174" s="9">
        <f t="shared" ca="1" si="13"/>
        <v>4</v>
      </c>
      <c r="O174" s="10">
        <f t="shared" ca="1" si="14"/>
        <v>3.5106633602025883</v>
      </c>
      <c r="P174" s="9" t="str">
        <f t="shared" ca="1" si="15"/>
        <v>costo inicial</v>
      </c>
      <c r="Q174" s="9" t="str">
        <f t="shared" ca="1" si="16"/>
        <v>«es muy caro instalarlo»</v>
      </c>
    </row>
    <row r="175" spans="12:17" x14ac:dyDescent="0.45">
      <c r="L175" s="9">
        <v>171</v>
      </c>
      <c r="M175" s="9" t="str">
        <f t="shared" ca="1" si="12"/>
        <v>3-4</v>
      </c>
      <c r="N175" s="9">
        <f t="shared" ca="1" si="13"/>
        <v>4</v>
      </c>
      <c r="O175" s="10">
        <f t="shared" ca="1" si="14"/>
        <v>3.1987269855845581</v>
      </c>
      <c r="P175" s="9" t="str">
        <f t="shared" ca="1" si="15"/>
        <v>costo inicial</v>
      </c>
      <c r="Q175" s="9" t="str">
        <f t="shared" ca="1" si="16"/>
        <v>«es muy caro instalarlo»</v>
      </c>
    </row>
    <row r="176" spans="12:17" x14ac:dyDescent="0.45">
      <c r="L176" s="9">
        <v>172</v>
      </c>
      <c r="M176" s="9" t="str">
        <f t="shared" ca="1" si="12"/>
        <v>1-2</v>
      </c>
      <c r="N176" s="9">
        <f t="shared" ca="1" si="13"/>
        <v>4</v>
      </c>
      <c r="O176" s="10">
        <f t="shared" ca="1" si="14"/>
        <v>2.7600848719166673</v>
      </c>
      <c r="P176" s="9" t="str">
        <f t="shared" ca="1" si="15"/>
        <v>vive en arriendo</v>
      </c>
      <c r="Q176" s="9" t="str">
        <f t="shared" ca="1" si="16"/>
        <v>«la casa no es mía»</v>
      </c>
    </row>
    <row r="177" spans="12:17" x14ac:dyDescent="0.45">
      <c r="L177" s="9">
        <v>173</v>
      </c>
      <c r="M177" s="9" t="str">
        <f t="shared" ca="1" si="12"/>
        <v>1-2</v>
      </c>
      <c r="N177" s="9">
        <f t="shared" ca="1" si="13"/>
        <v>4</v>
      </c>
      <c r="O177" s="10">
        <f t="shared" ca="1" si="14"/>
        <v>3.0972088003200713</v>
      </c>
      <c r="P177" s="9" t="str">
        <f t="shared" ca="1" si="15"/>
        <v>costo inicial</v>
      </c>
      <c r="Q177" s="9" t="str">
        <f t="shared" ca="1" si="16"/>
        <v>«es muy caro instalarlo»</v>
      </c>
    </row>
    <row r="178" spans="12:17" x14ac:dyDescent="0.45">
      <c r="L178" s="9">
        <v>174</v>
      </c>
      <c r="M178" s="9" t="str">
        <f t="shared" ca="1" si="12"/>
        <v>3-4</v>
      </c>
      <c r="N178" s="9">
        <f t="shared" ca="1" si="13"/>
        <v>4</v>
      </c>
      <c r="O178" s="10">
        <f t="shared" ca="1" si="14"/>
        <v>4.0938748780632732</v>
      </c>
      <c r="P178" s="9" t="str">
        <f t="shared" ca="1" si="15"/>
        <v>vive en arriendo</v>
      </c>
      <c r="Q178" s="9" t="str">
        <f t="shared" ca="1" si="16"/>
        <v>«la casa no es mía»</v>
      </c>
    </row>
    <row r="179" spans="12:17" x14ac:dyDescent="0.45">
      <c r="L179" s="9">
        <v>175</v>
      </c>
      <c r="M179" s="9" t="str">
        <f t="shared" ca="1" si="12"/>
        <v>3-4</v>
      </c>
      <c r="N179" s="9">
        <f t="shared" ca="1" si="13"/>
        <v>4</v>
      </c>
      <c r="O179" s="10">
        <f t="shared" ca="1" si="14"/>
        <v>2.1048554928662861</v>
      </c>
      <c r="P179" s="9" t="str">
        <f t="shared" ca="1" si="15"/>
        <v>vive en arriendo</v>
      </c>
      <c r="Q179" s="9" t="str">
        <f t="shared" ca="1" si="16"/>
        <v>«la casa no es mía»</v>
      </c>
    </row>
    <row r="180" spans="12:17" x14ac:dyDescent="0.45">
      <c r="L180" s="9">
        <v>176</v>
      </c>
      <c r="M180" s="9" t="str">
        <f t="shared" ca="1" si="12"/>
        <v>1-2</v>
      </c>
      <c r="N180" s="9">
        <f t="shared" ca="1" si="13"/>
        <v>2</v>
      </c>
      <c r="O180" s="10">
        <f t="shared" ca="1" si="14"/>
        <v>2.9004560305012688</v>
      </c>
      <c r="P180" s="9" t="str">
        <f t="shared" ca="1" si="15"/>
        <v>costo inicial</v>
      </c>
      <c r="Q180" s="9" t="str">
        <f t="shared" ca="1" si="16"/>
        <v>«es muy caro instalarlo»</v>
      </c>
    </row>
    <row r="181" spans="12:17" x14ac:dyDescent="0.45">
      <c r="L181" s="9">
        <v>177</v>
      </c>
      <c r="M181" s="9" t="str">
        <f t="shared" ca="1" si="12"/>
        <v>3-4</v>
      </c>
      <c r="N181" s="9">
        <f t="shared" ca="1" si="13"/>
        <v>4</v>
      </c>
      <c r="O181" s="10">
        <f t="shared" ca="1" si="14"/>
        <v>4.1456130131792044</v>
      </c>
      <c r="P181" s="9" t="str">
        <f t="shared" ca="1" si="15"/>
        <v>costo inicial</v>
      </c>
      <c r="Q181" s="9" t="str">
        <f t="shared" ca="1" si="16"/>
        <v>«es muy caro instalarlo»</v>
      </c>
    </row>
    <row r="182" spans="12:17" x14ac:dyDescent="0.45">
      <c r="L182" s="9">
        <v>178</v>
      </c>
      <c r="M182" s="9" t="str">
        <f t="shared" ca="1" si="12"/>
        <v>5-6</v>
      </c>
      <c r="N182" s="9">
        <f t="shared" ca="1" si="13"/>
        <v>3</v>
      </c>
      <c r="O182" s="10">
        <f t="shared" ca="1" si="14"/>
        <v>1.5767000013638546</v>
      </c>
      <c r="P182" s="9" t="str">
        <f t="shared" ca="1" si="15"/>
        <v>costo inicial</v>
      </c>
      <c r="Q182" s="9" t="str">
        <f t="shared" ca="1" si="16"/>
        <v>«es muy caro instalarlo»</v>
      </c>
    </row>
    <row r="183" spans="12:17" x14ac:dyDescent="0.45">
      <c r="L183" s="9">
        <v>179</v>
      </c>
      <c r="M183" s="9" t="str">
        <f t="shared" ca="1" si="12"/>
        <v>1-2</v>
      </c>
      <c r="N183" s="9">
        <f t="shared" ca="1" si="13"/>
        <v>4</v>
      </c>
      <c r="O183" s="10">
        <f t="shared" ca="1" si="14"/>
        <v>2.8771152988820337</v>
      </c>
      <c r="P183" s="9" t="str">
        <f t="shared" ca="1" si="15"/>
        <v>vive en arriendo</v>
      </c>
      <c r="Q183" s="9" t="str">
        <f t="shared" ca="1" si="16"/>
        <v>«la casa no es mía»</v>
      </c>
    </row>
    <row r="184" spans="12:17" x14ac:dyDescent="0.45">
      <c r="L184" s="9">
        <v>180</v>
      </c>
      <c r="M184" s="9" t="str">
        <f t="shared" ca="1" si="12"/>
        <v>1-2</v>
      </c>
      <c r="N184" s="9">
        <f t="shared" ca="1" si="13"/>
        <v>2</v>
      </c>
      <c r="O184" s="10">
        <f t="shared" ca="1" si="14"/>
        <v>2.9065078570153613</v>
      </c>
      <c r="P184" s="9" t="str">
        <f t="shared" ca="1" si="15"/>
        <v>no sabe cómo</v>
      </c>
      <c r="Q184" s="9" t="str">
        <f t="shared" ca="1" si="16"/>
        <v>«no sé a quién acudir»</v>
      </c>
    </row>
    <row r="185" spans="12:17" x14ac:dyDescent="0.45">
      <c r="L185" s="9">
        <v>181</v>
      </c>
      <c r="M185" s="9" t="str">
        <f t="shared" ca="1" si="12"/>
        <v>3-4</v>
      </c>
      <c r="N185" s="9">
        <f t="shared" ca="1" si="13"/>
        <v>5</v>
      </c>
      <c r="O185" s="10">
        <f t="shared" ca="1" si="14"/>
        <v>3.4901659449009141</v>
      </c>
      <c r="P185" s="9" t="str">
        <f t="shared" ca="1" si="15"/>
        <v>desconfía</v>
      </c>
      <c r="Q185" s="9" t="str">
        <f t="shared" ca="1" si="16"/>
        <v>«no creo que funcione bien»</v>
      </c>
    </row>
    <row r="186" spans="12:17" x14ac:dyDescent="0.45">
      <c r="L186" s="9">
        <v>182</v>
      </c>
      <c r="M186" s="9" t="str">
        <f t="shared" ca="1" si="12"/>
        <v>5-6</v>
      </c>
      <c r="N186" s="9">
        <f t="shared" ca="1" si="13"/>
        <v>3</v>
      </c>
      <c r="O186" s="10">
        <f t="shared" ca="1" si="14"/>
        <v>2.8934999176738008</v>
      </c>
      <c r="P186" s="9" t="str">
        <f t="shared" ca="1" si="15"/>
        <v>costo inicial</v>
      </c>
      <c r="Q186" s="9" t="str">
        <f t="shared" ca="1" si="16"/>
        <v>«es muy caro instalarlo»</v>
      </c>
    </row>
    <row r="187" spans="12:17" x14ac:dyDescent="0.45">
      <c r="L187" s="9">
        <v>183</v>
      </c>
      <c r="M187" s="9" t="str">
        <f t="shared" ca="1" si="12"/>
        <v>1-2</v>
      </c>
      <c r="N187" s="9">
        <f t="shared" ca="1" si="13"/>
        <v>4</v>
      </c>
      <c r="O187" s="10">
        <f t="shared" ca="1" si="14"/>
        <v>4.0634510714899958</v>
      </c>
      <c r="P187" s="9" t="str">
        <f t="shared" ca="1" si="15"/>
        <v>ninguna</v>
      </c>
      <c r="Q187" s="9" t="str">
        <f t="shared" ca="1" si="16"/>
        <v>«lo haría ya»</v>
      </c>
    </row>
    <row r="188" spans="12:17" x14ac:dyDescent="0.45">
      <c r="L188" s="9">
        <v>184</v>
      </c>
      <c r="M188" s="9" t="str">
        <f t="shared" ca="1" si="12"/>
        <v>1-2</v>
      </c>
      <c r="N188" s="9">
        <f t="shared" ca="1" si="13"/>
        <v>1</v>
      </c>
      <c r="O188" s="10">
        <f t="shared" ca="1" si="14"/>
        <v>1.0492632756412235</v>
      </c>
      <c r="P188" s="9" t="str">
        <f t="shared" ca="1" si="15"/>
        <v>costo inicial</v>
      </c>
      <c r="Q188" s="9" t="str">
        <f t="shared" ca="1" si="16"/>
        <v>«es muy caro instalarlo»</v>
      </c>
    </row>
    <row r="189" spans="12:17" x14ac:dyDescent="0.45">
      <c r="L189" s="9">
        <v>185</v>
      </c>
      <c r="M189" s="9" t="str">
        <f t="shared" ca="1" si="12"/>
        <v>3-4</v>
      </c>
      <c r="N189" s="9">
        <f t="shared" ca="1" si="13"/>
        <v>3</v>
      </c>
      <c r="O189" s="10">
        <f t="shared" ca="1" si="14"/>
        <v>3.0379108075730961</v>
      </c>
      <c r="P189" s="9" t="str">
        <f t="shared" ca="1" si="15"/>
        <v>desconfía</v>
      </c>
      <c r="Q189" s="9" t="str">
        <f t="shared" ca="1" si="16"/>
        <v>«no creo que funcione bien»</v>
      </c>
    </row>
    <row r="190" spans="12:17" x14ac:dyDescent="0.45">
      <c r="L190" s="9">
        <v>186</v>
      </c>
      <c r="M190" s="9" t="str">
        <f t="shared" ca="1" si="12"/>
        <v>1-2</v>
      </c>
      <c r="N190" s="9">
        <f t="shared" ca="1" si="13"/>
        <v>4</v>
      </c>
      <c r="O190" s="10">
        <f t="shared" ca="1" si="14"/>
        <v>1.9501128556695768</v>
      </c>
      <c r="P190" s="9" t="str">
        <f t="shared" ca="1" si="15"/>
        <v>costo inicial</v>
      </c>
      <c r="Q190" s="9" t="str">
        <f t="shared" ca="1" si="16"/>
        <v>«es muy caro instalarlo»</v>
      </c>
    </row>
    <row r="191" spans="12:17" x14ac:dyDescent="0.45">
      <c r="L191" s="9">
        <v>187</v>
      </c>
      <c r="M191" s="9" t="str">
        <f t="shared" ca="1" si="12"/>
        <v>1-2</v>
      </c>
      <c r="N191" s="9">
        <f t="shared" ca="1" si="13"/>
        <v>2</v>
      </c>
      <c r="O191" s="10">
        <f t="shared" ca="1" si="14"/>
        <v>2.3992684433621805</v>
      </c>
      <c r="P191" s="9" t="str">
        <f t="shared" ca="1" si="15"/>
        <v>costo inicial</v>
      </c>
      <c r="Q191" s="9" t="str">
        <f t="shared" ca="1" si="16"/>
        <v>«es muy caro instalarlo»</v>
      </c>
    </row>
    <row r="192" spans="12:17" x14ac:dyDescent="0.45">
      <c r="L192" s="9">
        <v>188</v>
      </c>
      <c r="M192" s="9" t="str">
        <f t="shared" ca="1" si="12"/>
        <v>1-2</v>
      </c>
      <c r="N192" s="9">
        <f t="shared" ca="1" si="13"/>
        <v>5</v>
      </c>
      <c r="O192" s="10">
        <f t="shared" ca="1" si="14"/>
        <v>2.4315099226966863</v>
      </c>
      <c r="P192" s="9" t="str">
        <f t="shared" ca="1" si="15"/>
        <v>no sabe cómo</v>
      </c>
      <c r="Q192" s="9" t="str">
        <f t="shared" ca="1" si="16"/>
        <v>«no sé a quién acudir»</v>
      </c>
    </row>
    <row r="193" spans="12:17" x14ac:dyDescent="0.45">
      <c r="L193" s="9">
        <v>189</v>
      </c>
      <c r="M193" s="9" t="str">
        <f t="shared" ca="1" si="12"/>
        <v>3-4</v>
      </c>
      <c r="N193" s="9">
        <f t="shared" ca="1" si="13"/>
        <v>4</v>
      </c>
      <c r="O193" s="10">
        <f t="shared" ca="1" si="14"/>
        <v>2.6179896007166015</v>
      </c>
      <c r="P193" s="9" t="str">
        <f t="shared" ca="1" si="15"/>
        <v>costo inicial</v>
      </c>
      <c r="Q193" s="9" t="str">
        <f t="shared" ca="1" si="16"/>
        <v>«es muy caro instalarlo»</v>
      </c>
    </row>
    <row r="194" spans="12:17" x14ac:dyDescent="0.45">
      <c r="L194" s="9">
        <v>190</v>
      </c>
      <c r="M194" s="9" t="str">
        <f t="shared" ca="1" si="12"/>
        <v>3-4</v>
      </c>
      <c r="N194" s="9">
        <f t="shared" ca="1" si="13"/>
        <v>3</v>
      </c>
      <c r="O194" s="10">
        <f t="shared" ca="1" si="14"/>
        <v>3.2744731207996502</v>
      </c>
      <c r="P194" s="9" t="str">
        <f t="shared" ca="1" si="15"/>
        <v>no sabe cómo</v>
      </c>
      <c r="Q194" s="9" t="str">
        <f t="shared" ca="1" si="16"/>
        <v>«no sé a quién acudir»</v>
      </c>
    </row>
    <row r="195" spans="12:17" x14ac:dyDescent="0.45">
      <c r="L195" s="9">
        <v>191</v>
      </c>
      <c r="M195" s="9" t="str">
        <f t="shared" ca="1" si="12"/>
        <v>3-4</v>
      </c>
      <c r="N195" s="9">
        <f t="shared" ca="1" si="13"/>
        <v>3</v>
      </c>
      <c r="O195" s="10">
        <f t="shared" ca="1" si="14"/>
        <v>2.4487226155357349</v>
      </c>
      <c r="P195" s="9" t="str">
        <f t="shared" ca="1" si="15"/>
        <v>no sabe cómo</v>
      </c>
      <c r="Q195" s="9" t="str">
        <f t="shared" ca="1" si="16"/>
        <v>«no sé a quién acudir»</v>
      </c>
    </row>
    <row r="196" spans="12:17" x14ac:dyDescent="0.45">
      <c r="L196" s="9">
        <v>192</v>
      </c>
      <c r="M196" s="9" t="str">
        <f t="shared" ca="1" si="12"/>
        <v>3-4</v>
      </c>
      <c r="N196" s="9">
        <f t="shared" ca="1" si="13"/>
        <v>2</v>
      </c>
      <c r="O196" s="10">
        <f t="shared" ca="1" si="14"/>
        <v>2.9613081810144206</v>
      </c>
      <c r="P196" s="9" t="str">
        <f t="shared" ca="1" si="15"/>
        <v>costo inicial</v>
      </c>
      <c r="Q196" s="9" t="str">
        <f t="shared" ca="1" si="16"/>
        <v>«es muy caro instalarlo»</v>
      </c>
    </row>
    <row r="197" spans="12:17" x14ac:dyDescent="0.45">
      <c r="L197" s="9">
        <v>193</v>
      </c>
      <c r="M197" s="9" t="str">
        <f t="shared" ref="M197:M260" ca="1" si="17">INDEX($B$11:$B$13,MATCH(RAND(),$C$15:$C$17,1))</f>
        <v>5-6</v>
      </c>
      <c r="N197" s="9">
        <f t="shared" ref="N197:N260" ca="1" si="18">MATCH(RAND(),INDEX($D$15:$H$17,MATCH(M197,$B$11:$B$13,0),0),1)</f>
        <v>5</v>
      </c>
      <c r="O197" s="10">
        <f t="shared" ref="O197:O260" ca="1" si="19">MAX(0,_xlfn.NORM.INV(RAND(),2.5+0.4*(N197-3),1))</f>
        <v>1.2420007090912266</v>
      </c>
      <c r="P197" s="9" t="str">
        <f t="shared" ref="P197:P260" ca="1" si="20">INDEX($B$20:$B$24,MATCH(RAND(),$D$20:$D$24,1))</f>
        <v>no sabe cómo</v>
      </c>
      <c r="Q197" s="9" t="str">
        <f t="shared" ref="Q197:Q260" ca="1" si="21">"«"&amp;INDEX($E$20:$E$24,MATCH(P197,$B$20:$B$24,0))&amp;"»"</f>
        <v>«no sé a quién acudir»</v>
      </c>
    </row>
    <row r="198" spans="12:17" x14ac:dyDescent="0.45">
      <c r="L198" s="9">
        <v>194</v>
      </c>
      <c r="M198" s="9" t="str">
        <f t="shared" ca="1" si="17"/>
        <v>5-6</v>
      </c>
      <c r="N198" s="9">
        <f t="shared" ca="1" si="18"/>
        <v>4</v>
      </c>
      <c r="O198" s="10">
        <f t="shared" ca="1" si="19"/>
        <v>3.2502356767565441</v>
      </c>
      <c r="P198" s="9" t="str">
        <f t="shared" ca="1" si="20"/>
        <v>no sabe cómo</v>
      </c>
      <c r="Q198" s="9" t="str">
        <f t="shared" ca="1" si="21"/>
        <v>«no sé a quién acudir»</v>
      </c>
    </row>
    <row r="199" spans="12:17" x14ac:dyDescent="0.45">
      <c r="L199" s="9">
        <v>195</v>
      </c>
      <c r="M199" s="9" t="str">
        <f t="shared" ca="1" si="17"/>
        <v>1-2</v>
      </c>
      <c r="N199" s="9">
        <f t="shared" ca="1" si="18"/>
        <v>3</v>
      </c>
      <c r="O199" s="10">
        <f t="shared" ca="1" si="19"/>
        <v>3.3853772042198234</v>
      </c>
      <c r="P199" s="9" t="str">
        <f t="shared" ca="1" si="20"/>
        <v>vive en arriendo</v>
      </c>
      <c r="Q199" s="9" t="str">
        <f t="shared" ca="1" si="21"/>
        <v>«la casa no es mía»</v>
      </c>
    </row>
    <row r="200" spans="12:17" x14ac:dyDescent="0.45">
      <c r="L200" s="9">
        <v>196</v>
      </c>
      <c r="M200" s="9" t="str">
        <f t="shared" ca="1" si="17"/>
        <v>1-2</v>
      </c>
      <c r="N200" s="9">
        <f t="shared" ca="1" si="18"/>
        <v>4</v>
      </c>
      <c r="O200" s="10">
        <f t="shared" ca="1" si="19"/>
        <v>3.3499779000554684</v>
      </c>
      <c r="P200" s="9" t="str">
        <f t="shared" ca="1" si="20"/>
        <v>no sabe cómo</v>
      </c>
      <c r="Q200" s="9" t="str">
        <f t="shared" ca="1" si="21"/>
        <v>«no sé a quién acudir»</v>
      </c>
    </row>
    <row r="201" spans="12:17" x14ac:dyDescent="0.45">
      <c r="L201" s="9">
        <v>197</v>
      </c>
      <c r="M201" s="9" t="str">
        <f t="shared" ca="1" si="17"/>
        <v>3-4</v>
      </c>
      <c r="N201" s="9">
        <f t="shared" ca="1" si="18"/>
        <v>3</v>
      </c>
      <c r="O201" s="10">
        <f t="shared" ca="1" si="19"/>
        <v>2.0397379763635342</v>
      </c>
      <c r="P201" s="9" t="str">
        <f t="shared" ca="1" si="20"/>
        <v>ninguna</v>
      </c>
      <c r="Q201" s="9" t="str">
        <f t="shared" ca="1" si="21"/>
        <v>«lo haría ya»</v>
      </c>
    </row>
    <row r="202" spans="12:17" x14ac:dyDescent="0.45">
      <c r="L202" s="9">
        <v>198</v>
      </c>
      <c r="M202" s="9" t="str">
        <f t="shared" ca="1" si="17"/>
        <v>3-4</v>
      </c>
      <c r="N202" s="9">
        <f t="shared" ca="1" si="18"/>
        <v>1</v>
      </c>
      <c r="O202" s="10">
        <f t="shared" ca="1" si="19"/>
        <v>1.9444114446216887</v>
      </c>
      <c r="P202" s="9" t="str">
        <f t="shared" ca="1" si="20"/>
        <v>vive en arriendo</v>
      </c>
      <c r="Q202" s="9" t="str">
        <f t="shared" ca="1" si="21"/>
        <v>«la casa no es mía»</v>
      </c>
    </row>
    <row r="203" spans="12:17" x14ac:dyDescent="0.45">
      <c r="L203" s="9">
        <v>199</v>
      </c>
      <c r="M203" s="9" t="str">
        <f t="shared" ca="1" si="17"/>
        <v>1-2</v>
      </c>
      <c r="N203" s="9">
        <f t="shared" ca="1" si="18"/>
        <v>3</v>
      </c>
      <c r="O203" s="10">
        <f t="shared" ca="1" si="19"/>
        <v>1.0283581856492165</v>
      </c>
      <c r="P203" s="9" t="str">
        <f t="shared" ca="1" si="20"/>
        <v>no sabe cómo</v>
      </c>
      <c r="Q203" s="9" t="str">
        <f t="shared" ca="1" si="21"/>
        <v>«no sé a quién acudir»</v>
      </c>
    </row>
    <row r="204" spans="12:17" x14ac:dyDescent="0.45">
      <c r="L204" s="9">
        <v>200</v>
      </c>
      <c r="M204" s="9" t="str">
        <f t="shared" ca="1" si="17"/>
        <v>5-6</v>
      </c>
      <c r="N204" s="9">
        <f t="shared" ca="1" si="18"/>
        <v>3</v>
      </c>
      <c r="O204" s="10">
        <f t="shared" ca="1" si="19"/>
        <v>4.1102615318712328</v>
      </c>
      <c r="P204" s="9" t="str">
        <f t="shared" ca="1" si="20"/>
        <v>vive en arriendo</v>
      </c>
      <c r="Q204" s="9" t="str">
        <f t="shared" ca="1" si="21"/>
        <v>«la casa no es mía»</v>
      </c>
    </row>
    <row r="205" spans="12:17" x14ac:dyDescent="0.45">
      <c r="L205" s="9">
        <v>201</v>
      </c>
      <c r="M205" s="9" t="str">
        <f t="shared" ca="1" si="17"/>
        <v>1-2</v>
      </c>
      <c r="N205" s="9">
        <f t="shared" ca="1" si="18"/>
        <v>5</v>
      </c>
      <c r="O205" s="10">
        <f t="shared" ca="1" si="19"/>
        <v>4.1785830662734407</v>
      </c>
      <c r="P205" s="9" t="str">
        <f t="shared" ca="1" si="20"/>
        <v>desconfía</v>
      </c>
      <c r="Q205" s="9" t="str">
        <f t="shared" ca="1" si="21"/>
        <v>«no creo que funcione bien»</v>
      </c>
    </row>
    <row r="206" spans="12:17" x14ac:dyDescent="0.45">
      <c r="L206" s="9">
        <v>202</v>
      </c>
      <c r="M206" s="9" t="str">
        <f t="shared" ca="1" si="17"/>
        <v>1-2</v>
      </c>
      <c r="N206" s="9">
        <f t="shared" ca="1" si="18"/>
        <v>4</v>
      </c>
      <c r="O206" s="10">
        <f t="shared" ca="1" si="19"/>
        <v>3.5558383821032598</v>
      </c>
      <c r="P206" s="9" t="str">
        <f t="shared" ca="1" si="20"/>
        <v>vive en arriendo</v>
      </c>
      <c r="Q206" s="9" t="str">
        <f t="shared" ca="1" si="21"/>
        <v>«la casa no es mía»</v>
      </c>
    </row>
    <row r="207" spans="12:17" x14ac:dyDescent="0.45">
      <c r="L207" s="9">
        <v>203</v>
      </c>
      <c r="M207" s="9" t="str">
        <f t="shared" ca="1" si="17"/>
        <v>5-6</v>
      </c>
      <c r="N207" s="9">
        <f t="shared" ca="1" si="18"/>
        <v>4</v>
      </c>
      <c r="O207" s="10">
        <f t="shared" ca="1" si="19"/>
        <v>2.5053529047360268</v>
      </c>
      <c r="P207" s="9" t="str">
        <f t="shared" ca="1" si="20"/>
        <v>costo inicial</v>
      </c>
      <c r="Q207" s="9" t="str">
        <f t="shared" ca="1" si="21"/>
        <v>«es muy caro instalarlo»</v>
      </c>
    </row>
    <row r="208" spans="12:17" x14ac:dyDescent="0.45">
      <c r="L208" s="9">
        <v>204</v>
      </c>
      <c r="M208" s="9" t="str">
        <f t="shared" ca="1" si="17"/>
        <v>3-4</v>
      </c>
      <c r="N208" s="9">
        <f t="shared" ca="1" si="18"/>
        <v>5</v>
      </c>
      <c r="O208" s="10">
        <f t="shared" ca="1" si="19"/>
        <v>3.7171231852175577</v>
      </c>
      <c r="P208" s="9" t="str">
        <f t="shared" ca="1" si="20"/>
        <v>no sabe cómo</v>
      </c>
      <c r="Q208" s="9" t="str">
        <f t="shared" ca="1" si="21"/>
        <v>«no sé a quién acudir»</v>
      </c>
    </row>
    <row r="209" spans="12:17" x14ac:dyDescent="0.45">
      <c r="L209" s="9">
        <v>205</v>
      </c>
      <c r="M209" s="9" t="str">
        <f t="shared" ca="1" si="17"/>
        <v>5-6</v>
      </c>
      <c r="N209" s="9">
        <f t="shared" ca="1" si="18"/>
        <v>5</v>
      </c>
      <c r="O209" s="10">
        <f t="shared" ca="1" si="19"/>
        <v>3.245909082945249</v>
      </c>
      <c r="P209" s="9" t="str">
        <f t="shared" ca="1" si="20"/>
        <v>costo inicial</v>
      </c>
      <c r="Q209" s="9" t="str">
        <f t="shared" ca="1" si="21"/>
        <v>«es muy caro instalarlo»</v>
      </c>
    </row>
    <row r="210" spans="12:17" x14ac:dyDescent="0.45">
      <c r="L210" s="9">
        <v>206</v>
      </c>
      <c r="M210" s="9" t="str">
        <f t="shared" ca="1" si="17"/>
        <v>3-4</v>
      </c>
      <c r="N210" s="9">
        <f t="shared" ca="1" si="18"/>
        <v>4</v>
      </c>
      <c r="O210" s="10">
        <f t="shared" ca="1" si="19"/>
        <v>3.474530559273219</v>
      </c>
      <c r="P210" s="9" t="str">
        <f t="shared" ca="1" si="20"/>
        <v>desconfía</v>
      </c>
      <c r="Q210" s="9" t="str">
        <f t="shared" ca="1" si="21"/>
        <v>«no creo que funcione bien»</v>
      </c>
    </row>
    <row r="211" spans="12:17" x14ac:dyDescent="0.45">
      <c r="L211" s="9">
        <v>207</v>
      </c>
      <c r="M211" s="9" t="str">
        <f t="shared" ca="1" si="17"/>
        <v>3-4</v>
      </c>
      <c r="N211" s="9">
        <f t="shared" ca="1" si="18"/>
        <v>5</v>
      </c>
      <c r="O211" s="10">
        <f t="shared" ca="1" si="19"/>
        <v>3.188944769081997</v>
      </c>
      <c r="P211" s="9" t="str">
        <f t="shared" ca="1" si="20"/>
        <v>costo inicial</v>
      </c>
      <c r="Q211" s="9" t="str">
        <f t="shared" ca="1" si="21"/>
        <v>«es muy caro instalarlo»</v>
      </c>
    </row>
    <row r="212" spans="12:17" x14ac:dyDescent="0.45">
      <c r="L212" s="9">
        <v>208</v>
      </c>
      <c r="M212" s="9" t="str">
        <f t="shared" ca="1" si="17"/>
        <v>5-6</v>
      </c>
      <c r="N212" s="9">
        <f t="shared" ca="1" si="18"/>
        <v>4</v>
      </c>
      <c r="O212" s="10">
        <f t="shared" ca="1" si="19"/>
        <v>4.1846330516425621</v>
      </c>
      <c r="P212" s="9" t="str">
        <f t="shared" ca="1" si="20"/>
        <v>costo inicial</v>
      </c>
      <c r="Q212" s="9" t="str">
        <f t="shared" ca="1" si="21"/>
        <v>«es muy caro instalarlo»</v>
      </c>
    </row>
    <row r="213" spans="12:17" x14ac:dyDescent="0.45">
      <c r="L213" s="9">
        <v>209</v>
      </c>
      <c r="M213" s="9" t="str">
        <f t="shared" ca="1" si="17"/>
        <v>5-6</v>
      </c>
      <c r="N213" s="9">
        <f t="shared" ca="1" si="18"/>
        <v>5</v>
      </c>
      <c r="O213" s="10">
        <f t="shared" ca="1" si="19"/>
        <v>2.4271636678053214</v>
      </c>
      <c r="P213" s="9" t="str">
        <f t="shared" ca="1" si="20"/>
        <v>costo inicial</v>
      </c>
      <c r="Q213" s="9" t="str">
        <f t="shared" ca="1" si="21"/>
        <v>«es muy caro instalarlo»</v>
      </c>
    </row>
    <row r="214" spans="12:17" x14ac:dyDescent="0.45">
      <c r="L214" s="9">
        <v>210</v>
      </c>
      <c r="M214" s="9" t="str">
        <f t="shared" ca="1" si="17"/>
        <v>5-6</v>
      </c>
      <c r="N214" s="9">
        <f t="shared" ca="1" si="18"/>
        <v>5</v>
      </c>
      <c r="O214" s="10">
        <f t="shared" ca="1" si="19"/>
        <v>2.5528377182131257</v>
      </c>
      <c r="P214" s="9" t="str">
        <f t="shared" ca="1" si="20"/>
        <v>ninguna</v>
      </c>
      <c r="Q214" s="9" t="str">
        <f t="shared" ca="1" si="21"/>
        <v>«lo haría ya»</v>
      </c>
    </row>
    <row r="215" spans="12:17" x14ac:dyDescent="0.45">
      <c r="L215" s="9">
        <v>211</v>
      </c>
      <c r="M215" s="9" t="str">
        <f t="shared" ca="1" si="17"/>
        <v>3-4</v>
      </c>
      <c r="N215" s="9">
        <f t="shared" ca="1" si="18"/>
        <v>4</v>
      </c>
      <c r="O215" s="10">
        <f t="shared" ca="1" si="19"/>
        <v>3.4023888946192837</v>
      </c>
      <c r="P215" s="9" t="str">
        <f t="shared" ca="1" si="20"/>
        <v>ninguna</v>
      </c>
      <c r="Q215" s="9" t="str">
        <f t="shared" ca="1" si="21"/>
        <v>«lo haría ya»</v>
      </c>
    </row>
    <row r="216" spans="12:17" x14ac:dyDescent="0.45">
      <c r="L216" s="9">
        <v>212</v>
      </c>
      <c r="M216" s="9" t="str">
        <f t="shared" ca="1" si="17"/>
        <v>3-4</v>
      </c>
      <c r="N216" s="9">
        <f t="shared" ca="1" si="18"/>
        <v>5</v>
      </c>
      <c r="O216" s="10">
        <f t="shared" ca="1" si="19"/>
        <v>2.9730609869166744</v>
      </c>
      <c r="P216" s="9" t="str">
        <f t="shared" ca="1" si="20"/>
        <v>costo inicial</v>
      </c>
      <c r="Q216" s="9" t="str">
        <f t="shared" ca="1" si="21"/>
        <v>«es muy caro instalarlo»</v>
      </c>
    </row>
    <row r="217" spans="12:17" x14ac:dyDescent="0.45">
      <c r="L217" s="9">
        <v>213</v>
      </c>
      <c r="M217" s="9" t="str">
        <f t="shared" ca="1" si="17"/>
        <v>1-2</v>
      </c>
      <c r="N217" s="9">
        <f t="shared" ca="1" si="18"/>
        <v>4</v>
      </c>
      <c r="O217" s="10">
        <f t="shared" ca="1" si="19"/>
        <v>1.6020210073428196</v>
      </c>
      <c r="P217" s="9" t="str">
        <f t="shared" ca="1" si="20"/>
        <v>ninguna</v>
      </c>
      <c r="Q217" s="9" t="str">
        <f t="shared" ca="1" si="21"/>
        <v>«lo haría ya»</v>
      </c>
    </row>
    <row r="218" spans="12:17" x14ac:dyDescent="0.45">
      <c r="L218" s="9">
        <v>214</v>
      </c>
      <c r="M218" s="9" t="str">
        <f t="shared" ca="1" si="17"/>
        <v>3-4</v>
      </c>
      <c r="N218" s="9">
        <f t="shared" ca="1" si="18"/>
        <v>1</v>
      </c>
      <c r="O218" s="10">
        <f t="shared" ca="1" si="19"/>
        <v>2.5119474801357624</v>
      </c>
      <c r="P218" s="9" t="str">
        <f t="shared" ca="1" si="20"/>
        <v>costo inicial</v>
      </c>
      <c r="Q218" s="9" t="str">
        <f t="shared" ca="1" si="21"/>
        <v>«es muy caro instalarlo»</v>
      </c>
    </row>
    <row r="219" spans="12:17" x14ac:dyDescent="0.45">
      <c r="L219" s="9">
        <v>215</v>
      </c>
      <c r="M219" s="9" t="str">
        <f t="shared" ca="1" si="17"/>
        <v>5-6</v>
      </c>
      <c r="N219" s="9">
        <f t="shared" ca="1" si="18"/>
        <v>3</v>
      </c>
      <c r="O219" s="10">
        <f t="shared" ca="1" si="19"/>
        <v>1.7364908724796022</v>
      </c>
      <c r="P219" s="9" t="str">
        <f t="shared" ca="1" si="20"/>
        <v>costo inicial</v>
      </c>
      <c r="Q219" s="9" t="str">
        <f t="shared" ca="1" si="21"/>
        <v>«es muy caro instalarlo»</v>
      </c>
    </row>
    <row r="220" spans="12:17" x14ac:dyDescent="0.45">
      <c r="L220" s="9">
        <v>216</v>
      </c>
      <c r="M220" s="9" t="str">
        <f t="shared" ca="1" si="17"/>
        <v>3-4</v>
      </c>
      <c r="N220" s="9">
        <f t="shared" ca="1" si="18"/>
        <v>5</v>
      </c>
      <c r="O220" s="10">
        <f t="shared" ca="1" si="19"/>
        <v>4.6355330050410233</v>
      </c>
      <c r="P220" s="9" t="str">
        <f t="shared" ca="1" si="20"/>
        <v>vive en arriendo</v>
      </c>
      <c r="Q220" s="9" t="str">
        <f t="shared" ca="1" si="21"/>
        <v>«la casa no es mía»</v>
      </c>
    </row>
    <row r="221" spans="12:17" x14ac:dyDescent="0.45">
      <c r="L221" s="9">
        <v>217</v>
      </c>
      <c r="M221" s="9" t="str">
        <f t="shared" ca="1" si="17"/>
        <v>5-6</v>
      </c>
      <c r="N221" s="9">
        <f t="shared" ca="1" si="18"/>
        <v>3</v>
      </c>
      <c r="O221" s="10">
        <f t="shared" ca="1" si="19"/>
        <v>3.8958634045868017</v>
      </c>
      <c r="P221" s="9" t="str">
        <f t="shared" ca="1" si="20"/>
        <v>no sabe cómo</v>
      </c>
      <c r="Q221" s="9" t="str">
        <f t="shared" ca="1" si="21"/>
        <v>«no sé a quién acudir»</v>
      </c>
    </row>
    <row r="222" spans="12:17" x14ac:dyDescent="0.45">
      <c r="L222" s="9">
        <v>218</v>
      </c>
      <c r="M222" s="9" t="str">
        <f t="shared" ca="1" si="17"/>
        <v>3-4</v>
      </c>
      <c r="N222" s="9">
        <f t="shared" ca="1" si="18"/>
        <v>5</v>
      </c>
      <c r="O222" s="10">
        <f t="shared" ca="1" si="19"/>
        <v>1.2932157803878672</v>
      </c>
      <c r="P222" s="9" t="str">
        <f t="shared" ca="1" si="20"/>
        <v>desconfía</v>
      </c>
      <c r="Q222" s="9" t="str">
        <f t="shared" ca="1" si="21"/>
        <v>«no creo que funcione bien»</v>
      </c>
    </row>
    <row r="223" spans="12:17" x14ac:dyDescent="0.45">
      <c r="L223" s="9">
        <v>219</v>
      </c>
      <c r="M223" s="9" t="str">
        <f t="shared" ca="1" si="17"/>
        <v>5-6</v>
      </c>
      <c r="N223" s="9">
        <f t="shared" ca="1" si="18"/>
        <v>4</v>
      </c>
      <c r="O223" s="10">
        <f t="shared" ca="1" si="19"/>
        <v>2.9825110324009665</v>
      </c>
      <c r="P223" s="9" t="str">
        <f t="shared" ca="1" si="20"/>
        <v>ninguna</v>
      </c>
      <c r="Q223" s="9" t="str">
        <f t="shared" ca="1" si="21"/>
        <v>«lo haría ya»</v>
      </c>
    </row>
    <row r="224" spans="12:17" x14ac:dyDescent="0.45">
      <c r="L224" s="9">
        <v>220</v>
      </c>
      <c r="M224" s="9" t="str">
        <f t="shared" ca="1" si="17"/>
        <v>1-2</v>
      </c>
      <c r="N224" s="9">
        <f t="shared" ca="1" si="18"/>
        <v>3</v>
      </c>
      <c r="O224" s="10">
        <f t="shared" ca="1" si="19"/>
        <v>3.3449015120855394</v>
      </c>
      <c r="P224" s="9" t="str">
        <f t="shared" ca="1" si="20"/>
        <v>no sabe cómo</v>
      </c>
      <c r="Q224" s="9" t="str">
        <f t="shared" ca="1" si="21"/>
        <v>«no sé a quién acudir»</v>
      </c>
    </row>
    <row r="225" spans="12:17" x14ac:dyDescent="0.45">
      <c r="L225" s="9">
        <v>221</v>
      </c>
      <c r="M225" s="9" t="str">
        <f t="shared" ca="1" si="17"/>
        <v>1-2</v>
      </c>
      <c r="N225" s="9">
        <f t="shared" ca="1" si="18"/>
        <v>4</v>
      </c>
      <c r="O225" s="10">
        <f t="shared" ca="1" si="19"/>
        <v>1.6499416571363854</v>
      </c>
      <c r="P225" s="9" t="str">
        <f t="shared" ca="1" si="20"/>
        <v>ninguna</v>
      </c>
      <c r="Q225" s="9" t="str">
        <f t="shared" ca="1" si="21"/>
        <v>«lo haría ya»</v>
      </c>
    </row>
    <row r="226" spans="12:17" x14ac:dyDescent="0.45">
      <c r="L226" s="9">
        <v>222</v>
      </c>
      <c r="M226" s="9" t="str">
        <f t="shared" ca="1" si="17"/>
        <v>1-2</v>
      </c>
      <c r="N226" s="9">
        <f t="shared" ca="1" si="18"/>
        <v>4</v>
      </c>
      <c r="O226" s="10">
        <f t="shared" ca="1" si="19"/>
        <v>2.3800987656182824</v>
      </c>
      <c r="P226" s="9" t="str">
        <f t="shared" ca="1" si="20"/>
        <v>costo inicial</v>
      </c>
      <c r="Q226" s="9" t="str">
        <f t="shared" ca="1" si="21"/>
        <v>«es muy caro instalarlo»</v>
      </c>
    </row>
    <row r="227" spans="12:17" x14ac:dyDescent="0.45">
      <c r="L227" s="9">
        <v>223</v>
      </c>
      <c r="M227" s="9" t="str">
        <f t="shared" ca="1" si="17"/>
        <v>1-2</v>
      </c>
      <c r="N227" s="9">
        <f t="shared" ca="1" si="18"/>
        <v>2</v>
      </c>
      <c r="O227" s="10">
        <f t="shared" ca="1" si="19"/>
        <v>2.4443053508558896</v>
      </c>
      <c r="P227" s="9" t="str">
        <f t="shared" ca="1" si="20"/>
        <v>costo inicial</v>
      </c>
      <c r="Q227" s="9" t="str">
        <f t="shared" ca="1" si="21"/>
        <v>«es muy caro instalarlo»</v>
      </c>
    </row>
    <row r="228" spans="12:17" x14ac:dyDescent="0.45">
      <c r="L228" s="9">
        <v>224</v>
      </c>
      <c r="M228" s="9" t="str">
        <f t="shared" ca="1" si="17"/>
        <v>5-6</v>
      </c>
      <c r="N228" s="9">
        <f t="shared" ca="1" si="18"/>
        <v>5</v>
      </c>
      <c r="O228" s="10">
        <f t="shared" ca="1" si="19"/>
        <v>3.714126489275638</v>
      </c>
      <c r="P228" s="9" t="str">
        <f t="shared" ca="1" si="20"/>
        <v>costo inicial</v>
      </c>
      <c r="Q228" s="9" t="str">
        <f t="shared" ca="1" si="21"/>
        <v>«es muy caro instalarlo»</v>
      </c>
    </row>
    <row r="229" spans="12:17" x14ac:dyDescent="0.45">
      <c r="L229" s="9">
        <v>225</v>
      </c>
      <c r="M229" s="9" t="str">
        <f t="shared" ca="1" si="17"/>
        <v>5-6</v>
      </c>
      <c r="N229" s="9">
        <f t="shared" ca="1" si="18"/>
        <v>4</v>
      </c>
      <c r="O229" s="10">
        <f t="shared" ca="1" si="19"/>
        <v>4.9956324745834406</v>
      </c>
      <c r="P229" s="9" t="str">
        <f t="shared" ca="1" si="20"/>
        <v>no sabe cómo</v>
      </c>
      <c r="Q229" s="9" t="str">
        <f t="shared" ca="1" si="21"/>
        <v>«no sé a quién acudir»</v>
      </c>
    </row>
    <row r="230" spans="12:17" x14ac:dyDescent="0.45">
      <c r="L230" s="9">
        <v>226</v>
      </c>
      <c r="M230" s="9" t="str">
        <f t="shared" ca="1" si="17"/>
        <v>5-6</v>
      </c>
      <c r="N230" s="9">
        <f t="shared" ca="1" si="18"/>
        <v>4</v>
      </c>
      <c r="O230" s="10">
        <f t="shared" ca="1" si="19"/>
        <v>2.3147619187606003</v>
      </c>
      <c r="P230" s="9" t="str">
        <f t="shared" ca="1" si="20"/>
        <v>costo inicial</v>
      </c>
      <c r="Q230" s="9" t="str">
        <f t="shared" ca="1" si="21"/>
        <v>«es muy caro instalarlo»</v>
      </c>
    </row>
    <row r="231" spans="12:17" x14ac:dyDescent="0.45">
      <c r="L231" s="9">
        <v>227</v>
      </c>
      <c r="M231" s="9" t="str">
        <f t="shared" ca="1" si="17"/>
        <v>5-6</v>
      </c>
      <c r="N231" s="9">
        <f t="shared" ca="1" si="18"/>
        <v>5</v>
      </c>
      <c r="O231" s="10">
        <f t="shared" ca="1" si="19"/>
        <v>3.7196063327235898</v>
      </c>
      <c r="P231" s="9" t="str">
        <f t="shared" ca="1" si="20"/>
        <v>costo inicial</v>
      </c>
      <c r="Q231" s="9" t="str">
        <f t="shared" ca="1" si="21"/>
        <v>«es muy caro instalarlo»</v>
      </c>
    </row>
    <row r="232" spans="12:17" x14ac:dyDescent="0.45">
      <c r="L232" s="9">
        <v>228</v>
      </c>
      <c r="M232" s="9" t="str">
        <f t="shared" ca="1" si="17"/>
        <v>5-6</v>
      </c>
      <c r="N232" s="9">
        <f t="shared" ca="1" si="18"/>
        <v>4</v>
      </c>
      <c r="O232" s="10">
        <f t="shared" ca="1" si="19"/>
        <v>4.623839991869394</v>
      </c>
      <c r="P232" s="9" t="str">
        <f t="shared" ca="1" si="20"/>
        <v>no sabe cómo</v>
      </c>
      <c r="Q232" s="9" t="str">
        <f t="shared" ca="1" si="21"/>
        <v>«no sé a quién acudir»</v>
      </c>
    </row>
    <row r="233" spans="12:17" x14ac:dyDescent="0.45">
      <c r="L233" s="9">
        <v>229</v>
      </c>
      <c r="M233" s="9" t="str">
        <f t="shared" ca="1" si="17"/>
        <v>1-2</v>
      </c>
      <c r="N233" s="9">
        <f t="shared" ca="1" si="18"/>
        <v>1</v>
      </c>
      <c r="O233" s="10">
        <f t="shared" ca="1" si="19"/>
        <v>2.1965666782620428</v>
      </c>
      <c r="P233" s="9" t="str">
        <f t="shared" ca="1" si="20"/>
        <v>costo inicial</v>
      </c>
      <c r="Q233" s="9" t="str">
        <f t="shared" ca="1" si="21"/>
        <v>«es muy caro instalarlo»</v>
      </c>
    </row>
    <row r="234" spans="12:17" x14ac:dyDescent="0.45">
      <c r="L234" s="9">
        <v>230</v>
      </c>
      <c r="M234" s="9" t="str">
        <f t="shared" ca="1" si="17"/>
        <v>3-4</v>
      </c>
      <c r="N234" s="9">
        <f t="shared" ca="1" si="18"/>
        <v>4</v>
      </c>
      <c r="O234" s="10">
        <f t="shared" ca="1" si="19"/>
        <v>2.3985835990157973</v>
      </c>
      <c r="P234" s="9" t="str">
        <f t="shared" ca="1" si="20"/>
        <v>vive en arriendo</v>
      </c>
      <c r="Q234" s="9" t="str">
        <f t="shared" ca="1" si="21"/>
        <v>«la casa no es mía»</v>
      </c>
    </row>
    <row r="235" spans="12:17" x14ac:dyDescent="0.45">
      <c r="L235" s="9">
        <v>231</v>
      </c>
      <c r="M235" s="9" t="str">
        <f t="shared" ca="1" si="17"/>
        <v>1-2</v>
      </c>
      <c r="N235" s="9">
        <f t="shared" ca="1" si="18"/>
        <v>4</v>
      </c>
      <c r="O235" s="10">
        <f t="shared" ca="1" si="19"/>
        <v>3.2443677700469906</v>
      </c>
      <c r="P235" s="9" t="str">
        <f t="shared" ca="1" si="20"/>
        <v>costo inicial</v>
      </c>
      <c r="Q235" s="9" t="str">
        <f t="shared" ca="1" si="21"/>
        <v>«es muy caro instalarlo»</v>
      </c>
    </row>
    <row r="236" spans="12:17" x14ac:dyDescent="0.45">
      <c r="L236" s="9">
        <v>232</v>
      </c>
      <c r="M236" s="9" t="str">
        <f t="shared" ca="1" si="17"/>
        <v>5-6</v>
      </c>
      <c r="N236" s="9">
        <f t="shared" ca="1" si="18"/>
        <v>4</v>
      </c>
      <c r="O236" s="10">
        <f t="shared" ca="1" si="19"/>
        <v>1.4814760927031323</v>
      </c>
      <c r="P236" s="9" t="str">
        <f t="shared" ca="1" si="20"/>
        <v>vive en arriendo</v>
      </c>
      <c r="Q236" s="9" t="str">
        <f t="shared" ca="1" si="21"/>
        <v>«la casa no es mía»</v>
      </c>
    </row>
    <row r="237" spans="12:17" x14ac:dyDescent="0.45">
      <c r="L237" s="9">
        <v>233</v>
      </c>
      <c r="M237" s="9" t="str">
        <f t="shared" ca="1" si="17"/>
        <v>3-4</v>
      </c>
      <c r="N237" s="9">
        <f t="shared" ca="1" si="18"/>
        <v>5</v>
      </c>
      <c r="O237" s="10">
        <f t="shared" ca="1" si="19"/>
        <v>3.5018387608563515</v>
      </c>
      <c r="P237" s="9" t="str">
        <f t="shared" ca="1" si="20"/>
        <v>costo inicial</v>
      </c>
      <c r="Q237" s="9" t="str">
        <f t="shared" ca="1" si="21"/>
        <v>«es muy caro instalarlo»</v>
      </c>
    </row>
    <row r="238" spans="12:17" x14ac:dyDescent="0.45">
      <c r="L238" s="9">
        <v>234</v>
      </c>
      <c r="M238" s="9" t="str">
        <f t="shared" ca="1" si="17"/>
        <v>5-6</v>
      </c>
      <c r="N238" s="9">
        <f t="shared" ca="1" si="18"/>
        <v>4</v>
      </c>
      <c r="O238" s="10">
        <f t="shared" ca="1" si="19"/>
        <v>3.3863159904392868</v>
      </c>
      <c r="P238" s="9" t="str">
        <f t="shared" ca="1" si="20"/>
        <v>costo inicial</v>
      </c>
      <c r="Q238" s="9" t="str">
        <f t="shared" ca="1" si="21"/>
        <v>«es muy caro instalarlo»</v>
      </c>
    </row>
    <row r="239" spans="12:17" x14ac:dyDescent="0.45">
      <c r="L239" s="9">
        <v>235</v>
      </c>
      <c r="M239" s="9" t="str">
        <f t="shared" ca="1" si="17"/>
        <v>3-4</v>
      </c>
      <c r="N239" s="9">
        <f t="shared" ca="1" si="18"/>
        <v>4</v>
      </c>
      <c r="O239" s="10">
        <f t="shared" ca="1" si="19"/>
        <v>2.4129086982805217</v>
      </c>
      <c r="P239" s="9" t="str">
        <f t="shared" ca="1" si="20"/>
        <v>costo inicial</v>
      </c>
      <c r="Q239" s="9" t="str">
        <f t="shared" ca="1" si="21"/>
        <v>«es muy caro instalarlo»</v>
      </c>
    </row>
    <row r="240" spans="12:17" x14ac:dyDescent="0.45">
      <c r="L240" s="9">
        <v>236</v>
      </c>
      <c r="M240" s="9" t="str">
        <f t="shared" ca="1" si="17"/>
        <v>3-4</v>
      </c>
      <c r="N240" s="9">
        <f t="shared" ca="1" si="18"/>
        <v>4</v>
      </c>
      <c r="O240" s="10">
        <f t="shared" ca="1" si="19"/>
        <v>1.6086217931578941</v>
      </c>
      <c r="P240" s="9" t="str">
        <f t="shared" ca="1" si="20"/>
        <v>ninguna</v>
      </c>
      <c r="Q240" s="9" t="str">
        <f t="shared" ca="1" si="21"/>
        <v>«lo haría ya»</v>
      </c>
    </row>
    <row r="241" spans="12:17" x14ac:dyDescent="0.45">
      <c r="L241" s="9">
        <v>237</v>
      </c>
      <c r="M241" s="9" t="str">
        <f t="shared" ca="1" si="17"/>
        <v>3-4</v>
      </c>
      <c r="N241" s="9">
        <f t="shared" ca="1" si="18"/>
        <v>1</v>
      </c>
      <c r="O241" s="10">
        <f t="shared" ca="1" si="19"/>
        <v>2.6058302457308447</v>
      </c>
      <c r="P241" s="9" t="str">
        <f t="shared" ca="1" si="20"/>
        <v>costo inicial</v>
      </c>
      <c r="Q241" s="9" t="str">
        <f t="shared" ca="1" si="21"/>
        <v>«es muy caro instalarlo»</v>
      </c>
    </row>
    <row r="242" spans="12:17" x14ac:dyDescent="0.45">
      <c r="L242" s="9">
        <v>238</v>
      </c>
      <c r="M242" s="9" t="str">
        <f t="shared" ca="1" si="17"/>
        <v>1-2</v>
      </c>
      <c r="N242" s="9">
        <f t="shared" ca="1" si="18"/>
        <v>4</v>
      </c>
      <c r="O242" s="10">
        <f t="shared" ca="1" si="19"/>
        <v>3.6599437729986635</v>
      </c>
      <c r="P242" s="9" t="str">
        <f t="shared" ca="1" si="20"/>
        <v>no sabe cómo</v>
      </c>
      <c r="Q242" s="9" t="str">
        <f t="shared" ca="1" si="21"/>
        <v>«no sé a quién acudir»</v>
      </c>
    </row>
    <row r="243" spans="12:17" x14ac:dyDescent="0.45">
      <c r="L243" s="9">
        <v>239</v>
      </c>
      <c r="M243" s="9" t="str">
        <f t="shared" ca="1" si="17"/>
        <v>3-4</v>
      </c>
      <c r="N243" s="9">
        <f t="shared" ca="1" si="18"/>
        <v>5</v>
      </c>
      <c r="O243" s="10">
        <f t="shared" ca="1" si="19"/>
        <v>3.6230247344913336</v>
      </c>
      <c r="P243" s="9" t="str">
        <f t="shared" ca="1" si="20"/>
        <v>costo inicial</v>
      </c>
      <c r="Q243" s="9" t="str">
        <f t="shared" ca="1" si="21"/>
        <v>«es muy caro instalarlo»</v>
      </c>
    </row>
    <row r="244" spans="12:17" x14ac:dyDescent="0.45">
      <c r="L244" s="9">
        <v>240</v>
      </c>
      <c r="M244" s="9" t="str">
        <f t="shared" ca="1" si="17"/>
        <v>3-4</v>
      </c>
      <c r="N244" s="9">
        <f t="shared" ca="1" si="18"/>
        <v>4</v>
      </c>
      <c r="O244" s="10">
        <f t="shared" ca="1" si="19"/>
        <v>1.8188550426604759</v>
      </c>
      <c r="P244" s="9" t="str">
        <f t="shared" ca="1" si="20"/>
        <v>costo inicial</v>
      </c>
      <c r="Q244" s="9" t="str">
        <f t="shared" ca="1" si="21"/>
        <v>«es muy caro instalarlo»</v>
      </c>
    </row>
    <row r="245" spans="12:17" x14ac:dyDescent="0.45">
      <c r="L245" s="9">
        <v>241</v>
      </c>
      <c r="M245" s="9" t="str">
        <f t="shared" ca="1" si="17"/>
        <v>5-6</v>
      </c>
      <c r="N245" s="9">
        <f t="shared" ca="1" si="18"/>
        <v>5</v>
      </c>
      <c r="O245" s="10">
        <f t="shared" ca="1" si="19"/>
        <v>2.458718602467314</v>
      </c>
      <c r="P245" s="9" t="str">
        <f t="shared" ca="1" si="20"/>
        <v>ninguna</v>
      </c>
      <c r="Q245" s="9" t="str">
        <f t="shared" ca="1" si="21"/>
        <v>«lo haría ya»</v>
      </c>
    </row>
    <row r="246" spans="12:17" x14ac:dyDescent="0.45">
      <c r="L246" s="9">
        <v>242</v>
      </c>
      <c r="M246" s="9" t="str">
        <f t="shared" ca="1" si="17"/>
        <v>3-4</v>
      </c>
      <c r="N246" s="9">
        <f t="shared" ca="1" si="18"/>
        <v>1</v>
      </c>
      <c r="O246" s="10">
        <f t="shared" ca="1" si="19"/>
        <v>3.1227342439516081</v>
      </c>
      <c r="P246" s="9" t="str">
        <f t="shared" ca="1" si="20"/>
        <v>vive en arriendo</v>
      </c>
      <c r="Q246" s="9" t="str">
        <f t="shared" ca="1" si="21"/>
        <v>«la casa no es mía»</v>
      </c>
    </row>
    <row r="247" spans="12:17" x14ac:dyDescent="0.45">
      <c r="L247" s="9">
        <v>243</v>
      </c>
      <c r="M247" s="9" t="str">
        <f t="shared" ca="1" si="17"/>
        <v>1-2</v>
      </c>
      <c r="N247" s="9">
        <f t="shared" ca="1" si="18"/>
        <v>5</v>
      </c>
      <c r="O247" s="10">
        <f t="shared" ca="1" si="19"/>
        <v>3.2892476507564732</v>
      </c>
      <c r="P247" s="9" t="str">
        <f t="shared" ca="1" si="20"/>
        <v>vive en arriendo</v>
      </c>
      <c r="Q247" s="9" t="str">
        <f t="shared" ca="1" si="21"/>
        <v>«la casa no es mía»</v>
      </c>
    </row>
    <row r="248" spans="12:17" x14ac:dyDescent="0.45">
      <c r="L248" s="9">
        <v>244</v>
      </c>
      <c r="M248" s="9" t="str">
        <f t="shared" ca="1" si="17"/>
        <v>1-2</v>
      </c>
      <c r="N248" s="9">
        <f t="shared" ca="1" si="18"/>
        <v>5</v>
      </c>
      <c r="O248" s="10">
        <f t="shared" ca="1" si="19"/>
        <v>3.7245106281458877</v>
      </c>
      <c r="P248" s="9" t="str">
        <f t="shared" ca="1" si="20"/>
        <v>no sabe cómo</v>
      </c>
      <c r="Q248" s="9" t="str">
        <f t="shared" ca="1" si="21"/>
        <v>«no sé a quién acudir»</v>
      </c>
    </row>
    <row r="249" spans="12:17" x14ac:dyDescent="0.45">
      <c r="L249" s="9">
        <v>245</v>
      </c>
      <c r="M249" s="9" t="str">
        <f t="shared" ca="1" si="17"/>
        <v>3-4</v>
      </c>
      <c r="N249" s="9">
        <f t="shared" ca="1" si="18"/>
        <v>5</v>
      </c>
      <c r="O249" s="10">
        <f t="shared" ca="1" si="19"/>
        <v>3.315256007085289</v>
      </c>
      <c r="P249" s="9" t="str">
        <f t="shared" ca="1" si="20"/>
        <v>no sabe cómo</v>
      </c>
      <c r="Q249" s="9" t="str">
        <f t="shared" ca="1" si="21"/>
        <v>«no sé a quién acudir»</v>
      </c>
    </row>
    <row r="250" spans="12:17" x14ac:dyDescent="0.45">
      <c r="L250" s="9">
        <v>246</v>
      </c>
      <c r="M250" s="9" t="str">
        <f t="shared" ca="1" si="17"/>
        <v>5-6</v>
      </c>
      <c r="N250" s="9">
        <f t="shared" ca="1" si="18"/>
        <v>5</v>
      </c>
      <c r="O250" s="10">
        <f t="shared" ca="1" si="19"/>
        <v>3.7655694129422383</v>
      </c>
      <c r="P250" s="9" t="str">
        <f t="shared" ca="1" si="20"/>
        <v>costo inicial</v>
      </c>
      <c r="Q250" s="9" t="str">
        <f t="shared" ca="1" si="21"/>
        <v>«es muy caro instalarlo»</v>
      </c>
    </row>
    <row r="251" spans="12:17" x14ac:dyDescent="0.45">
      <c r="L251" s="9">
        <v>247</v>
      </c>
      <c r="M251" s="9" t="str">
        <f t="shared" ca="1" si="17"/>
        <v>5-6</v>
      </c>
      <c r="N251" s="9">
        <f t="shared" ca="1" si="18"/>
        <v>2</v>
      </c>
      <c r="O251" s="10">
        <f t="shared" ca="1" si="19"/>
        <v>2.0517843822747266</v>
      </c>
      <c r="P251" s="9" t="str">
        <f t="shared" ca="1" si="20"/>
        <v>no sabe cómo</v>
      </c>
      <c r="Q251" s="9" t="str">
        <f t="shared" ca="1" si="21"/>
        <v>«no sé a quién acudir»</v>
      </c>
    </row>
    <row r="252" spans="12:17" x14ac:dyDescent="0.45">
      <c r="L252" s="9">
        <v>248</v>
      </c>
      <c r="M252" s="9" t="str">
        <f t="shared" ca="1" si="17"/>
        <v>3-4</v>
      </c>
      <c r="N252" s="9">
        <f t="shared" ca="1" si="18"/>
        <v>5</v>
      </c>
      <c r="O252" s="10">
        <f t="shared" ca="1" si="19"/>
        <v>3.3570951056563683</v>
      </c>
      <c r="P252" s="9" t="str">
        <f t="shared" ca="1" si="20"/>
        <v>desconfía</v>
      </c>
      <c r="Q252" s="9" t="str">
        <f t="shared" ca="1" si="21"/>
        <v>«no creo que funcione bien»</v>
      </c>
    </row>
    <row r="253" spans="12:17" x14ac:dyDescent="0.45">
      <c r="L253" s="9">
        <v>249</v>
      </c>
      <c r="M253" s="9" t="str">
        <f t="shared" ca="1" si="17"/>
        <v>3-4</v>
      </c>
      <c r="N253" s="9">
        <f t="shared" ca="1" si="18"/>
        <v>3</v>
      </c>
      <c r="O253" s="10">
        <f t="shared" ca="1" si="19"/>
        <v>0.99026631027229328</v>
      </c>
      <c r="P253" s="9" t="str">
        <f t="shared" ca="1" si="20"/>
        <v>no sabe cómo</v>
      </c>
      <c r="Q253" s="9" t="str">
        <f t="shared" ca="1" si="21"/>
        <v>«no sé a quién acudir»</v>
      </c>
    </row>
    <row r="254" spans="12:17" x14ac:dyDescent="0.45">
      <c r="L254" s="9">
        <v>250</v>
      </c>
      <c r="M254" s="9" t="str">
        <f t="shared" ca="1" si="17"/>
        <v>5-6</v>
      </c>
      <c r="N254" s="9">
        <f t="shared" ca="1" si="18"/>
        <v>5</v>
      </c>
      <c r="O254" s="10">
        <f t="shared" ca="1" si="19"/>
        <v>2.8076846394067254</v>
      </c>
      <c r="P254" s="9" t="str">
        <f t="shared" ca="1" si="20"/>
        <v>ninguna</v>
      </c>
      <c r="Q254" s="9" t="str">
        <f t="shared" ca="1" si="21"/>
        <v>«lo haría ya»</v>
      </c>
    </row>
    <row r="255" spans="12:17" x14ac:dyDescent="0.45">
      <c r="L255" s="9">
        <v>251</v>
      </c>
      <c r="M255" s="9" t="str">
        <f t="shared" ca="1" si="17"/>
        <v>3-4</v>
      </c>
      <c r="N255" s="9">
        <f t="shared" ca="1" si="18"/>
        <v>2</v>
      </c>
      <c r="O255" s="10">
        <f t="shared" ca="1" si="19"/>
        <v>1.1412112223911743</v>
      </c>
      <c r="P255" s="9" t="str">
        <f t="shared" ca="1" si="20"/>
        <v>vive en arriendo</v>
      </c>
      <c r="Q255" s="9" t="str">
        <f t="shared" ca="1" si="21"/>
        <v>«la casa no es mía»</v>
      </c>
    </row>
    <row r="256" spans="12:17" x14ac:dyDescent="0.45">
      <c r="L256" s="9">
        <v>252</v>
      </c>
      <c r="M256" s="9" t="str">
        <f t="shared" ca="1" si="17"/>
        <v>1-2</v>
      </c>
      <c r="N256" s="9">
        <f t="shared" ca="1" si="18"/>
        <v>4</v>
      </c>
      <c r="O256" s="10">
        <f t="shared" ca="1" si="19"/>
        <v>2.4502388708610923</v>
      </c>
      <c r="P256" s="9" t="str">
        <f t="shared" ca="1" si="20"/>
        <v>costo inicial</v>
      </c>
      <c r="Q256" s="9" t="str">
        <f t="shared" ca="1" si="21"/>
        <v>«es muy caro instalarlo»</v>
      </c>
    </row>
    <row r="257" spans="12:17" x14ac:dyDescent="0.45">
      <c r="L257" s="9">
        <v>253</v>
      </c>
      <c r="M257" s="9" t="str">
        <f t="shared" ca="1" si="17"/>
        <v>3-4</v>
      </c>
      <c r="N257" s="9">
        <f t="shared" ca="1" si="18"/>
        <v>1</v>
      </c>
      <c r="O257" s="10">
        <f t="shared" ca="1" si="19"/>
        <v>1.4979707183971918</v>
      </c>
      <c r="P257" s="9" t="str">
        <f t="shared" ca="1" si="20"/>
        <v>desconfía</v>
      </c>
      <c r="Q257" s="9" t="str">
        <f t="shared" ca="1" si="21"/>
        <v>«no creo que funcione bien»</v>
      </c>
    </row>
    <row r="258" spans="12:17" x14ac:dyDescent="0.45">
      <c r="L258" s="9">
        <v>254</v>
      </c>
      <c r="M258" s="9" t="str">
        <f t="shared" ca="1" si="17"/>
        <v>5-6</v>
      </c>
      <c r="N258" s="9">
        <f t="shared" ca="1" si="18"/>
        <v>3</v>
      </c>
      <c r="O258" s="10">
        <f t="shared" ca="1" si="19"/>
        <v>4.5368299740658511</v>
      </c>
      <c r="P258" s="9" t="str">
        <f t="shared" ca="1" si="20"/>
        <v>costo inicial</v>
      </c>
      <c r="Q258" s="9" t="str">
        <f t="shared" ca="1" si="21"/>
        <v>«es muy caro instalarlo»</v>
      </c>
    </row>
    <row r="259" spans="12:17" x14ac:dyDescent="0.45">
      <c r="L259" s="9">
        <v>255</v>
      </c>
      <c r="M259" s="9" t="str">
        <f t="shared" ca="1" si="17"/>
        <v>3-4</v>
      </c>
      <c r="N259" s="9">
        <f t="shared" ca="1" si="18"/>
        <v>4</v>
      </c>
      <c r="O259" s="10">
        <f t="shared" ca="1" si="19"/>
        <v>4.5494629391275447</v>
      </c>
      <c r="P259" s="9" t="str">
        <f t="shared" ca="1" si="20"/>
        <v>costo inicial</v>
      </c>
      <c r="Q259" s="9" t="str">
        <f t="shared" ca="1" si="21"/>
        <v>«es muy caro instalarlo»</v>
      </c>
    </row>
    <row r="260" spans="12:17" x14ac:dyDescent="0.45">
      <c r="L260" s="9">
        <v>256</v>
      </c>
      <c r="M260" s="9" t="str">
        <f t="shared" ca="1" si="17"/>
        <v>5-6</v>
      </c>
      <c r="N260" s="9">
        <f t="shared" ca="1" si="18"/>
        <v>5</v>
      </c>
      <c r="O260" s="10">
        <f t="shared" ca="1" si="19"/>
        <v>1.1086081504145344</v>
      </c>
      <c r="P260" s="9" t="str">
        <f t="shared" ca="1" si="20"/>
        <v>ninguna</v>
      </c>
      <c r="Q260" s="9" t="str">
        <f t="shared" ca="1" si="21"/>
        <v>«lo haría ya»</v>
      </c>
    </row>
    <row r="261" spans="12:17" x14ac:dyDescent="0.45">
      <c r="L261" s="9">
        <v>257</v>
      </c>
      <c r="M261" s="9" t="str">
        <f t="shared" ref="M261:M304" ca="1" si="22">INDEX($B$11:$B$13,MATCH(RAND(),$C$15:$C$17,1))</f>
        <v>1-2</v>
      </c>
      <c r="N261" s="9">
        <f t="shared" ref="N261:N324" ca="1" si="23">MATCH(RAND(),INDEX($D$15:$H$17,MATCH(M261,$B$11:$B$13,0),0),1)</f>
        <v>5</v>
      </c>
      <c r="O261" s="10">
        <f t="shared" ref="O261:O324" ca="1" si="24">MAX(0,_xlfn.NORM.INV(RAND(),2.5+0.4*(N261-3),1))</f>
        <v>4.4536532989664543</v>
      </c>
      <c r="P261" s="9" t="str">
        <f t="shared" ref="P261:P304" ca="1" si="25">INDEX($B$20:$B$24,MATCH(RAND(),$D$20:$D$24,1))</f>
        <v>no sabe cómo</v>
      </c>
      <c r="Q261" s="9" t="str">
        <f t="shared" ref="Q261:Q324" ca="1" si="26">"«"&amp;INDEX($E$20:$E$24,MATCH(P261,$B$20:$B$24,0))&amp;"»"</f>
        <v>«no sé a quién acudir»</v>
      </c>
    </row>
    <row r="262" spans="12:17" x14ac:dyDescent="0.45">
      <c r="L262" s="9">
        <v>258</v>
      </c>
      <c r="M262" s="9" t="str">
        <f t="shared" ca="1" si="22"/>
        <v>5-6</v>
      </c>
      <c r="N262" s="9">
        <f t="shared" ca="1" si="23"/>
        <v>5</v>
      </c>
      <c r="O262" s="10">
        <f t="shared" ca="1" si="24"/>
        <v>3.398790128226655</v>
      </c>
      <c r="P262" s="9" t="str">
        <f t="shared" ca="1" si="25"/>
        <v>costo inicial</v>
      </c>
      <c r="Q262" s="9" t="str">
        <f t="shared" ca="1" si="26"/>
        <v>«es muy caro instalarlo»</v>
      </c>
    </row>
    <row r="263" spans="12:17" x14ac:dyDescent="0.45">
      <c r="L263" s="9">
        <v>259</v>
      </c>
      <c r="M263" s="9" t="str">
        <f t="shared" ca="1" si="22"/>
        <v>1-2</v>
      </c>
      <c r="N263" s="9">
        <f t="shared" ca="1" si="23"/>
        <v>1</v>
      </c>
      <c r="O263" s="10">
        <f t="shared" ca="1" si="24"/>
        <v>1.5118289168712793</v>
      </c>
      <c r="P263" s="9" t="str">
        <f t="shared" ca="1" si="25"/>
        <v>costo inicial</v>
      </c>
      <c r="Q263" s="9" t="str">
        <f t="shared" ca="1" si="26"/>
        <v>«es muy caro instalarlo»</v>
      </c>
    </row>
    <row r="264" spans="12:17" x14ac:dyDescent="0.45">
      <c r="L264" s="9">
        <v>260</v>
      </c>
      <c r="M264" s="9" t="str">
        <f t="shared" ca="1" si="22"/>
        <v>1-2</v>
      </c>
      <c r="N264" s="9">
        <f t="shared" ca="1" si="23"/>
        <v>5</v>
      </c>
      <c r="O264" s="10">
        <f t="shared" ca="1" si="24"/>
        <v>1.6344670988991861</v>
      </c>
      <c r="P264" s="9" t="str">
        <f t="shared" ca="1" si="25"/>
        <v>costo inicial</v>
      </c>
      <c r="Q264" s="9" t="str">
        <f t="shared" ca="1" si="26"/>
        <v>«es muy caro instalarlo»</v>
      </c>
    </row>
    <row r="265" spans="12:17" x14ac:dyDescent="0.45">
      <c r="L265" s="9">
        <v>261</v>
      </c>
      <c r="M265" s="9" t="str">
        <f t="shared" ca="1" si="22"/>
        <v>1-2</v>
      </c>
      <c r="N265" s="9">
        <f t="shared" ca="1" si="23"/>
        <v>3</v>
      </c>
      <c r="O265" s="10">
        <f t="shared" ca="1" si="24"/>
        <v>2.961321669287396</v>
      </c>
      <c r="P265" s="9" t="str">
        <f t="shared" ca="1" si="25"/>
        <v>vive en arriendo</v>
      </c>
      <c r="Q265" s="9" t="str">
        <f t="shared" ca="1" si="26"/>
        <v>«la casa no es mía»</v>
      </c>
    </row>
    <row r="266" spans="12:17" x14ac:dyDescent="0.45">
      <c r="L266" s="9">
        <v>262</v>
      </c>
      <c r="M266" s="9" t="str">
        <f t="shared" ca="1" si="22"/>
        <v>5-6</v>
      </c>
      <c r="N266" s="9">
        <f t="shared" ca="1" si="23"/>
        <v>2</v>
      </c>
      <c r="O266" s="10">
        <f t="shared" ca="1" si="24"/>
        <v>2.9107331505206639</v>
      </c>
      <c r="P266" s="9" t="str">
        <f t="shared" ca="1" si="25"/>
        <v>costo inicial</v>
      </c>
      <c r="Q266" s="9" t="str">
        <f t="shared" ca="1" si="26"/>
        <v>«es muy caro instalarlo»</v>
      </c>
    </row>
    <row r="267" spans="12:17" x14ac:dyDescent="0.45">
      <c r="L267" s="9">
        <v>263</v>
      </c>
      <c r="M267" s="9" t="str">
        <f t="shared" ca="1" si="22"/>
        <v>5-6</v>
      </c>
      <c r="N267" s="9">
        <f t="shared" ca="1" si="23"/>
        <v>1</v>
      </c>
      <c r="O267" s="10">
        <f t="shared" ca="1" si="24"/>
        <v>3.1668375196924474</v>
      </c>
      <c r="P267" s="9" t="str">
        <f t="shared" ca="1" si="25"/>
        <v>costo inicial</v>
      </c>
      <c r="Q267" s="9" t="str">
        <f t="shared" ca="1" si="26"/>
        <v>«es muy caro instalarlo»</v>
      </c>
    </row>
    <row r="268" spans="12:17" x14ac:dyDescent="0.45">
      <c r="L268" s="9">
        <v>264</v>
      </c>
      <c r="M268" s="9" t="str">
        <f t="shared" ca="1" si="22"/>
        <v>3-4</v>
      </c>
      <c r="N268" s="9">
        <f t="shared" ca="1" si="23"/>
        <v>5</v>
      </c>
      <c r="O268" s="10">
        <f t="shared" ca="1" si="24"/>
        <v>4.2046197986777072</v>
      </c>
      <c r="P268" s="9" t="str">
        <f t="shared" ca="1" si="25"/>
        <v>costo inicial</v>
      </c>
      <c r="Q268" s="9" t="str">
        <f t="shared" ca="1" si="26"/>
        <v>«es muy caro instalarlo»</v>
      </c>
    </row>
    <row r="269" spans="12:17" x14ac:dyDescent="0.45">
      <c r="L269" s="9">
        <v>265</v>
      </c>
      <c r="M269" s="9" t="str">
        <f t="shared" ca="1" si="22"/>
        <v>3-4</v>
      </c>
      <c r="N269" s="9">
        <f t="shared" ca="1" si="23"/>
        <v>3</v>
      </c>
      <c r="O269" s="10">
        <f t="shared" ca="1" si="24"/>
        <v>2.2170612083797323</v>
      </c>
      <c r="P269" s="9" t="str">
        <f t="shared" ca="1" si="25"/>
        <v>no sabe cómo</v>
      </c>
      <c r="Q269" s="9" t="str">
        <f t="shared" ca="1" si="26"/>
        <v>«no sé a quién acudir»</v>
      </c>
    </row>
    <row r="270" spans="12:17" x14ac:dyDescent="0.45">
      <c r="L270" s="9">
        <v>266</v>
      </c>
      <c r="M270" s="9" t="str">
        <f t="shared" ca="1" si="22"/>
        <v>1-2</v>
      </c>
      <c r="N270" s="9">
        <f t="shared" ca="1" si="23"/>
        <v>3</v>
      </c>
      <c r="O270" s="10">
        <f t="shared" ca="1" si="24"/>
        <v>2.6660541468951817</v>
      </c>
      <c r="P270" s="9" t="str">
        <f t="shared" ca="1" si="25"/>
        <v>costo inicial</v>
      </c>
      <c r="Q270" s="9" t="str">
        <f t="shared" ca="1" si="26"/>
        <v>«es muy caro instalarlo»</v>
      </c>
    </row>
    <row r="271" spans="12:17" x14ac:dyDescent="0.45">
      <c r="L271" s="9">
        <v>267</v>
      </c>
      <c r="M271" s="9" t="str">
        <f t="shared" ca="1" si="22"/>
        <v>5-6</v>
      </c>
      <c r="N271" s="9">
        <f t="shared" ca="1" si="23"/>
        <v>5</v>
      </c>
      <c r="O271" s="10">
        <f t="shared" ca="1" si="24"/>
        <v>3.2863232409278611</v>
      </c>
      <c r="P271" s="9" t="str">
        <f t="shared" ca="1" si="25"/>
        <v>no sabe cómo</v>
      </c>
      <c r="Q271" s="9" t="str">
        <f t="shared" ca="1" si="26"/>
        <v>«no sé a quién acudir»</v>
      </c>
    </row>
    <row r="272" spans="12:17" x14ac:dyDescent="0.45">
      <c r="L272" s="9">
        <v>268</v>
      </c>
      <c r="M272" s="9" t="str">
        <f t="shared" ca="1" si="22"/>
        <v>3-4</v>
      </c>
      <c r="N272" s="9">
        <f t="shared" ca="1" si="23"/>
        <v>5</v>
      </c>
      <c r="O272" s="10">
        <f t="shared" ca="1" si="24"/>
        <v>2.5842120401803208</v>
      </c>
      <c r="P272" s="9" t="str">
        <f t="shared" ca="1" si="25"/>
        <v>desconfía</v>
      </c>
      <c r="Q272" s="9" t="str">
        <f t="shared" ca="1" si="26"/>
        <v>«no creo que funcione bien»</v>
      </c>
    </row>
    <row r="273" spans="12:17" x14ac:dyDescent="0.45">
      <c r="L273" s="9">
        <v>269</v>
      </c>
      <c r="M273" s="9" t="str">
        <f t="shared" ca="1" si="22"/>
        <v>3-4</v>
      </c>
      <c r="N273" s="9">
        <f t="shared" ca="1" si="23"/>
        <v>5</v>
      </c>
      <c r="O273" s="10">
        <f t="shared" ca="1" si="24"/>
        <v>2.524301428796472</v>
      </c>
      <c r="P273" s="9" t="str">
        <f t="shared" ca="1" si="25"/>
        <v>costo inicial</v>
      </c>
      <c r="Q273" s="9" t="str">
        <f t="shared" ca="1" si="26"/>
        <v>«es muy caro instalarlo»</v>
      </c>
    </row>
    <row r="274" spans="12:17" x14ac:dyDescent="0.45">
      <c r="L274" s="9">
        <v>270</v>
      </c>
      <c r="M274" s="9" t="str">
        <f t="shared" ca="1" si="22"/>
        <v>3-4</v>
      </c>
      <c r="N274" s="9">
        <f t="shared" ca="1" si="23"/>
        <v>2</v>
      </c>
      <c r="O274" s="10">
        <f t="shared" ca="1" si="24"/>
        <v>3.4400465064314711</v>
      </c>
      <c r="P274" s="9" t="str">
        <f t="shared" ca="1" si="25"/>
        <v>desconfía</v>
      </c>
      <c r="Q274" s="9" t="str">
        <f t="shared" ca="1" si="26"/>
        <v>«no creo que funcione bien»</v>
      </c>
    </row>
    <row r="275" spans="12:17" x14ac:dyDescent="0.45">
      <c r="L275" s="9">
        <v>271</v>
      </c>
      <c r="M275" s="9" t="str">
        <f t="shared" ca="1" si="22"/>
        <v>1-2</v>
      </c>
      <c r="N275" s="9">
        <f t="shared" ca="1" si="23"/>
        <v>5</v>
      </c>
      <c r="O275" s="10">
        <f t="shared" ca="1" si="24"/>
        <v>3.6759985878931882</v>
      </c>
      <c r="P275" s="9" t="str">
        <f t="shared" ca="1" si="25"/>
        <v>no sabe cómo</v>
      </c>
      <c r="Q275" s="9" t="str">
        <f t="shared" ca="1" si="26"/>
        <v>«no sé a quién acudir»</v>
      </c>
    </row>
    <row r="276" spans="12:17" x14ac:dyDescent="0.45">
      <c r="L276" s="9">
        <v>272</v>
      </c>
      <c r="M276" s="9" t="str">
        <f t="shared" ca="1" si="22"/>
        <v>3-4</v>
      </c>
      <c r="N276" s="9">
        <f t="shared" ca="1" si="23"/>
        <v>5</v>
      </c>
      <c r="O276" s="10">
        <f t="shared" ca="1" si="24"/>
        <v>1.4019644885891041</v>
      </c>
      <c r="P276" s="9" t="str">
        <f t="shared" ca="1" si="25"/>
        <v>no sabe cómo</v>
      </c>
      <c r="Q276" s="9" t="str">
        <f t="shared" ca="1" si="26"/>
        <v>«no sé a quién acudir»</v>
      </c>
    </row>
    <row r="277" spans="12:17" x14ac:dyDescent="0.45">
      <c r="L277" s="9">
        <v>273</v>
      </c>
      <c r="M277" s="9" t="str">
        <f t="shared" ca="1" si="22"/>
        <v>1-2</v>
      </c>
      <c r="N277" s="9">
        <f t="shared" ca="1" si="23"/>
        <v>4</v>
      </c>
      <c r="O277" s="10">
        <f t="shared" ca="1" si="24"/>
        <v>1.3531531073380549</v>
      </c>
      <c r="P277" s="9" t="str">
        <f t="shared" ca="1" si="25"/>
        <v>costo inicial</v>
      </c>
      <c r="Q277" s="9" t="str">
        <f t="shared" ca="1" si="26"/>
        <v>«es muy caro instalarlo»</v>
      </c>
    </row>
    <row r="278" spans="12:17" x14ac:dyDescent="0.45">
      <c r="L278" s="9">
        <v>274</v>
      </c>
      <c r="M278" s="9" t="str">
        <f t="shared" ca="1" si="22"/>
        <v>3-4</v>
      </c>
      <c r="N278" s="9">
        <f t="shared" ca="1" si="23"/>
        <v>3</v>
      </c>
      <c r="O278" s="10">
        <f t="shared" ca="1" si="24"/>
        <v>4.472268489812528</v>
      </c>
      <c r="P278" s="9" t="str">
        <f t="shared" ca="1" si="25"/>
        <v>vive en arriendo</v>
      </c>
      <c r="Q278" s="9" t="str">
        <f t="shared" ca="1" si="26"/>
        <v>«la casa no es mía»</v>
      </c>
    </row>
    <row r="279" spans="12:17" x14ac:dyDescent="0.45">
      <c r="L279" s="9">
        <v>275</v>
      </c>
      <c r="M279" s="9" t="str">
        <f t="shared" ca="1" si="22"/>
        <v>1-2</v>
      </c>
      <c r="N279" s="9">
        <f t="shared" ca="1" si="23"/>
        <v>4</v>
      </c>
      <c r="O279" s="10">
        <f t="shared" ca="1" si="24"/>
        <v>4.1210189514392566</v>
      </c>
      <c r="P279" s="9" t="str">
        <f t="shared" ca="1" si="25"/>
        <v>costo inicial</v>
      </c>
      <c r="Q279" s="9" t="str">
        <f t="shared" ca="1" si="26"/>
        <v>«es muy caro instalarlo»</v>
      </c>
    </row>
    <row r="280" spans="12:17" x14ac:dyDescent="0.45">
      <c r="L280" s="9">
        <v>276</v>
      </c>
      <c r="M280" s="9" t="str">
        <f t="shared" ca="1" si="22"/>
        <v>3-4</v>
      </c>
      <c r="N280" s="9">
        <f t="shared" ca="1" si="23"/>
        <v>5</v>
      </c>
      <c r="O280" s="10">
        <f t="shared" ca="1" si="24"/>
        <v>2.9874834311601459</v>
      </c>
      <c r="P280" s="9" t="str">
        <f t="shared" ca="1" si="25"/>
        <v>costo inicial</v>
      </c>
      <c r="Q280" s="9" t="str">
        <f t="shared" ca="1" si="26"/>
        <v>«es muy caro instalarlo»</v>
      </c>
    </row>
    <row r="281" spans="12:17" x14ac:dyDescent="0.45">
      <c r="L281" s="9">
        <v>277</v>
      </c>
      <c r="M281" s="9" t="str">
        <f t="shared" ca="1" si="22"/>
        <v>5-6</v>
      </c>
      <c r="N281" s="9">
        <f t="shared" ca="1" si="23"/>
        <v>5</v>
      </c>
      <c r="O281" s="10">
        <f t="shared" ca="1" si="24"/>
        <v>3.927834968269047</v>
      </c>
      <c r="P281" s="9" t="str">
        <f t="shared" ca="1" si="25"/>
        <v>no sabe cómo</v>
      </c>
      <c r="Q281" s="9" t="str">
        <f t="shared" ca="1" si="26"/>
        <v>«no sé a quién acudir»</v>
      </c>
    </row>
    <row r="282" spans="12:17" x14ac:dyDescent="0.45">
      <c r="L282" s="9">
        <v>278</v>
      </c>
      <c r="M282" s="9" t="str">
        <f t="shared" ca="1" si="22"/>
        <v>5-6</v>
      </c>
      <c r="N282" s="9">
        <f t="shared" ca="1" si="23"/>
        <v>4</v>
      </c>
      <c r="O282" s="10">
        <f t="shared" ca="1" si="24"/>
        <v>2.7149617148669889</v>
      </c>
      <c r="P282" s="9" t="str">
        <f t="shared" ca="1" si="25"/>
        <v>no sabe cómo</v>
      </c>
      <c r="Q282" s="9" t="str">
        <f t="shared" ca="1" si="26"/>
        <v>«no sé a quién acudir»</v>
      </c>
    </row>
    <row r="283" spans="12:17" x14ac:dyDescent="0.45">
      <c r="L283" s="9">
        <v>279</v>
      </c>
      <c r="M283" s="9" t="str">
        <f t="shared" ca="1" si="22"/>
        <v>1-2</v>
      </c>
      <c r="N283" s="9">
        <f t="shared" ca="1" si="23"/>
        <v>4</v>
      </c>
      <c r="O283" s="10">
        <f t="shared" ca="1" si="24"/>
        <v>3.1021895384215292</v>
      </c>
      <c r="P283" s="9" t="str">
        <f t="shared" ca="1" si="25"/>
        <v>costo inicial</v>
      </c>
      <c r="Q283" s="9" t="str">
        <f t="shared" ca="1" si="26"/>
        <v>«es muy caro instalarlo»</v>
      </c>
    </row>
    <row r="284" spans="12:17" x14ac:dyDescent="0.45">
      <c r="L284" s="9">
        <v>280</v>
      </c>
      <c r="M284" s="9" t="str">
        <f t="shared" ca="1" si="22"/>
        <v>3-4</v>
      </c>
      <c r="N284" s="9">
        <f t="shared" ca="1" si="23"/>
        <v>3</v>
      </c>
      <c r="O284" s="10">
        <f t="shared" ca="1" si="24"/>
        <v>3.087045120443507</v>
      </c>
      <c r="P284" s="9" t="str">
        <f t="shared" ca="1" si="25"/>
        <v>desconfía</v>
      </c>
      <c r="Q284" s="9" t="str">
        <f t="shared" ca="1" si="26"/>
        <v>«no creo que funcione bien»</v>
      </c>
    </row>
    <row r="285" spans="12:17" x14ac:dyDescent="0.45">
      <c r="L285" s="9">
        <v>281</v>
      </c>
      <c r="M285" s="9" t="str">
        <f t="shared" ca="1" si="22"/>
        <v>3-4</v>
      </c>
      <c r="N285" s="9">
        <f t="shared" ca="1" si="23"/>
        <v>4</v>
      </c>
      <c r="O285" s="10">
        <f t="shared" ca="1" si="24"/>
        <v>3.6128808050993197</v>
      </c>
      <c r="P285" s="9" t="str">
        <f t="shared" ca="1" si="25"/>
        <v>no sabe cómo</v>
      </c>
      <c r="Q285" s="9" t="str">
        <f t="shared" ca="1" si="26"/>
        <v>«no sé a quién acudir»</v>
      </c>
    </row>
    <row r="286" spans="12:17" x14ac:dyDescent="0.45">
      <c r="L286" s="9">
        <v>282</v>
      </c>
      <c r="M286" s="9" t="str">
        <f t="shared" ca="1" si="22"/>
        <v>1-2</v>
      </c>
      <c r="N286" s="9">
        <f t="shared" ca="1" si="23"/>
        <v>1</v>
      </c>
      <c r="O286" s="10">
        <f t="shared" ca="1" si="24"/>
        <v>0.24003752611800078</v>
      </c>
      <c r="P286" s="9" t="str">
        <f t="shared" ca="1" si="25"/>
        <v>no sabe cómo</v>
      </c>
      <c r="Q286" s="9" t="str">
        <f t="shared" ca="1" si="26"/>
        <v>«no sé a quién acudir»</v>
      </c>
    </row>
    <row r="287" spans="12:17" x14ac:dyDescent="0.45">
      <c r="L287" s="9">
        <v>283</v>
      </c>
      <c r="M287" s="9" t="str">
        <f t="shared" ca="1" si="22"/>
        <v>1-2</v>
      </c>
      <c r="N287" s="9">
        <f t="shared" ca="1" si="23"/>
        <v>2</v>
      </c>
      <c r="O287" s="10">
        <f t="shared" ca="1" si="24"/>
        <v>0.67263532535222947</v>
      </c>
      <c r="P287" s="9" t="str">
        <f t="shared" ca="1" si="25"/>
        <v>costo inicial</v>
      </c>
      <c r="Q287" s="9" t="str">
        <f t="shared" ca="1" si="26"/>
        <v>«es muy caro instalarlo»</v>
      </c>
    </row>
    <row r="288" spans="12:17" x14ac:dyDescent="0.45">
      <c r="L288" s="9">
        <v>284</v>
      </c>
      <c r="M288" s="9" t="str">
        <f t="shared" ca="1" si="22"/>
        <v>3-4</v>
      </c>
      <c r="N288" s="9">
        <f t="shared" ca="1" si="23"/>
        <v>5</v>
      </c>
      <c r="O288" s="10">
        <f t="shared" ca="1" si="24"/>
        <v>2.9012042533826166</v>
      </c>
      <c r="P288" s="9" t="str">
        <f t="shared" ca="1" si="25"/>
        <v>desconfía</v>
      </c>
      <c r="Q288" s="9" t="str">
        <f t="shared" ca="1" si="26"/>
        <v>«no creo que funcione bien»</v>
      </c>
    </row>
    <row r="289" spans="12:17" x14ac:dyDescent="0.45">
      <c r="L289" s="9">
        <v>285</v>
      </c>
      <c r="M289" s="9" t="str">
        <f t="shared" ca="1" si="22"/>
        <v>3-4</v>
      </c>
      <c r="N289" s="9">
        <f t="shared" ca="1" si="23"/>
        <v>5</v>
      </c>
      <c r="O289" s="10">
        <f t="shared" ca="1" si="24"/>
        <v>1.7397916259350723</v>
      </c>
      <c r="P289" s="9" t="str">
        <f t="shared" ca="1" si="25"/>
        <v>costo inicial</v>
      </c>
      <c r="Q289" s="9" t="str">
        <f t="shared" ca="1" si="26"/>
        <v>«es muy caro instalarlo»</v>
      </c>
    </row>
    <row r="290" spans="12:17" x14ac:dyDescent="0.45">
      <c r="L290" s="9">
        <v>286</v>
      </c>
      <c r="M290" s="9" t="str">
        <f t="shared" ca="1" si="22"/>
        <v>3-4</v>
      </c>
      <c r="N290" s="9">
        <f t="shared" ca="1" si="23"/>
        <v>5</v>
      </c>
      <c r="O290" s="10">
        <f t="shared" ca="1" si="24"/>
        <v>4.6486469337559893</v>
      </c>
      <c r="P290" s="9" t="str">
        <f t="shared" ca="1" si="25"/>
        <v>ninguna</v>
      </c>
      <c r="Q290" s="9" t="str">
        <f t="shared" ca="1" si="26"/>
        <v>«lo haría ya»</v>
      </c>
    </row>
    <row r="291" spans="12:17" x14ac:dyDescent="0.45">
      <c r="L291" s="9">
        <v>287</v>
      </c>
      <c r="M291" s="9" t="str">
        <f t="shared" ca="1" si="22"/>
        <v>3-4</v>
      </c>
      <c r="N291" s="9">
        <f t="shared" ca="1" si="23"/>
        <v>4</v>
      </c>
      <c r="O291" s="10">
        <f t="shared" ca="1" si="24"/>
        <v>1.3452952508617675</v>
      </c>
      <c r="P291" s="9" t="str">
        <f t="shared" ca="1" si="25"/>
        <v>costo inicial</v>
      </c>
      <c r="Q291" s="9" t="str">
        <f t="shared" ca="1" si="26"/>
        <v>«es muy caro instalarlo»</v>
      </c>
    </row>
    <row r="292" spans="12:17" x14ac:dyDescent="0.45">
      <c r="L292" s="9">
        <v>288</v>
      </c>
      <c r="M292" s="9" t="str">
        <f t="shared" ca="1" si="22"/>
        <v>5-6</v>
      </c>
      <c r="N292" s="9">
        <f t="shared" ca="1" si="23"/>
        <v>3</v>
      </c>
      <c r="O292" s="10">
        <f t="shared" ca="1" si="24"/>
        <v>0.89934605953174862</v>
      </c>
      <c r="P292" s="9" t="str">
        <f t="shared" ca="1" si="25"/>
        <v>desconfía</v>
      </c>
      <c r="Q292" s="9" t="str">
        <f t="shared" ca="1" si="26"/>
        <v>«no creo que funcione bien»</v>
      </c>
    </row>
    <row r="293" spans="12:17" x14ac:dyDescent="0.45">
      <c r="L293" s="9">
        <v>289</v>
      </c>
      <c r="M293" s="9" t="str">
        <f t="shared" ca="1" si="22"/>
        <v>3-4</v>
      </c>
      <c r="N293" s="9">
        <f t="shared" ca="1" si="23"/>
        <v>5</v>
      </c>
      <c r="O293" s="10">
        <f t="shared" ca="1" si="24"/>
        <v>3.9999467021022874</v>
      </c>
      <c r="P293" s="9" t="str">
        <f t="shared" ca="1" si="25"/>
        <v>vive en arriendo</v>
      </c>
      <c r="Q293" s="9" t="str">
        <f t="shared" ca="1" si="26"/>
        <v>«la casa no es mía»</v>
      </c>
    </row>
    <row r="294" spans="12:17" x14ac:dyDescent="0.45">
      <c r="L294" s="9">
        <v>290</v>
      </c>
      <c r="M294" s="9" t="str">
        <f t="shared" ca="1" si="22"/>
        <v>1-2</v>
      </c>
      <c r="N294" s="9">
        <f t="shared" ca="1" si="23"/>
        <v>1</v>
      </c>
      <c r="O294" s="10">
        <f t="shared" ca="1" si="24"/>
        <v>2.6933211269520938</v>
      </c>
      <c r="P294" s="9" t="str">
        <f t="shared" ca="1" si="25"/>
        <v>ninguna</v>
      </c>
      <c r="Q294" s="9" t="str">
        <f t="shared" ca="1" si="26"/>
        <v>«lo haría ya»</v>
      </c>
    </row>
    <row r="295" spans="12:17" x14ac:dyDescent="0.45">
      <c r="L295" s="9">
        <v>291</v>
      </c>
      <c r="M295" s="9" t="str">
        <f t="shared" ca="1" si="22"/>
        <v>3-4</v>
      </c>
      <c r="N295" s="9">
        <f t="shared" ca="1" si="23"/>
        <v>3</v>
      </c>
      <c r="O295" s="10">
        <f t="shared" ca="1" si="24"/>
        <v>2.4863836794470728</v>
      </c>
      <c r="P295" s="9" t="str">
        <f t="shared" ca="1" si="25"/>
        <v>vive en arriendo</v>
      </c>
      <c r="Q295" s="9" t="str">
        <f t="shared" ca="1" si="26"/>
        <v>«la casa no es mía»</v>
      </c>
    </row>
    <row r="296" spans="12:17" x14ac:dyDescent="0.45">
      <c r="L296" s="9">
        <v>292</v>
      </c>
      <c r="M296" s="9" t="str">
        <f t="shared" ca="1" si="22"/>
        <v>3-4</v>
      </c>
      <c r="N296" s="9">
        <f t="shared" ca="1" si="23"/>
        <v>5</v>
      </c>
      <c r="O296" s="10">
        <f t="shared" ca="1" si="24"/>
        <v>3.7468818558784345</v>
      </c>
      <c r="P296" s="9" t="str">
        <f t="shared" ca="1" si="25"/>
        <v>costo inicial</v>
      </c>
      <c r="Q296" s="9" t="str">
        <f t="shared" ca="1" si="26"/>
        <v>«es muy caro instalarlo»</v>
      </c>
    </row>
    <row r="297" spans="12:17" x14ac:dyDescent="0.45">
      <c r="L297" s="9">
        <v>293</v>
      </c>
      <c r="M297" s="9" t="str">
        <f t="shared" ca="1" si="22"/>
        <v>3-4</v>
      </c>
      <c r="N297" s="9">
        <f t="shared" ca="1" si="23"/>
        <v>2</v>
      </c>
      <c r="O297" s="10">
        <f t="shared" ca="1" si="24"/>
        <v>1.8691679815487579</v>
      </c>
      <c r="P297" s="9" t="str">
        <f t="shared" ca="1" si="25"/>
        <v>no sabe cómo</v>
      </c>
      <c r="Q297" s="9" t="str">
        <f t="shared" ca="1" si="26"/>
        <v>«no sé a quién acudir»</v>
      </c>
    </row>
    <row r="298" spans="12:17" x14ac:dyDescent="0.45">
      <c r="L298" s="9">
        <v>294</v>
      </c>
      <c r="M298" s="9" t="str">
        <f t="shared" ca="1" si="22"/>
        <v>3-4</v>
      </c>
      <c r="N298" s="9">
        <f t="shared" ca="1" si="23"/>
        <v>4</v>
      </c>
      <c r="O298" s="10">
        <f t="shared" ca="1" si="24"/>
        <v>1.5818029871676482</v>
      </c>
      <c r="P298" s="9" t="str">
        <f t="shared" ca="1" si="25"/>
        <v>no sabe cómo</v>
      </c>
      <c r="Q298" s="9" t="str">
        <f t="shared" ca="1" si="26"/>
        <v>«no sé a quién acudir»</v>
      </c>
    </row>
    <row r="299" spans="12:17" x14ac:dyDescent="0.45">
      <c r="L299" s="9">
        <v>295</v>
      </c>
      <c r="M299" s="9" t="str">
        <f t="shared" ca="1" si="22"/>
        <v>5-6</v>
      </c>
      <c r="N299" s="9">
        <f t="shared" ca="1" si="23"/>
        <v>5</v>
      </c>
      <c r="O299" s="10">
        <f t="shared" ca="1" si="24"/>
        <v>3.9913588031837679</v>
      </c>
      <c r="P299" s="9" t="str">
        <f t="shared" ca="1" si="25"/>
        <v>no sabe cómo</v>
      </c>
      <c r="Q299" s="9" t="str">
        <f t="shared" ca="1" si="26"/>
        <v>«no sé a quién acudir»</v>
      </c>
    </row>
    <row r="300" spans="12:17" x14ac:dyDescent="0.45">
      <c r="L300" s="9">
        <v>296</v>
      </c>
      <c r="M300" s="9" t="str">
        <f t="shared" ca="1" si="22"/>
        <v>1-2</v>
      </c>
      <c r="N300" s="9">
        <f t="shared" ca="1" si="23"/>
        <v>4</v>
      </c>
      <c r="O300" s="10">
        <f t="shared" ca="1" si="24"/>
        <v>2.5226417046734753</v>
      </c>
      <c r="P300" s="9" t="str">
        <f t="shared" ca="1" si="25"/>
        <v>no sabe cómo</v>
      </c>
      <c r="Q300" s="9" t="str">
        <f t="shared" ca="1" si="26"/>
        <v>«no sé a quién acudir»</v>
      </c>
    </row>
    <row r="301" spans="12:17" x14ac:dyDescent="0.45">
      <c r="L301" s="9">
        <v>297</v>
      </c>
      <c r="M301" s="9" t="str">
        <f t="shared" ca="1" si="22"/>
        <v>5-6</v>
      </c>
      <c r="N301" s="9">
        <f t="shared" ca="1" si="23"/>
        <v>5</v>
      </c>
      <c r="O301" s="10">
        <f t="shared" ca="1" si="24"/>
        <v>3.4610817497694377</v>
      </c>
      <c r="P301" s="9" t="str">
        <f t="shared" ca="1" si="25"/>
        <v>no sabe cómo</v>
      </c>
      <c r="Q301" s="9" t="str">
        <f t="shared" ca="1" si="26"/>
        <v>«no sé a quién acudir»</v>
      </c>
    </row>
    <row r="302" spans="12:17" x14ac:dyDescent="0.45">
      <c r="L302" s="9">
        <v>298</v>
      </c>
      <c r="M302" s="9" t="str">
        <f t="shared" ca="1" si="22"/>
        <v>3-4</v>
      </c>
      <c r="N302" s="9">
        <f t="shared" ca="1" si="23"/>
        <v>5</v>
      </c>
      <c r="O302" s="10">
        <f t="shared" ca="1" si="24"/>
        <v>2.966260240791232</v>
      </c>
      <c r="P302" s="9" t="str">
        <f t="shared" ca="1" si="25"/>
        <v>desconfía</v>
      </c>
      <c r="Q302" s="9" t="str">
        <f t="shared" ca="1" si="26"/>
        <v>«no creo que funcione bien»</v>
      </c>
    </row>
    <row r="303" spans="12:17" x14ac:dyDescent="0.45">
      <c r="L303" s="9">
        <v>299</v>
      </c>
      <c r="M303" s="9" t="str">
        <f t="shared" ca="1" si="22"/>
        <v>3-4</v>
      </c>
      <c r="N303" s="9">
        <f t="shared" ca="1" si="23"/>
        <v>4</v>
      </c>
      <c r="O303" s="10">
        <f t="shared" ca="1" si="24"/>
        <v>3.0535925183306292</v>
      </c>
      <c r="P303" s="9" t="str">
        <f t="shared" ca="1" si="25"/>
        <v>no sabe cómo</v>
      </c>
      <c r="Q303" s="9" t="str">
        <f t="shared" ca="1" si="26"/>
        <v>«no sé a quién acudir»</v>
      </c>
    </row>
    <row r="304" spans="12:17" x14ac:dyDescent="0.45">
      <c r="L304" s="9">
        <v>300</v>
      </c>
      <c r="M304" s="9" t="str">
        <f t="shared" ca="1" si="22"/>
        <v>1-2</v>
      </c>
      <c r="N304" s="9">
        <f t="shared" ca="1" si="23"/>
        <v>3</v>
      </c>
      <c r="O304" s="10">
        <f t="shared" ca="1" si="24"/>
        <v>2.8331180961967619</v>
      </c>
      <c r="P304" s="9" t="str">
        <f t="shared" ca="1" si="25"/>
        <v>costo inicial</v>
      </c>
      <c r="Q304" s="9" t="str">
        <f t="shared" ca="1" si="26"/>
        <v>«es muy caro instalarlo»</v>
      </c>
    </row>
  </sheetData>
  <mergeCells count="24">
    <mergeCell ref="B48:C49"/>
    <mergeCell ref="F32:G33"/>
    <mergeCell ref="D48:E49"/>
    <mergeCell ref="F48:G49"/>
    <mergeCell ref="H48:I49"/>
    <mergeCell ref="D47:E47"/>
    <mergeCell ref="F47:G47"/>
    <mergeCell ref="F31:G31"/>
    <mergeCell ref="H47:I47"/>
    <mergeCell ref="D32:E33"/>
    <mergeCell ref="B27:C27"/>
    <mergeCell ref="D31:E31"/>
    <mergeCell ref="H32:I33"/>
    <mergeCell ref="F28:G29"/>
    <mergeCell ref="H28:I29"/>
    <mergeCell ref="D27:E27"/>
    <mergeCell ref="B32:C33"/>
    <mergeCell ref="F27:G27"/>
    <mergeCell ref="H27:I27"/>
    <mergeCell ref="B47:C47"/>
    <mergeCell ref="B28:C29"/>
    <mergeCell ref="D28:E29"/>
    <mergeCell ref="B31:C31"/>
    <mergeCell ref="H31:I31"/>
  </mergeCells>
  <dataValidations count="1">
    <dataValidation type="list" sqref="C5">
      <formula1>"0.9,0.95,0.99"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Inicio</vt:lpstr>
      <vt:lpstr>1 Portería M-M-c</vt:lpstr>
      <vt:lpstr>2 Inventario (Q,R)</vt:lpstr>
      <vt:lpstr>3 Producción</vt:lpstr>
      <vt:lpstr>4 Bondad de ajuste</vt:lpstr>
      <vt:lpstr>5 Generación</vt:lpstr>
      <vt:lpstr>6 YOLO placas</vt:lpstr>
      <vt:lpstr>7 Encuesta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2026-10-27T22:55:25Z</dcterms:created>
  <dcterms:modified xsi:type="dcterms:W3CDTF">2026-10-27T23:20:11Z</dcterms:modified>
</cp:coreProperties>
</file>